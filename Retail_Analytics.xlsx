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c7ae3cddd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c4c6d03d9424455"/>
    <x:sheet xmlns:r="http://schemas.openxmlformats.org/officeDocument/2006/relationships" name="Sales" sheetId="2" r:id="Rf2c5f7009595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%"/>
    <x:numFmt numFmtId="202" formatCode="$#,##0.00"/>
    <x:numFmt numFmtId="203" formatCode="$#,##0"/>
    <x:numFmt numFmtId="204" formatCode="0.0%"/>
    <x:numFmt numFmtId="205" formatCode="#,##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6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203" fontId="2" fillId="2" borderId="0" xfId="0" applyNumberFormat="1" applyFont="1" applyFill="1" applyBorder="1"/>
    <x:xf numFmtId="204" fontId="2" fillId="2" borderId="0" xfId="0" applyNumberFormat="1" applyFont="1" applyFill="1" applyBorder="1"/>
    <x:xf numFmtId="203" fontId="4" fillId="2" borderId="0" xfId="0" applyNumberFormat="1" applyFont="1" applyFill="1" applyBorder="1"/>
    <x:xf numFmtId="204" fontId="4" fillId="2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8849fe6a24351" /><Relationship Type="http://schemas.openxmlformats.org/officeDocument/2006/relationships/theme" Target="/xl/theme/theme1.xml" Id="Rfeb8204c76f44632" /><Relationship Type="http://schemas.openxmlformats.org/officeDocument/2006/relationships/sharedStrings" Target="/xl/sharedStrings.xml" Id="R1134ee2f06ad41ec" /><Relationship Type="http://schemas.openxmlformats.org/officeDocument/2006/relationships/worksheet" Target="/xl/worksheets/sheet1.xml" Id="Rac4c6d03d9424455" /><Relationship Type="http://schemas.openxmlformats.org/officeDocument/2006/relationships/worksheet" Target="/xl/worksheets/sheet2.xml" Id="Rf2c5f700959549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0d25eae00846de" /><Relationship Type="http://schemas.openxmlformats.org/officeDocument/2006/relationships/chart" Target="/xl/drawings/charts/chart2.xml" Id="R0eeb9e4bc6784e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Revenue and gross profit by category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245BA7"/>
            </a:solidFill>
          </c:spP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'Dashboard'!$B$10:$B$12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spPr>
            <a:solidFill xmlns:a="http://schemas.openxmlformats.org/drawingml/2006/main">
              <a:srgbClr val="C77D15"/>
            </a:solidFill>
          </c:spPr>
          <c:cat>
            <c:strRef>
              <c:f>'Dashboard'!$A$10:$A$12</c:f>
              <c:strCache>
                <c:ptCount val="0"/>
              </c:strCache>
            </c:strRef>
          </c:cat>
          <c:val>
            <c:numRef>
              <c:f>'Dashboard'!$C$10:$C$12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revenue and gross profit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245BA7"/>
            </a:solidFill>
            <a:ln xmlns:a="http://schemas.openxmlformats.org/drawingml/2006/main" w="19050">
              <a:solidFill>
                <a:srgbClr val="245BA7"/>
              </a:solidFill>
              <a:prstDash val="solid"/>
            </a:ln>
          </c:spPr>
          <c:marker>
            <c:symbol val="none"/>
          </c:marker>
          <c:cat>
            <c:strRef>
              <c:f>'Dashboard'!$A$16:$A$39</c:f>
              <c:strCache>
                <c:ptCount val="0"/>
              </c:strCache>
            </c:strRef>
          </c:cat>
          <c:val>
            <c:numRef>
              <c:f>'Dashboard'!$B$16:$B$39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spPr>
            <a:solidFill xmlns:a="http://schemas.openxmlformats.org/drawingml/2006/main">
              <a:srgbClr val="C77D15"/>
            </a:solidFill>
            <a:ln xmlns:a="http://schemas.openxmlformats.org/drawingml/2006/main" w="19050">
              <a:solidFill>
                <a:srgbClr val="C77D15"/>
              </a:solidFill>
              <a:prstDash val="solid"/>
            </a:ln>
          </c:spPr>
          <c:marker>
            <c:symbol val="none"/>
          </c:marker>
          <c:cat>
            <c:strRef>
              <c:f>'Dashboard'!$A$16:$A$39</c:f>
              <c:strCache>
                <c:ptCount val="0"/>
              </c:strCache>
            </c:strRef>
          </c:cat>
          <c:val>
            <c:numRef>
              <c:f>'Dashboard'!$C$16:$C$39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0d25eae00846de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eb9e4bc6784e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4:O3542" headerRowCount="1" totalsRowCount="0" totalsRowShown="0">
  <x:tableColumns count="15">
    <x:tableColumn id="1" name="Line ID"/>
    <x:tableColumn id="2" name="Order ID"/>
    <x:tableColumn id="3" name="Order date"/>
    <x:tableColumn id="4" name="Month"/>
    <x:tableColumn id="5" name="Region"/>
    <x:tableColumn id="6" name="Category"/>
    <x:tableColumn id="7" name="Product"/>
    <x:tableColumn id="8" name="Quantity"/>
    <x:tableColumn id="9" name="Discount %"/>
    <x:tableColumn id="10" name="Returned"/>
    <x:tableColumn id="11" name="Gross sales"/>
    <x:tableColumn id="12" name="Discount"/>
    <x:tableColumn id="13" name="COGS"/>
    <x:tableColumn id="14" name="Net revenue"/>
    <x:tableColumn id="15" name="Gross 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3700708c7140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efd274aec04e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2" ht="22" customHeight="1">
      <x:c r="A2" s="21" t="str">
        <x:v>Retail sales and profitability</x:v>
      </x:c>
      <x:c r="B2" s="11"/>
      <x:c r="C2" s="11"/>
      <x:c r="D2" s="11"/>
    </x:row>
    <x:row r="3" ht="22" customHeight="1">
      <x:c r="A3" s="11" t="str">
        <x:v>2024–2025 | Synthetic portfolio case study | USD</x:v>
      </x:c>
      <x:c r="B3" s="11"/>
      <x:c r="C3" s="11"/>
      <x:c r="D3" s="11"/>
    </x:row>
    <x:row r="4" ht="22" customHeight="1">
      <x:c r="A4" s="11"/>
      <x:c r="B4" s="11"/>
      <x:c r="C4" s="11"/>
      <x:c r="D4" s="11"/>
    </x:row>
    <x:row r="5" ht="25" customHeight="1">
      <x:c r="A5" s="26" t="str">
        <x:v>Net revenue</x:v>
      </x:c>
      <x:c r="B5" s="26" t="str">
        <x:v>Gross profit</x:v>
      </x:c>
      <x:c r="C5" s="26" t="str">
        <x:v>Gross margin</x:v>
      </x:c>
      <x:c r="D5" s="26" t="str">
        <x:v>Order count</x:v>
      </x:c>
    </x:row>
    <x:row r="6" ht="22" customHeight="1">
      <x:c r="A6" s="22" t="n">
        <x:f>SUM(Sales!N5:N3542)</x:f>
        <x:v>1179262.25</x:v>
      </x:c>
      <x:c r="B6" s="22" t="n">
        <x:f>SUM(Sales!O5:O3542)</x:f>
        <x:v>356734.25000000006</x:v>
      </x:c>
      <x:c r="C6" s="23" t="n">
        <x:f>IFERROR(B6/A6,0)</x:f>
        <x:v>0.3025062915394774</x:v>
      </x:c>
      <x:c r="D6" s="24" t="n">
        <x:v>1800</x:v>
      </x:c>
    </x:row>
    <x:row r="7" ht="22" customHeight="1">
      <x:c r="A7" s="11"/>
      <x:c r="B7" s="11"/>
      <x:c r="C7" s="11"/>
      <x:c r="D7" s="11"/>
    </x:row>
    <x:row r="8" ht="22" customHeight="1">
      <x:c r="A8" s="11"/>
      <x:c r="B8" s="11"/>
      <x:c r="C8" s="11"/>
      <x:c r="D8" s="11"/>
    </x:row>
    <x:row r="9" ht="25" customHeight="1">
      <x:c r="A9" s="26" t="str">
        <x:v>Category</x:v>
      </x:c>
      <x:c r="B9" s="26" t="str">
        <x:v>Net revenue</x:v>
      </x:c>
      <x:c r="C9" s="26" t="str">
        <x:v>Gross profit</x:v>
      </x:c>
      <x:c r="D9" s="26" t="str">
        <x:v>Margin</x:v>
      </x:c>
    </x:row>
    <x:row r="10" ht="22" customHeight="1">
      <x:c r="A10" s="11" t="str">
        <x:v>Furniture</x:v>
      </x:c>
      <x:c r="B10" s="12" t="n">
        <x:f>SUMIF(Sales!$F$5:$F$3542,A10,Sales!$N$5:$N$3542)</x:f>
        <x:v>648193</x:v>
      </x:c>
      <x:c r="C10" s="12" t="n">
        <x:f>SUMIF(Sales!$F$5:$F$3542,A10,Sales!$O$5:$O$3542)</x:f>
        <x:v>163963</x:v>
      </x:c>
      <x:c r="D10" s="13" t="n">
        <x:f>IFERROR(C10/B10,0)</x:f>
        <x:v>0.25295398129877983</x:v>
      </x:c>
    </x:row>
    <x:row r="11" ht="22" customHeight="1">
      <x:c r="A11" s="11" t="str">
        <x:v>Technology</x:v>
      </x:c>
      <x:c r="B11" s="12" t="n">
        <x:f>SUMIF(Sales!$F$5:$F$3542,A11,Sales!$N$5:$N$3542)</x:f>
        <x:v>460636.75</x:v>
      </x:c>
      <x:c r="C11" s="12" t="n">
        <x:f>SUMIF(Sales!$F$5:$F$3542,A11,Sales!$O$5:$O$3542)</x:f>
        <x:v>154716.75</x:v>
      </x:c>
      <x:c r="D11" s="13" t="n">
        <x:f>IFERROR(C11/B11,0)</x:f>
        <x:v>0.3358758284049199</x:v>
      </x:c>
    </x:row>
    <x:row r="12" ht="22" customHeight="1">
      <x:c r="A12" s="11" t="str">
        <x:v>Office Supplies</x:v>
      </x:c>
      <x:c r="B12" s="12" t="n">
        <x:f>SUMIF(Sales!$F$5:$F$3542,A12,Sales!$N$5:$N$3542)</x:f>
        <x:v>70432.5</x:v>
      </x:c>
      <x:c r="C12" s="12" t="n">
        <x:f>SUMIF(Sales!$F$5:$F$3542,A12,Sales!$O$5:$O$3542)</x:f>
        <x:v>38054.5</x:v>
      </x:c>
      <x:c r="D12" s="13" t="n">
        <x:f>IFERROR(C12/B12,0)</x:f>
        <x:v>0.5402974479111206</x:v>
      </x:c>
    </x:row>
    <x:row r="13" ht="22" customHeight="1">
      <x:c r="A13" s="11"/>
      <x:c r="B13" s="12"/>
      <x:c r="C13" s="12"/>
      <x:c r="D13" s="13"/>
    </x:row>
    <x:row r="14" ht="22" customHeight="1">
      <x:c r="A14" s="11"/>
      <x:c r="B14" s="12"/>
      <x:c r="C14" s="12"/>
      <x:c r="D14" s="13"/>
    </x:row>
    <x:row r="15" ht="25" customHeight="1">
      <x:c r="A15" s="26" t="str">
        <x:v>Month</x:v>
      </x:c>
      <x:c r="B15" s="29" t="str">
        <x:v>Net revenue</x:v>
      </x:c>
      <x:c r="C15" s="29" t="str">
        <x:v>Gross profit</x:v>
      </x:c>
      <x:c r="D15" s="30" t="str">
        <x:v>Revenue MoM</x:v>
      </x:c>
    </x:row>
    <x:row r="16" ht="22" customHeight="1">
      <x:c r="A16" s="11" t="str">
        <x:v>2024-01</x:v>
      </x:c>
      <x:c r="B16" s="12" t="n">
        <x:f>SUMIF(Sales!$D$5:$D$3542,A16,Sales!$N$5:$N$3542)</x:f>
        <x:v>52048.45</x:v>
      </x:c>
      <x:c r="C16" s="12" t="n">
        <x:f>SUMIF(Sales!$D$5:$D$3542,A16,Sales!$O$5:$O$3542)</x:f>
        <x:v>15810.45</x:v>
      </x:c>
      <x:c r="D16" s="13"/>
    </x:row>
    <x:row r="17" ht="22" customHeight="1">
      <x:c r="A17" s="11" t="str">
        <x:v>2024-02</x:v>
      </x:c>
      <x:c r="B17" s="12" t="n">
        <x:f>SUMIF(Sales!$D$5:$D$3542,A17,Sales!$N$5:$N$3542)</x:f>
        <x:v>45004.4</x:v>
      </x:c>
      <x:c r="C17" s="12" t="n">
        <x:f>SUMIF(Sales!$D$5:$D$3542,A17,Sales!$O$5:$O$3542)</x:f>
        <x:v>12836.400000000001</x:v>
      </x:c>
      <x:c r="D17" s="13" t="n">
        <x:f>IFERROR(B17/B16-1,0)</x:f>
        <x:v>-0.13533640290921245</x:v>
      </x:c>
    </x:row>
    <x:row r="18" ht="22" customHeight="1">
      <x:c r="A18" s="11" t="str">
        <x:v>2024-03</x:v>
      </x:c>
      <x:c r="B18" s="12" t="n">
        <x:f>SUMIF(Sales!$D$5:$D$3542,A18,Sales!$N$5:$N$3542)</x:f>
        <x:v>51178.499999999985</x:v>
      </x:c>
      <x:c r="C18" s="12" t="n">
        <x:f>SUMIF(Sales!$D$5:$D$3542,A18,Sales!$O$5:$O$3542)</x:f>
        <x:v>16434.500000000004</x:v>
      </x:c>
      <x:c r="D18" s="13" t="n">
        <x:f>IFERROR(B18/B17-1,0)</x:f>
        <x:v>0.13718880820541957</x:v>
      </x:c>
    </x:row>
    <x:row r="19" ht="22" customHeight="1">
      <x:c r="A19" s="11" t="str">
        <x:v>2024-04</x:v>
      </x:c>
      <x:c r="B19" s="12" t="n">
        <x:f>SUMIF(Sales!$D$5:$D$3542,A19,Sales!$N$5:$N$3542)</x:f>
        <x:v>60292.350000000006</x:v>
      </x:c>
      <x:c r="C19" s="12" t="n">
        <x:f>SUMIF(Sales!$D$5:$D$3542,A19,Sales!$O$5:$O$3542)</x:f>
        <x:v>17442.35</x:v>
      </x:c>
      <x:c r="D19" s="13" t="n">
        <x:f>IFERROR(B19/B18-1,0)</x:f>
        <x:v>0.17807966235821726</x:v>
      </x:c>
    </x:row>
    <x:row r="20" ht="22" customHeight="1">
      <x:c r="A20" s="11" t="str">
        <x:v>2024-05</x:v>
      </x:c>
      <x:c r="B20" s="12" t="n">
        <x:f>SUMIF(Sales!$D$5:$D$3542,A20,Sales!$N$5:$N$3542)</x:f>
        <x:v>58378.549999999996</x:v>
      </x:c>
      <x:c r="C20" s="12" t="n">
        <x:f>SUMIF(Sales!$D$5:$D$3542,A20,Sales!$O$5:$O$3542)</x:f>
        <x:v>18343.55</x:v>
      </x:c>
      <x:c r="D20" s="13" t="n">
        <x:f>IFERROR(B20/B19-1,0)</x:f>
        <x:v>-0.031742003753378545</x:v>
      </x:c>
    </x:row>
    <x:row r="21" ht="22" customHeight="1">
      <x:c r="A21" s="11" t="str">
        <x:v>2024-06</x:v>
      </x:c>
      <x:c r="B21" s="12" t="n">
        <x:f>SUMIF(Sales!$D$5:$D$3542,A21,Sales!$N$5:$N$3542)</x:f>
        <x:v>50007.44999999999</x:v>
      </x:c>
      <x:c r="C21" s="12" t="n">
        <x:f>SUMIF(Sales!$D$5:$D$3542,A21,Sales!$O$5:$O$3542)</x:f>
        <x:v>15221.45</x:v>
      </x:c>
      <x:c r="D21" s="13" t="n">
        <x:f>IFERROR(B21/B20-1,0)</x:f>
        <x:v>-0.1433934210424892</x:v>
      </x:c>
    </x:row>
    <x:row r="22" ht="22" customHeight="1">
      <x:c r="A22" s="11" t="str">
        <x:v>2024-07</x:v>
      </x:c>
      <x:c r="B22" s="12" t="n">
        <x:f>SUMIF(Sales!$D$5:$D$3542,A22,Sales!$N$5:$N$3542)</x:f>
        <x:v>52812</x:v>
      </x:c>
      <x:c r="C22" s="12" t="n">
        <x:f>SUMIF(Sales!$D$5:$D$3542,A22,Sales!$O$5:$O$3542)</x:f>
        <x:v>16283</x:v>
      </x:c>
      <x:c r="D22" s="13" t="n">
        <x:f>IFERROR(B22/B21-1,0)</x:f>
        <x:v>0.05608264368609106</x:v>
      </x:c>
    </x:row>
    <x:row r="23" ht="22" customHeight="1">
      <x:c r="A23" s="11" t="str">
        <x:v>2024-08</x:v>
      </x:c>
      <x:c r="B23" s="12" t="n">
        <x:f>SUMIF(Sales!$D$5:$D$3542,A23,Sales!$N$5:$N$3542)</x:f>
        <x:v>41864.55</x:v>
      </x:c>
      <x:c r="C23" s="12" t="n">
        <x:f>SUMIF(Sales!$D$5:$D$3542,A23,Sales!$O$5:$O$3542)</x:f>
        <x:v>12945.55</x:v>
      </x:c>
      <x:c r="D23" s="13" t="n">
        <x:f>IFERROR(B23/B22-1,0)</x:f>
        <x:v>-0.20729095660077246</x:v>
      </x:c>
    </x:row>
    <x:row r="24" ht="22" customHeight="1">
      <x:c r="A24" s="11" t="str">
        <x:v>2024-09</x:v>
      </x:c>
      <x:c r="B24" s="12" t="n">
        <x:f>SUMIF(Sales!$D$5:$D$3542,A24,Sales!$N$5:$N$3542)</x:f>
        <x:v>45174.450000000004</x:v>
      </x:c>
      <x:c r="C24" s="12" t="n">
        <x:f>SUMIF(Sales!$D$5:$D$3542,A24,Sales!$O$5:$O$3542)</x:f>
        <x:v>13825.449999999999</x:v>
      </x:c>
      <x:c r="D24" s="13" t="n">
        <x:f>IFERROR(B24/B23-1,0)</x:f>
        <x:v>0.07906211818830022</x:v>
      </x:c>
    </x:row>
    <x:row r="25" ht="22" customHeight="1">
      <x:c r="A25" s="11" t="str">
        <x:v>2024-10</x:v>
      </x:c>
      <x:c r="B25" s="12" t="n">
        <x:f>SUMIF(Sales!$D$5:$D$3542,A25,Sales!$N$5:$N$3542)</x:f>
        <x:v>39427.5</x:v>
      </x:c>
      <x:c r="C25" s="12" t="n">
        <x:f>SUMIF(Sales!$D$5:$D$3542,A25,Sales!$O$5:$O$3542)</x:f>
        <x:v>12073.500000000002</x:v>
      </x:c>
      <x:c r="D25" s="13" t="n">
        <x:f>IFERROR(B25/B24-1,0)</x:f>
        <x:v>-0.1272168227836754</x:v>
      </x:c>
    </x:row>
    <x:row r="26" ht="22" customHeight="1">
      <x:c r="A26" s="11" t="str">
        <x:v>2024-11</x:v>
      </x:c>
      <x:c r="B26" s="12" t="n">
        <x:f>SUMIF(Sales!$D$5:$D$3542,A26,Sales!$N$5:$N$3542)</x:f>
        <x:v>44868.29999999999</x:v>
      </x:c>
      <x:c r="C26" s="12" t="n">
        <x:f>SUMIF(Sales!$D$5:$D$3542,A26,Sales!$O$5:$O$3542)</x:f>
        <x:v>13877.300000000003</x:v>
      </x:c>
      <x:c r="D26" s="13" t="n">
        <x:f>IFERROR(B26/B25-1,0)</x:f>
        <x:v>0.1379950542134294</x:v>
      </x:c>
    </x:row>
    <x:row r="27" ht="22" customHeight="1">
      <x:c r="A27" s="11" t="str">
        <x:v>2024-12</x:v>
      </x:c>
      <x:c r="B27" s="12" t="n">
        <x:f>SUMIF(Sales!$D$5:$D$3542,A27,Sales!$N$5:$N$3542)</x:f>
        <x:v>48086.05</x:v>
      </x:c>
      <x:c r="C27" s="12" t="n">
        <x:f>SUMIF(Sales!$D$5:$D$3542,A27,Sales!$O$5:$O$3542)</x:f>
        <x:v>14367.050000000001</x:v>
      </x:c>
      <x:c r="D27" s="13" t="n">
        <x:f>IFERROR(B27/B26-1,0)</x:f>
        <x:v>0.07171544275134156</x:v>
      </x:c>
    </x:row>
    <x:row r="28" ht="22" customHeight="1">
      <x:c r="A28" s="11" t="str">
        <x:v>2025-01</x:v>
      </x:c>
      <x:c r="B28" s="12" t="n">
        <x:f>SUMIF(Sales!$D$5:$D$3542,A28,Sales!$N$5:$N$3542)</x:f>
        <x:v>58034.9</x:v>
      </x:c>
      <x:c r="C28" s="12" t="n">
        <x:f>SUMIF(Sales!$D$5:$D$3542,A28,Sales!$O$5:$O$3542)</x:f>
        <x:v>16927.899999999998</x:v>
      </x:c>
      <x:c r="D28" s="13" t="n">
        <x:f>IFERROR(B28/B27-1,0)</x:f>
        <x:v>0.20689680271097322</x:v>
      </x:c>
    </x:row>
    <x:row r="29" ht="22" customHeight="1">
      <x:c r="A29" s="11" t="str">
        <x:v>2025-02</x:v>
      </x:c>
      <x:c r="B29" s="12" t="n">
        <x:f>SUMIF(Sales!$D$5:$D$3542,A29,Sales!$N$5:$N$3542)</x:f>
        <x:v>46961.29999999999</x:v>
      </x:c>
      <x:c r="C29" s="12" t="n">
        <x:f>SUMIF(Sales!$D$5:$D$3542,A29,Sales!$O$5:$O$3542)</x:f>
        <x:v>14372.3</x:v>
      </x:c>
      <x:c r="D29" s="13" t="n">
        <x:f>IFERROR(B29/B28-1,0)</x:f>
        <x:v>-0.19080932335542944</x:v>
      </x:c>
    </x:row>
    <x:row r="30" ht="22" customHeight="1">
      <x:c r="A30" s="11" t="str">
        <x:v>2025-03</x:v>
      </x:c>
      <x:c r="B30" s="12" t="n">
        <x:f>SUMIF(Sales!$D$5:$D$3542,A30,Sales!$N$5:$N$3542)</x:f>
        <x:v>45730.700000000004</x:v>
      </x:c>
      <x:c r="C30" s="12" t="n">
        <x:f>SUMIF(Sales!$D$5:$D$3542,A30,Sales!$O$5:$O$3542)</x:f>
        <x:v>13684.7</x:v>
      </x:c>
      <x:c r="D30" s="13" t="n">
        <x:f>IFERROR(B30/B29-1,0)</x:f>
        <x:v>-0.02620455566604807</x:v>
      </x:c>
    </x:row>
    <x:row r="31" ht="22" customHeight="1">
      <x:c r="A31" s="11" t="str">
        <x:v>2025-04</x:v>
      </x:c>
      <x:c r="B31" s="12" t="n">
        <x:f>SUMIF(Sales!$D$5:$D$3542,A31,Sales!$N$5:$N$3542)</x:f>
        <x:v>44121.49999999999</x:v>
      </x:c>
      <x:c r="C31" s="12" t="n">
        <x:f>SUMIF(Sales!$D$5:$D$3542,A31,Sales!$O$5:$O$3542)</x:f>
        <x:v>12725.500000000004</x:v>
      </x:c>
      <x:c r="D31" s="13" t="n">
        <x:f>IFERROR(B31/B30-1,0)</x:f>
        <x:v>-0.03518861508789528</x:v>
      </x:c>
    </x:row>
    <x:row r="32" ht="22" customHeight="1">
      <x:c r="A32" s="11" t="str">
        <x:v>2025-05</x:v>
      </x:c>
      <x:c r="B32" s="12" t="n">
        <x:f>SUMIF(Sales!$D$5:$D$3542,A32,Sales!$N$5:$N$3542)</x:f>
        <x:v>51567.75</x:v>
      </x:c>
      <x:c r="C32" s="12" t="n">
        <x:f>SUMIF(Sales!$D$5:$D$3542,A32,Sales!$O$5:$O$3542)</x:f>
        <x:v>15849.750000000002</x:v>
      </x:c>
      <x:c r="D32" s="13" t="n">
        <x:f>IFERROR(B32/B31-1,0)</x:f>
        <x:v>0.16876692768831547</x:v>
      </x:c>
    </x:row>
    <x:row r="33" ht="22" customHeight="1">
      <x:c r="A33" s="11" t="str">
        <x:v>2025-06</x:v>
      </x:c>
      <x:c r="B33" s="12" t="n">
        <x:f>SUMIF(Sales!$D$5:$D$3542,A33,Sales!$N$5:$N$3542)</x:f>
        <x:v>38657.55</x:v>
      </x:c>
      <x:c r="C33" s="12" t="n">
        <x:f>SUMIF(Sales!$D$5:$D$3542,A33,Sales!$O$5:$O$3542)</x:f>
        <x:v>11743.55</x:v>
      </x:c>
      <x:c r="D33" s="13" t="n">
        <x:f>IFERROR(B33/B32-1,0)</x:f>
        <x:v>-0.2503541457597044</x:v>
      </x:c>
    </x:row>
    <x:row r="34" ht="22" customHeight="1">
      <x:c r="A34" s="11" t="str">
        <x:v>2025-07</x:v>
      </x:c>
      <x:c r="B34" s="12" t="n">
        <x:f>SUMIF(Sales!$D$5:$D$3542,A34,Sales!$N$5:$N$3542)</x:f>
        <x:v>51635.25000000001</x:v>
      </x:c>
      <x:c r="C34" s="12" t="n">
        <x:f>SUMIF(Sales!$D$5:$D$3542,A34,Sales!$O$5:$O$3542)</x:f>
        <x:v>15135.249999999998</x:v>
      </x:c>
      <x:c r="D34" s="13" t="n">
        <x:f>IFERROR(B34/B33-1,0)</x:f>
        <x:v>0.335709324569198</x:v>
      </x:c>
    </x:row>
    <x:row r="35" ht="22" customHeight="1">
      <x:c r="A35" s="11" t="str">
        <x:v>2025-08</x:v>
      </x:c>
      <x:c r="B35" s="12" t="n">
        <x:f>SUMIF(Sales!$D$5:$D$3542,A35,Sales!$N$5:$N$3542)</x:f>
        <x:v>69679.95</x:v>
      </x:c>
      <x:c r="C35" s="12" t="n">
        <x:f>SUMIF(Sales!$D$5:$D$3542,A35,Sales!$O$5:$O$3542)</x:f>
        <x:v>21435.95</x:v>
      </x:c>
      <x:c r="D35" s="13" t="n">
        <x:f>IFERROR(B35/B34-1,0)</x:f>
        <x:v>0.34946475518177955</x:v>
      </x:c>
    </x:row>
    <x:row r="36" ht="22" customHeight="1">
      <x:c r="A36" s="11" t="str">
        <x:v>2025-09</x:v>
      </x:c>
      <x:c r="B36" s="12" t="n">
        <x:f>SUMIF(Sales!$D$5:$D$3542,A36,Sales!$N$5:$N$3542)</x:f>
        <x:v>58107.350000000006</x:v>
      </x:c>
      <x:c r="C36" s="12" t="n">
        <x:f>SUMIF(Sales!$D$5:$D$3542,A36,Sales!$O$5:$O$3542)</x:f>
        <x:v>18104.35</x:v>
      </x:c>
      <x:c r="D36" s="13" t="n">
        <x:f>IFERROR(B36/B35-1,0)</x:f>
        <x:v>-0.1660822087271876</x:v>
      </x:c>
    </x:row>
    <x:row r="37" ht="22" customHeight="1">
      <x:c r="A37" s="11" t="str">
        <x:v>2025-10</x:v>
      </x:c>
      <x:c r="B37" s="12" t="n">
        <x:f>SUMIF(Sales!$D$5:$D$3542,A37,Sales!$N$5:$N$3542)</x:f>
        <x:v>40224.05</x:v>
      </x:c>
      <x:c r="C37" s="12" t="n">
        <x:f>SUMIF(Sales!$D$5:$D$3542,A37,Sales!$O$5:$O$3542)</x:f>
        <x:v>12217.050000000001</x:v>
      </x:c>
      <x:c r="D37" s="13" t="n">
        <x:f>IFERROR(B37/B36-1,0)</x:f>
        <x:v>-0.30776313151434376</x:v>
      </x:c>
    </x:row>
    <x:row r="38" ht="22" customHeight="1">
      <x:c r="A38" s="11" t="str">
        <x:v>2025-11</x:v>
      </x:c>
      <x:c r="B38" s="12" t="n">
        <x:f>SUMIF(Sales!$D$5:$D$3542,A38,Sales!$N$5:$N$3542)</x:f>
        <x:v>37462.049999999996</x:v>
      </x:c>
      <x:c r="C38" s="12" t="n">
        <x:f>SUMIF(Sales!$D$5:$D$3542,A38,Sales!$O$5:$O$3542)</x:f>
        <x:v>11633.050000000001</x:v>
      </x:c>
      <x:c r="D38" s="13" t="n">
        <x:f>IFERROR(B38/B37-1,0)</x:f>
        <x:v>-0.06866538799549049</x:v>
      </x:c>
    </x:row>
    <x:row r="39" ht="22" customHeight="1">
      <x:c r="A39" s="11" t="str">
        <x:v>2025-12</x:v>
      </x:c>
      <x:c r="B39" s="12" t="n">
        <x:f>SUMIF(Sales!$D$5:$D$3542,A39,Sales!$N$5:$N$3542)</x:f>
        <x:v>47937.35</x:v>
      </x:c>
      <x:c r="C39" s="12" t="n">
        <x:f>SUMIF(Sales!$D$5:$D$3542,A39,Sales!$O$5:$O$3542)</x:f>
        <x:v>13444.350000000002</x:v>
      </x:c>
      <x:c r="D39" s="13" t="n">
        <x:f>IFERROR(B39/B38-1,0)</x:f>
        <x:v>0.27962431313822944</x:v>
      </x:c>
    </x:row>
    <x:row r="40" ht="22" customHeight="1">
      <x:c r="A40" s="11"/>
      <x:c r="B40" s="11"/>
      <x:c r="C40" s="11"/>
      <x:c r="D40" s="11"/>
    </x:row>
    <x:row r="41" ht="22" customHeight="1">
      <x:c r="A41" s="11"/>
      <x:c r="B41" s="11"/>
      <x:c r="C41" s="11"/>
      <x:c r="D41" s="11"/>
    </x:row>
    <x:row r="42" ht="22" customHeight="1">
      <x:c r="A42" s="11" t="str">
        <x:v>Order count is a fixed source control. Rebuild the workbook after adding orders or lines.</x:v>
      </x:c>
      <x:c r="B42" s="11"/>
      <x:c r="C42" s="11"/>
      <x:c r="D42" s="11"/>
    </x:row>
    <x:row r="43" ht="22" customHeight="1">
      <x:c r="A43" s="11" t="str">
        <x:v>Existing numeric input edits recalculate formulas and charts. Monthly scope remains 2024–2025.</x:v>
      </x:c>
      <x:c r="B43" s="11"/>
      <x:c r="C43" s="11"/>
      <x:c r="D43" s="11"/>
    </x:row>
    <x:row r="44" ht="22" customHeight="1">
      <x:c r="A44" s="11" t="str">
        <x:v>To filter transaction records, use the Sales table filters. Dashboard shows the full dataset.</x:v>
      </x:c>
      <x:c r="B44" s="11"/>
      <x:c r="C44" s="11"/>
      <x:c r="D44" s="11"/>
    </x:row>
  </x:sheetData>
  <x:pageMargins left="0.7" right="0.7" top="0.75" bottom="0.75" header="0.3" footer="0.3"/>
  <x:drawing xmlns:r="http://schemas.openxmlformats.org/officeDocument/2006/relationships" r:id="R283700708c71404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2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2" customHeight="1">
      <x:c r="A1" s="11" t="str">
        <x:v>Synthetic retail data, generated with seed 42. Currency: USD. One row per order line.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</x:row>
    <x:row r="2" ht="22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 ht="22" customHeight="1">
      <x:c r="A3" s="11" t="str">
        <x:v>Returns reverse revenue and COGS. Gross profit excludes overhead, tax, shipping and return handling.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 ht="25" customHeight="1">
      <x:c r="A4" s="26" t="str">
        <x:v>Line ID</x:v>
      </x:c>
      <x:c r="B4" s="26" t="str">
        <x:v>Order ID</x:v>
      </x:c>
      <x:c r="C4" s="26" t="str">
        <x:v>Order date</x:v>
      </x:c>
      <x:c r="D4" s="26" t="str">
        <x:v>Month</x:v>
      </x:c>
      <x:c r="E4" s="26" t="str">
        <x:v>Region</x:v>
      </x:c>
      <x:c r="F4" s="26" t="str">
        <x:v>Category</x:v>
      </x:c>
      <x:c r="G4" s="26" t="str">
        <x:v>Product</x:v>
      </x:c>
      <x:c r="H4" s="26" t="str">
        <x:v>Quantity</x:v>
      </x:c>
      <x:c r="I4" s="26" t="str">
        <x:v>Discount %</x:v>
      </x:c>
      <x:c r="J4" s="26" t="str">
        <x:v>Returned</x:v>
      </x:c>
      <x:c r="K4" s="26" t="str">
        <x:v>Gross sales</x:v>
      </x:c>
      <x:c r="L4" s="26" t="str">
        <x:v>Discount</x:v>
      </x:c>
      <x:c r="M4" s="26" t="str">
        <x:v>COGS</x:v>
      </x:c>
      <x:c r="N4" s="26" t="str">
        <x:v>Net revenue</x:v>
      </x:c>
      <x:c r="O4" s="26" t="str">
        <x:v>Gross profit</x:v>
      </x:c>
    </x:row>
    <x:row r="5" ht="22" customHeight="1">
      <x:c r="A5" s="11" t="n">
        <x:v>1</x:v>
      </x:c>
      <x:c r="B5" s="11" t="n">
        <x:v>1</x:v>
      </x:c>
      <x:c r="C5" s="18" t="n">
        <x:v>45966</x:v>
      </x:c>
      <x:c r="D5" s="11" t="str">
        <x:v>2025-11</x:v>
      </x:c>
      <x:c r="E5" s="11" t="str">
        <x:v>West</x:v>
      </x:c>
      <x:c r="F5" s="11" t="str">
        <x:v>Office Supplies</x:v>
      </x:c>
      <x:c r="G5" s="11" t="str">
        <x:v>Storage box</x:v>
      </x:c>
      <x:c r="H5" s="11" t="n">
        <x:v>1</x:v>
      </x:c>
      <x:c r="I5" s="19" t="n">
        <x:v>0</x:v>
      </x:c>
      <x:c r="J5" s="11" t="n">
        <x:v>0</x:v>
      </x:c>
      <x:c r="K5" s="20" t="n">
        <x:v>26</x:v>
      </x:c>
      <x:c r="L5" s="20" t="n">
        <x:v>0</x:v>
      </x:c>
      <x:c r="M5" s="20" t="n">
        <x:v>12</x:v>
      </x:c>
      <x:c r="N5" s="20" t="n">
        <x:f>IF(J5=1,0,K5-L5)</x:f>
        <x:v>26</x:v>
      </x:c>
      <x:c r="O5" s="20" t="n">
        <x:f>N5-M5</x:f>
        <x:v>14</x:v>
      </x:c>
    </x:row>
    <x:row r="6" ht="22" customHeight="1">
      <x:c r="A6" s="11" t="n">
        <x:v>2</x:v>
      </x:c>
      <x:c r="B6" s="11" t="n">
        <x:v>1</x:v>
      </x:c>
      <x:c r="C6" s="18" t="n">
        <x:v>45966</x:v>
      </x:c>
      <x:c r="D6" s="11" t="str">
        <x:v>2025-11</x:v>
      </x:c>
      <x:c r="E6" s="11" t="str">
        <x:v>West</x:v>
      </x:c>
      <x:c r="F6" s="11" t="str">
        <x:v>Office Supplies</x:v>
      </x:c>
      <x:c r="G6" s="11" t="str">
        <x:v>Notebook pack</x:v>
      </x:c>
      <x:c r="H6" s="11" t="n">
        <x:v>2</x:v>
      </x:c>
      <x:c r="I6" s="19" t="n">
        <x:v>0</x:v>
      </x:c>
      <x:c r="J6" s="11" t="n">
        <x:v>0</x:v>
      </x:c>
      <x:c r="K6" s="20" t="n">
        <x:v>36</x:v>
      </x:c>
      <x:c r="L6" s="20" t="n">
        <x:v>0</x:v>
      </x:c>
      <x:c r="M6" s="20" t="n">
        <x:v>14</x:v>
      </x:c>
      <x:c r="N6" s="20" t="n">
        <x:f>IF(J6=1,0,K6-L6)</x:f>
        <x:v>36</x:v>
      </x:c>
      <x:c r="O6" s="20" t="n">
        <x:f>N6-M6</x:f>
        <x:v>22</x:v>
      </x:c>
    </x:row>
    <x:row r="7" ht="22" customHeight="1">
      <x:c r="A7" s="11" t="n">
        <x:v>3</x:v>
      </x:c>
      <x:c r="B7" s="11" t="n">
        <x:v>1</x:v>
      </x:c>
      <x:c r="C7" s="18" t="n">
        <x:v>45966</x:v>
      </x:c>
      <x:c r="D7" s="11" t="str">
        <x:v>2025-11</x:v>
      </x:c>
      <x:c r="E7" s="11" t="str">
        <x:v>West</x:v>
      </x:c>
      <x:c r="F7" s="11" t="str">
        <x:v>Technology</x:v>
      </x:c>
      <x:c r="G7" s="11" t="str">
        <x:v>Monitor</x:v>
      </x:c>
      <x:c r="H7" s="11" t="n">
        <x:v>1</x:v>
      </x:c>
      <x:c r="I7" s="19" t="n">
        <x:v>0</x:v>
      </x:c>
      <x:c r="J7" s="11" t="n">
        <x:v>0</x:v>
      </x:c>
      <x:c r="K7" s="20" t="n">
        <x:v>240</x:v>
      </x:c>
      <x:c r="L7" s="20" t="n">
        <x:v>0</x:v>
      </x:c>
      <x:c r="M7" s="20" t="n">
        <x:v>160</x:v>
      </x:c>
      <x:c r="N7" s="20" t="n">
        <x:f>IF(J7=1,0,K7-L7)</x:f>
        <x:v>240</x:v>
      </x:c>
      <x:c r="O7" s="20" t="n">
        <x:f>N7-M7</x:f>
        <x:v>80</x:v>
      </x:c>
    </x:row>
    <x:row r="8" ht="22" customHeight="1">
      <x:c r="A8" s="11" t="n">
        <x:v>4</x:v>
      </x:c>
      <x:c r="B8" s="11" t="n">
        <x:v>2</x:v>
      </x:c>
      <x:c r="C8" s="18" t="n">
        <x:v>45917</x:v>
      </x:c>
      <x:c r="D8" s="11" t="str">
        <x:v>2025-09</x:v>
      </x:c>
      <x:c r="E8" s="11" t="str">
        <x:v>South</x:v>
      </x:c>
      <x:c r="F8" s="11" t="str">
        <x:v>Technology</x:v>
      </x:c>
      <x:c r="G8" s="11" t="str">
        <x:v>Keyboard</x:v>
      </x:c>
      <x:c r="H8" s="11" t="n">
        <x:v>2</x:v>
      </x:c>
      <x:c r="I8" s="19" t="n">
        <x:v>0.1</x:v>
      </x:c>
      <x:c r="J8" s="11" t="n">
        <x:v>0</x:v>
      </x:c>
      <x:c r="K8" s="20" t="n">
        <x:v>130</x:v>
      </x:c>
      <x:c r="L8" s="20" t="n">
        <x:v>13</x:v>
      </x:c>
      <x:c r="M8" s="20" t="n">
        <x:v>64</x:v>
      </x:c>
      <x:c r="N8" s="20" t="n">
        <x:f>IF(J8=1,0,K8-L8)</x:f>
        <x:v>117</x:v>
      </x:c>
      <x:c r="O8" s="20" t="n">
        <x:f>N8-M8</x:f>
        <x:v>53</x:v>
      </x:c>
    </x:row>
    <x:row r="9" ht="22" customHeight="1">
      <x:c r="A9" s="11" t="n">
        <x:v>5</x:v>
      </x:c>
      <x:c r="B9" s="11" t="n">
        <x:v>2</x:v>
      </x:c>
      <x:c r="C9" s="18" t="n">
        <x:v>45917</x:v>
      </x:c>
      <x:c r="D9" s="11" t="str">
        <x:v>2025-09</x:v>
      </x:c>
      <x:c r="E9" s="11" t="str">
        <x:v>South</x:v>
      </x:c>
      <x:c r="F9" s="11" t="str">
        <x:v>Office Supplies</x:v>
      </x:c>
      <x:c r="G9" s="11" t="str">
        <x:v>Notebook pack</x:v>
      </x:c>
      <x:c r="H9" s="11" t="n">
        <x:v>2</x:v>
      </x:c>
      <x:c r="I9" s="19" t="n">
        <x:v>0</x:v>
      </x:c>
      <x:c r="J9" s="11" t="n">
        <x:v>0</x:v>
      </x:c>
      <x:c r="K9" s="20" t="n">
        <x:v>36</x:v>
      </x:c>
      <x:c r="L9" s="20" t="n">
        <x:v>0</x:v>
      </x:c>
      <x:c r="M9" s="20" t="n">
        <x:v>14</x:v>
      </x:c>
      <x:c r="N9" s="20" t="n">
        <x:f>IF(J9=1,0,K9-L9)</x:f>
        <x:v>36</x:v>
      </x:c>
      <x:c r="O9" s="20" t="n">
        <x:f>N9-M9</x:f>
        <x:v>22</x:v>
      </x:c>
    </x:row>
    <x:row r="10" ht="22" customHeight="1">
      <x:c r="A10" s="11" t="n">
        <x:v>6</x:v>
      </x:c>
      <x:c r="B10" s="11" t="n">
        <x:v>3</x:v>
      </x:c>
      <x:c r="C10" s="18" t="n">
        <x:v>45297</x:v>
      </x:c>
      <x:c r="D10" s="11" t="str">
        <x:v>2024-01</x:v>
      </x:c>
      <x:c r="E10" s="11" t="str">
        <x:v>South</x:v>
      </x:c>
      <x:c r="F10" s="11" t="str">
        <x:v>Furniture</x:v>
      </x:c>
      <x:c r="G10" s="11" t="str">
        <x:v>Chair</x:v>
      </x:c>
      <x:c r="H10" s="11" t="n">
        <x:v>5</x:v>
      </x:c>
      <x:c r="I10" s="19" t="n">
        <x:v>0.35</x:v>
      </x:c>
      <x:c r="J10" s="11" t="n">
        <x:v>1</x:v>
      </x:c>
      <x:c r="K10" s="20" t="n">
        <x:v>850</x:v>
      </x:c>
      <x:c r="L10" s="20" t="n">
        <x:v>297.5</x:v>
      </x:c>
      <x:c r="M10" s="20" t="n">
        <x:v>0</x:v>
      </x:c>
      <x:c r="N10" s="20" t="n">
        <x:f>IF(J10=1,0,K10-L10)</x:f>
        <x:v>0</x:v>
      </x:c>
      <x:c r="O10" s="20" t="n">
        <x:f>N10-M10</x:f>
        <x:v>0</x:v>
      </x:c>
    </x:row>
    <x:row r="11" ht="22" customHeight="1">
      <x:c r="A11" s="11" t="n">
        <x:v>7</x:v>
      </x:c>
      <x:c r="B11" s="11" t="n">
        <x:v>3</x:v>
      </x:c>
      <x:c r="C11" s="18" t="n">
        <x:v>45297</x:v>
      </x:c>
      <x:c r="D11" s="11" t="str">
        <x:v>2024-01</x:v>
      </x:c>
      <x:c r="E11" s="11" t="str">
        <x:v>South</x:v>
      </x:c>
      <x:c r="F11" s="11" t="str">
        <x:v>Office Supplies</x:v>
      </x:c>
      <x:c r="G11" s="11" t="str">
        <x:v>Storage box</x:v>
      </x:c>
      <x:c r="H11" s="11" t="n">
        <x:v>2</x:v>
      </x:c>
      <x:c r="I11" s="19" t="n">
        <x:v>0</x:v>
      </x:c>
      <x:c r="J11" s="11" t="n">
        <x:v>0</x:v>
      </x:c>
      <x:c r="K11" s="20" t="n">
        <x:v>52</x:v>
      </x:c>
      <x:c r="L11" s="20" t="n">
        <x:v>0</x:v>
      </x:c>
      <x:c r="M11" s="20" t="n">
        <x:v>24</x:v>
      </x:c>
      <x:c r="N11" s="20" t="n">
        <x:f>IF(J11=1,0,K11-L11)</x:f>
        <x:v>52</x:v>
      </x:c>
      <x:c r="O11" s="20" t="n">
        <x:f>N11-M11</x:f>
        <x:v>28</x:v>
      </x:c>
    </x:row>
    <x:row r="12" ht="22" customHeight="1">
      <x:c r="A12" s="11" t="n">
        <x:v>8</x:v>
      </x:c>
      <x:c r="B12" s="11" t="n">
        <x:v>4</x:v>
      </x:c>
      <x:c r="C12" s="18" t="n">
        <x:v>45767</x:v>
      </x:c>
      <x:c r="D12" s="11" t="str">
        <x:v>2025-04</x:v>
      </x:c>
      <x:c r="E12" s="11" t="str">
        <x:v>East</x:v>
      </x:c>
      <x:c r="F12" s="11" t="str">
        <x:v>Office Supplies</x:v>
      </x:c>
      <x:c r="G12" s="11" t="str">
        <x:v>Notebook pack</x:v>
      </x:c>
      <x:c r="H12" s="11" t="n">
        <x:v>4</x:v>
      </x:c>
      <x:c r="I12" s="19" t="n">
        <x:v>0.15</x:v>
      </x:c>
      <x:c r="J12" s="11" t="n">
        <x:v>0</x:v>
      </x:c>
      <x:c r="K12" s="20" t="n">
        <x:v>72</x:v>
      </x:c>
      <x:c r="L12" s="20" t="n">
        <x:v>10.8</x:v>
      </x:c>
      <x:c r="M12" s="20" t="n">
        <x:v>28</x:v>
      </x:c>
      <x:c r="N12" s="20" t="n">
        <x:f>IF(J12=1,0,K12-L12)</x:f>
        <x:v>61.2</x:v>
      </x:c>
      <x:c r="O12" s="20" t="n">
        <x:f>N12-M12</x:f>
        <x:v>33.2</x:v>
      </x:c>
    </x:row>
    <x:row r="13" ht="22" customHeight="1">
      <x:c r="A13" s="11" t="n">
        <x:v>9</x:v>
      </x:c>
      <x:c r="B13" s="11" t="n">
        <x:v>4</x:v>
      </x:c>
      <x:c r="C13" s="18" t="n">
        <x:v>45767</x:v>
      </x:c>
      <x:c r="D13" s="11" t="str">
        <x:v>2025-04</x:v>
      </x:c>
      <x:c r="E13" s="11" t="str">
        <x:v>East</x:v>
      </x:c>
      <x:c r="F13" s="11" t="str">
        <x:v>Office Supplies</x:v>
      </x:c>
      <x:c r="G13" s="11" t="str">
        <x:v>Storage box</x:v>
      </x:c>
      <x:c r="H13" s="11" t="n">
        <x:v>2</x:v>
      </x:c>
      <x:c r="I13" s="19" t="n">
        <x:v>0.1</x:v>
      </x:c>
      <x:c r="J13" s="11" t="n">
        <x:v>0</x:v>
      </x:c>
      <x:c r="K13" s="20" t="n">
        <x:v>52</x:v>
      </x:c>
      <x:c r="L13" s="20" t="n">
        <x:v>5.2</x:v>
      </x:c>
      <x:c r="M13" s="20" t="n">
        <x:v>24</x:v>
      </x:c>
      <x:c r="N13" s="20" t="n">
        <x:f>IF(J13=1,0,K13-L13)</x:f>
        <x:v>46.8</x:v>
      </x:c>
      <x:c r="O13" s="20" t="n">
        <x:f>N13-M13</x:f>
        <x:v>22.799999999999997</x:v>
      </x:c>
    </x:row>
    <x:row r="14" ht="22" customHeight="1">
      <x:c r="A14" s="11" t="n">
        <x:v>10</x:v>
      </x:c>
      <x:c r="B14" s="11" t="n">
        <x:v>5</x:v>
      </x:c>
      <x:c r="C14" s="18" t="n">
        <x:v>45545</x:v>
      </x:c>
      <x:c r="D14" s="11" t="str">
        <x:v>2024-09</x:v>
      </x:c>
      <x:c r="E14" s="11" t="str">
        <x:v>West</x:v>
      </x:c>
      <x:c r="F14" s="11" t="str">
        <x:v>Technology</x:v>
      </x:c>
      <x:c r="G14" s="11" t="str">
        <x:v>Keyboard</x:v>
      </x:c>
      <x:c r="H14" s="11" t="n">
        <x:v>4</x:v>
      </x:c>
      <x:c r="I14" s="19" t="n">
        <x:v>0</x:v>
      </x:c>
      <x:c r="J14" s="11" t="n">
        <x:v>0</x:v>
      </x:c>
      <x:c r="K14" s="20" t="n">
        <x:v>260</x:v>
      </x:c>
      <x:c r="L14" s="20" t="n">
        <x:v>0</x:v>
      </x:c>
      <x:c r="M14" s="20" t="n">
        <x:v>128</x:v>
      </x:c>
      <x:c r="N14" s="20" t="n">
        <x:f>IF(J14=1,0,K14-L14)</x:f>
        <x:v>260</x:v>
      </x:c>
      <x:c r="O14" s="20" t="n">
        <x:f>N14-M14</x:f>
        <x:v>132</x:v>
      </x:c>
    </x:row>
    <x:row r="15" ht="22" customHeight="1">
      <x:c r="A15" s="11" t="n">
        <x:v>11</x:v>
      </x:c>
      <x:c r="B15" s="11" t="n">
        <x:v>5</x:v>
      </x:c>
      <x:c r="C15" s="18" t="n">
        <x:v>45545</x:v>
      </x:c>
      <x:c r="D15" s="11" t="str">
        <x:v>2024-09</x:v>
      </x:c>
      <x:c r="E15" s="11" t="str">
        <x:v>West</x:v>
      </x:c>
      <x:c r="F15" s="11" t="str">
        <x:v>Furniture</x:v>
      </x:c>
      <x:c r="G15" s="11" t="str">
        <x:v>Chair</x:v>
      </x:c>
      <x:c r="H15" s="11" t="n">
        <x:v>2</x:v>
      </x:c>
      <x:c r="I15" s="19" t="n">
        <x:v>0.1</x:v>
      </x:c>
      <x:c r="J15" s="11" t="n">
        <x:v>0</x:v>
      </x:c>
      <x:c r="K15" s="20" t="n">
        <x:v>340</x:v>
      </x:c>
      <x:c r="L15" s="20" t="n">
        <x:v>34</x:v>
      </x:c>
      <x:c r="M15" s="20" t="n">
        <x:v>220</x:v>
      </x:c>
      <x:c r="N15" s="20" t="n">
        <x:f>IF(J15=1,0,K15-L15)</x:f>
        <x:v>306</x:v>
      </x:c>
      <x:c r="O15" s="20" t="n">
        <x:f>N15-M15</x:f>
        <x:v>86</x:v>
      </x:c>
    </x:row>
    <x:row r="16" ht="22" customHeight="1">
      <x:c r="A16" s="11" t="n">
        <x:v>12</x:v>
      </x:c>
      <x:c r="B16" s="11" t="n">
        <x:v>5</x:v>
      </x:c>
      <x:c r="C16" s="18" t="n">
        <x:v>45545</x:v>
      </x:c>
      <x:c r="D16" s="11" t="str">
        <x:v>2024-09</x:v>
      </x:c>
      <x:c r="E16" s="11" t="str">
        <x:v>West</x:v>
      </x:c>
      <x:c r="F16" s="11" t="str">
        <x:v>Technology</x:v>
      </x:c>
      <x:c r="G16" s="11" t="str">
        <x:v>Monitor</x:v>
      </x:c>
      <x:c r="H16" s="11" t="n">
        <x:v>5</x:v>
      </x:c>
      <x:c r="I16" s="19" t="n">
        <x:v>0</x:v>
      </x:c>
      <x:c r="J16" s="11" t="n">
        <x:v>0</x:v>
      </x:c>
      <x:c r="K16" s="20" t="n">
        <x:v>1200</x:v>
      </x:c>
      <x:c r="L16" s="20" t="n">
        <x:v>0</x:v>
      </x:c>
      <x:c r="M16" s="20" t="n">
        <x:v>800</x:v>
      </x:c>
      <x:c r="N16" s="20" t="n">
        <x:f>IF(J16=1,0,K16-L16)</x:f>
        <x:v>1200</x:v>
      </x:c>
      <x:c r="O16" s="20" t="n">
        <x:f>N16-M16</x:f>
        <x:v>400</x:v>
      </x:c>
    </x:row>
    <x:row r="17" ht="22" customHeight="1">
      <x:c r="A17" s="11" t="n">
        <x:v>13</x:v>
      </x:c>
      <x:c r="B17" s="11" t="n">
        <x:v>6</x:v>
      </x:c>
      <x:c r="C17" s="18" t="n">
        <x:v>45528</x:v>
      </x:c>
      <x:c r="D17" s="11" t="str">
        <x:v>2024-08</x:v>
      </x:c>
      <x:c r="E17" s="11" t="str">
        <x:v>West</x:v>
      </x:c>
      <x:c r="F17" s="11" t="str">
        <x:v>Furniture</x:v>
      </x:c>
      <x:c r="G17" s="11" t="str">
        <x:v>Chair</x:v>
      </x:c>
      <x:c r="H17" s="11" t="n">
        <x:v>4</x:v>
      </x:c>
      <x:c r="I17" s="19" t="n">
        <x:v>0.15</x:v>
      </x:c>
      <x:c r="J17" s="11" t="n">
        <x:v>0</x:v>
      </x:c>
      <x:c r="K17" s="20" t="n">
        <x:v>680</x:v>
      </x:c>
      <x:c r="L17" s="20" t="n">
        <x:v>102</x:v>
      </x:c>
      <x:c r="M17" s="20" t="n">
        <x:v>440</x:v>
      </x:c>
      <x:c r="N17" s="20" t="n">
        <x:f>IF(J17=1,0,K17-L17)</x:f>
        <x:v>578</x:v>
      </x:c>
      <x:c r="O17" s="20" t="n">
        <x:f>N17-M17</x:f>
        <x:v>138</x:v>
      </x:c>
    </x:row>
    <x:row r="18" ht="22" customHeight="1">
      <x:c r="A18" s="11" t="n">
        <x:v>14</x:v>
      </x:c>
      <x:c r="B18" s="11" t="n">
        <x:v>6</x:v>
      </x:c>
      <x:c r="C18" s="18" t="n">
        <x:v>45528</x:v>
      </x:c>
      <x:c r="D18" s="11" t="str">
        <x:v>2024-08</x:v>
      </x:c>
      <x:c r="E18" s="11" t="str">
        <x:v>West</x:v>
      </x:c>
      <x:c r="F18" s="11" t="str">
        <x:v>Furniture</x:v>
      </x:c>
      <x:c r="G18" s="11" t="str">
        <x:v>Desk</x:v>
      </x:c>
      <x:c r="H18" s="11" t="n">
        <x:v>4</x:v>
      </x:c>
      <x:c r="I18" s="19" t="n">
        <x:v>0</x:v>
      </x:c>
      <x:c r="J18" s="11" t="n">
        <x:v>0</x:v>
      </x:c>
      <x:c r="K18" s="20" t="n">
        <x:v>1120</x:v>
      </x:c>
      <x:c r="L18" s="20" t="n">
        <x:v>0</x:v>
      </x:c>
      <x:c r="M18" s="20" t="n">
        <x:v>760</x:v>
      </x:c>
      <x:c r="N18" s="20" t="n">
        <x:f>IF(J18=1,0,K18-L18)</x:f>
        <x:v>1120</x:v>
      </x:c>
      <x:c r="O18" s="20" t="n">
        <x:f>N18-M18</x:f>
        <x:v>360</x:v>
      </x:c>
    </x:row>
    <x:row r="19" ht="22" customHeight="1">
      <x:c r="A19" s="11" t="n">
        <x:v>15</x:v>
      </x:c>
      <x:c r="B19" s="11" t="n">
        <x:v>6</x:v>
      </x:c>
      <x:c r="C19" s="18" t="n">
        <x:v>45528</x:v>
      </x:c>
      <x:c r="D19" s="11" t="str">
        <x:v>2024-08</x:v>
      </x:c>
      <x:c r="E19" s="11" t="str">
        <x:v>West</x:v>
      </x:c>
      <x:c r="F19" s="11" t="str">
        <x:v>Technology</x:v>
      </x:c>
      <x:c r="G19" s="11" t="str">
        <x:v>Keyboard</x:v>
      </x:c>
      <x:c r="H19" s="11" t="n">
        <x:v>4</x:v>
      </x:c>
      <x:c r="I19" s="19" t="n">
        <x:v>0.1</x:v>
      </x:c>
      <x:c r="J19" s="11" t="n">
        <x:v>0</x:v>
      </x:c>
      <x:c r="K19" s="20" t="n">
        <x:v>260</x:v>
      </x:c>
      <x:c r="L19" s="20" t="n">
        <x:v>26</x:v>
      </x:c>
      <x:c r="M19" s="20" t="n">
        <x:v>128</x:v>
      </x:c>
      <x:c r="N19" s="20" t="n">
        <x:f>IF(J19=1,0,K19-L19)</x:f>
        <x:v>234</x:v>
      </x:c>
      <x:c r="O19" s="20" t="n">
        <x:f>N19-M19</x:f>
        <x:v>106</x:v>
      </x:c>
    </x:row>
    <x:row r="20" ht="22" customHeight="1">
      <x:c r="A20" s="11" t="n">
        <x:v>16</x:v>
      </x:c>
      <x:c r="B20" s="11" t="n">
        <x:v>7</x:v>
      </x:c>
      <x:c r="C20" s="18" t="n">
        <x:v>45890</x:v>
      </x:c>
      <x:c r="D20" s="11" t="str">
        <x:v>2025-08</x:v>
      </x:c>
      <x:c r="E20" s="11" t="str">
        <x:v>East</x:v>
      </x:c>
      <x:c r="F20" s="11" t="str">
        <x:v>Technology</x:v>
      </x:c>
      <x:c r="G20" s="11" t="str">
        <x:v>Keyboard</x:v>
      </x:c>
      <x:c r="H20" s="11" t="n">
        <x:v>3</x:v>
      </x:c>
      <x:c r="I20" s="19" t="n">
        <x:v>0.05</x:v>
      </x:c>
      <x:c r="J20" s="11" t="n">
        <x:v>0</x:v>
      </x:c>
      <x:c r="K20" s="20" t="n">
        <x:v>195</x:v>
      </x:c>
      <x:c r="L20" s="20" t="n">
        <x:v>9.75</x:v>
      </x:c>
      <x:c r="M20" s="20" t="n">
        <x:v>96</x:v>
      </x:c>
      <x:c r="N20" s="20" t="n">
        <x:f>IF(J20=1,0,K20-L20)</x:f>
        <x:v>185.25</x:v>
      </x:c>
      <x:c r="O20" s="20" t="n">
        <x:f>N20-M20</x:f>
        <x:v>89.25</x:v>
      </x:c>
    </x:row>
    <x:row r="21" ht="22" customHeight="1">
      <x:c r="A21" s="11" t="n">
        <x:v>17</x:v>
      </x:c>
      <x:c r="B21" s="11" t="n">
        <x:v>7</x:v>
      </x:c>
      <x:c r="C21" s="18" t="n">
        <x:v>45890</x:v>
      </x:c>
      <x:c r="D21" s="11" t="str">
        <x:v>2025-08</x:v>
      </x:c>
      <x:c r="E21" s="11" t="str">
        <x:v>East</x:v>
      </x:c>
      <x:c r="F21" s="11" t="str">
        <x:v>Office Supplies</x:v>
      </x:c>
      <x:c r="G21" s="11" t="str">
        <x:v>Storage box</x:v>
      </x:c>
      <x:c r="H21" s="11" t="n">
        <x:v>4</x:v>
      </x:c>
      <x:c r="I21" s="19" t="n">
        <x:v>0.15</x:v>
      </x:c>
      <x:c r="J21" s="11" t="n">
        <x:v>0</x:v>
      </x:c>
      <x:c r="K21" s="20" t="n">
        <x:v>104</x:v>
      </x:c>
      <x:c r="L21" s="20" t="n">
        <x:v>15.6</x:v>
      </x:c>
      <x:c r="M21" s="20" t="n">
        <x:v>48</x:v>
      </x:c>
      <x:c r="N21" s="20" t="n">
        <x:f>IF(J21=1,0,K21-L21)</x:f>
        <x:v>88.4</x:v>
      </x:c>
      <x:c r="O21" s="20" t="n">
        <x:f>N21-M21</x:f>
        <x:v>40.400000000000006</x:v>
      </x:c>
    </x:row>
    <x:row r="22" ht="22" customHeight="1">
      <x:c r="A22" s="11" t="n">
        <x:v>18</x:v>
      </x:c>
      <x:c r="B22" s="11" t="n">
        <x:v>7</x:v>
      </x:c>
      <x:c r="C22" s="18" t="n">
        <x:v>45890</x:v>
      </x:c>
      <x:c r="D22" s="11" t="str">
        <x:v>2025-08</x:v>
      </x:c>
      <x:c r="E22" s="11" t="str">
        <x:v>East</x:v>
      </x:c>
      <x:c r="F22" s="11" t="str">
        <x:v>Furniture</x:v>
      </x:c>
      <x:c r="G22" s="11" t="str">
        <x:v>Desk</x:v>
      </x:c>
      <x:c r="H22" s="11" t="n">
        <x:v>5</x:v>
      </x:c>
      <x:c r="I22" s="19" t="n">
        <x:v>0.05</x:v>
      </x:c>
      <x:c r="J22" s="11" t="n">
        <x:v>0</x:v>
      </x:c>
      <x:c r="K22" s="20" t="n">
        <x:v>1400</x:v>
      </x:c>
      <x:c r="L22" s="20" t="n">
        <x:v>70</x:v>
      </x:c>
      <x:c r="M22" s="20" t="n">
        <x:v>950</x:v>
      </x:c>
      <x:c r="N22" s="20" t="n">
        <x:f>IF(J22=1,0,K22-L22)</x:f>
        <x:v>1330</x:v>
      </x:c>
      <x:c r="O22" s="20" t="n">
        <x:f>N22-M22</x:f>
        <x:v>380</x:v>
      </x:c>
    </x:row>
    <x:row r="23" ht="22" customHeight="1">
      <x:c r="A23" s="11" t="n">
        <x:v>19</x:v>
      </x:c>
      <x:c r="B23" s="11" t="n">
        <x:v>8</x:v>
      </x:c>
      <x:c r="C23" s="18" t="n">
        <x:v>45571</x:v>
      </x:c>
      <x:c r="D23" s="11" t="str">
        <x:v>2024-10</x:v>
      </x:c>
      <x:c r="E23" s="11" t="str">
        <x:v>Central</x:v>
      </x:c>
      <x:c r="F23" s="11" t="str">
        <x:v>Technology</x:v>
      </x:c>
      <x:c r="G23" s="11" t="str">
        <x:v>Keyboard</x:v>
      </x:c>
      <x:c r="H23" s="11" t="n">
        <x:v>3</x:v>
      </x:c>
      <x:c r="I23" s="19" t="n">
        <x:v>0.1</x:v>
      </x:c>
      <x:c r="J23" s="11" t="n">
        <x:v>0</x:v>
      </x:c>
      <x:c r="K23" s="20" t="n">
        <x:v>195</x:v>
      </x:c>
      <x:c r="L23" s="20" t="n">
        <x:v>19.5</x:v>
      </x:c>
      <x:c r="M23" s="20" t="n">
        <x:v>96</x:v>
      </x:c>
      <x:c r="N23" s="20" t="n">
        <x:f>IF(J23=1,0,K23-L23)</x:f>
        <x:v>175.5</x:v>
      </x:c>
      <x:c r="O23" s="20" t="n">
        <x:f>N23-M23</x:f>
        <x:v>79.5</x:v>
      </x:c>
    </x:row>
    <x:row r="24" ht="22" customHeight="1">
      <x:c r="A24" s="11" t="n">
        <x:v>20</x:v>
      </x:c>
      <x:c r="B24" s="11" t="n">
        <x:v>9</x:v>
      </x:c>
      <x:c r="C24" s="18" t="n">
        <x:v>45770</x:v>
      </x:c>
      <x:c r="D24" s="11" t="str">
        <x:v>2025-04</x:v>
      </x:c>
      <x:c r="E24" s="11" t="str">
        <x:v>South</x:v>
      </x:c>
      <x:c r="F24" s="11" t="str">
        <x:v>Office Supplies</x:v>
      </x:c>
      <x:c r="G24" s="11" t="str">
        <x:v>Notebook pack</x:v>
      </x:c>
      <x:c r="H24" s="11" t="n">
        <x:v>1</x:v>
      </x:c>
      <x:c r="I24" s="19" t="n">
        <x:v>0</x:v>
      </x:c>
      <x:c r="J24" s="11" t="n">
        <x:v>0</x:v>
      </x:c>
      <x:c r="K24" s="20" t="n">
        <x:v>18</x:v>
      </x:c>
      <x:c r="L24" s="20" t="n">
        <x:v>0</x:v>
      </x:c>
      <x:c r="M24" s="20" t="n">
        <x:v>7</x:v>
      </x:c>
      <x:c r="N24" s="20" t="n">
        <x:f>IF(J24=1,0,K24-L24)</x:f>
        <x:v>18</x:v>
      </x:c>
      <x:c r="O24" s="20" t="n">
        <x:f>N24-M24</x:f>
        <x:v>11</x:v>
      </x:c>
    </x:row>
    <x:row r="25" ht="22" customHeight="1">
      <x:c r="A25" s="11" t="n">
        <x:v>21</x:v>
      </x:c>
      <x:c r="B25" s="11" t="n">
        <x:v>9</x:v>
      </x:c>
      <x:c r="C25" s="18" t="n">
        <x:v>45770</x:v>
      </x:c>
      <x:c r="D25" s="11" t="str">
        <x:v>2025-04</x:v>
      </x:c>
      <x:c r="E25" s="11" t="str">
        <x:v>South</x:v>
      </x:c>
      <x:c r="F25" s="11" t="str">
        <x:v>Office Supplies</x:v>
      </x:c>
      <x:c r="G25" s="11" t="str">
        <x:v>Storage box</x:v>
      </x:c>
      <x:c r="H25" s="11" t="n">
        <x:v>2</x:v>
      </x:c>
      <x:c r="I25" s="19" t="n">
        <x:v>0.1</x:v>
      </x:c>
      <x:c r="J25" s="11" t="n">
        <x:v>0</x:v>
      </x:c>
      <x:c r="K25" s="20" t="n">
        <x:v>52</x:v>
      </x:c>
      <x:c r="L25" s="20" t="n">
        <x:v>5.2</x:v>
      </x:c>
      <x:c r="M25" s="20" t="n">
        <x:v>24</x:v>
      </x:c>
      <x:c r="N25" s="20" t="n">
        <x:f>IF(J25=1,0,K25-L25)</x:f>
        <x:v>46.8</x:v>
      </x:c>
      <x:c r="O25" s="20" t="n">
        <x:f>N25-M25</x:f>
        <x:v>22.799999999999997</x:v>
      </x:c>
    </x:row>
    <x:row r="26" ht="22" customHeight="1">
      <x:c r="A26" s="11" t="n">
        <x:v>22</x:v>
      </x:c>
      <x:c r="B26" s="11" t="n">
        <x:v>10</x:v>
      </x:c>
      <x:c r="C26" s="18" t="n">
        <x:v>45558</x:v>
      </x:c>
      <x:c r="D26" s="11" t="str">
        <x:v>2024-09</x:v>
      </x:c>
      <x:c r="E26" s="11" t="str">
        <x:v>Central</x:v>
      </x:c>
      <x:c r="F26" s="11" t="str">
        <x:v>Technology</x:v>
      </x:c>
      <x:c r="G26" s="11" t="str">
        <x:v>Keyboard</x:v>
      </x:c>
      <x:c r="H26" s="11" t="n">
        <x:v>3</x:v>
      </x:c>
      <x:c r="I26" s="19" t="n">
        <x:v>0.05</x:v>
      </x:c>
      <x:c r="J26" s="11" t="n">
        <x:v>0</x:v>
      </x:c>
      <x:c r="K26" s="20" t="n">
        <x:v>195</x:v>
      </x:c>
      <x:c r="L26" s="20" t="n">
        <x:v>9.75</x:v>
      </x:c>
      <x:c r="M26" s="20" t="n">
        <x:v>96</x:v>
      </x:c>
      <x:c r="N26" s="20" t="n">
        <x:f>IF(J26=1,0,K26-L26)</x:f>
        <x:v>185.25</x:v>
      </x:c>
      <x:c r="O26" s="20" t="n">
        <x:f>N26-M26</x:f>
        <x:v>89.25</x:v>
      </x:c>
    </x:row>
    <x:row r="27" ht="22" customHeight="1">
      <x:c r="A27" s="11" t="n">
        <x:v>23</x:v>
      </x:c>
      <x:c r="B27" s="11" t="n">
        <x:v>11</x:v>
      </x:c>
      <x:c r="C27" s="18" t="n">
        <x:v>45680</x:v>
      </x:c>
      <x:c r="D27" s="11" t="str">
        <x:v>2025-01</x:v>
      </x:c>
      <x:c r="E27" s="11" t="str">
        <x:v>West</x:v>
      </x:c>
      <x:c r="F27" s="11" t="str">
        <x:v>Furniture</x:v>
      </x:c>
      <x:c r="G27" s="11" t="str">
        <x:v>Desk</x:v>
      </x:c>
      <x:c r="H27" s="11" t="n">
        <x:v>1</x:v>
      </x:c>
      <x:c r="I27" s="19" t="n">
        <x:v>0</x:v>
      </x:c>
      <x:c r="J27" s="11" t="n">
        <x:v>0</x:v>
      </x:c>
      <x:c r="K27" s="20" t="n">
        <x:v>280</x:v>
      </x:c>
      <x:c r="L27" s="20" t="n">
        <x:v>0</x:v>
      </x:c>
      <x:c r="M27" s="20" t="n">
        <x:v>190</x:v>
      </x:c>
      <x:c r="N27" s="20" t="n">
        <x:f>IF(J27=1,0,K27-L27)</x:f>
        <x:v>280</x:v>
      </x:c>
      <x:c r="O27" s="20" t="n">
        <x:f>N27-M27</x:f>
        <x:v>90</x:v>
      </x:c>
    </x:row>
    <x:row r="28" ht="22" customHeight="1">
      <x:c r="A28" s="11" t="n">
        <x:v>24</x:v>
      </x:c>
      <x:c r="B28" s="11" t="n">
        <x:v>11</x:v>
      </x:c>
      <x:c r="C28" s="18" t="n">
        <x:v>45680</x:v>
      </x:c>
      <x:c r="D28" s="11" t="str">
        <x:v>2025-01</x:v>
      </x:c>
      <x:c r="E28" s="11" t="str">
        <x:v>West</x:v>
      </x:c>
      <x:c r="F28" s="11" t="str">
        <x:v>Technology</x:v>
      </x:c>
      <x:c r="G28" s="11" t="str">
        <x:v>Keyboard</x:v>
      </x:c>
      <x:c r="H28" s="11" t="n">
        <x:v>3</x:v>
      </x:c>
      <x:c r="I28" s="19" t="n">
        <x:v>0</x:v>
      </x:c>
      <x:c r="J28" s="11" t="n">
        <x:v>0</x:v>
      </x:c>
      <x:c r="K28" s="20" t="n">
        <x:v>195</x:v>
      </x:c>
      <x:c r="L28" s="20" t="n">
        <x:v>0</x:v>
      </x:c>
      <x:c r="M28" s="20" t="n">
        <x:v>96</x:v>
      </x:c>
      <x:c r="N28" s="20" t="n">
        <x:f>IF(J28=1,0,K28-L28)</x:f>
        <x:v>195</x:v>
      </x:c>
      <x:c r="O28" s="20" t="n">
        <x:f>N28-M28</x:f>
        <x:v>99</x:v>
      </x:c>
    </x:row>
    <x:row r="29" ht="22" customHeight="1">
      <x:c r="A29" s="11" t="n">
        <x:v>25</x:v>
      </x:c>
      <x:c r="B29" s="11" t="n">
        <x:v>12</x:v>
      </x:c>
      <x:c r="C29" s="18" t="n">
        <x:v>45959</x:v>
      </x:c>
      <x:c r="D29" s="11" t="str">
        <x:v>2025-10</x:v>
      </x:c>
      <x:c r="E29" s="11" t="str">
        <x:v>East</x:v>
      </x:c>
      <x:c r="F29" s="11" t="str">
        <x:v>Furniture</x:v>
      </x:c>
      <x:c r="G29" s="11" t="str">
        <x:v>Chair</x:v>
      </x:c>
      <x:c r="H29" s="11" t="n">
        <x:v>1</x:v>
      </x:c>
      <x:c r="I29" s="19" t="n">
        <x:v>0</x:v>
      </x:c>
      <x:c r="J29" s="11" t="n">
        <x:v>0</x:v>
      </x:c>
      <x:c r="K29" s="20" t="n">
        <x:v>170</x:v>
      </x:c>
      <x:c r="L29" s="20" t="n">
        <x:v>0</x:v>
      </x:c>
      <x:c r="M29" s="20" t="n">
        <x:v>110</x:v>
      </x:c>
      <x:c r="N29" s="20" t="n">
        <x:f>IF(J29=1,0,K29-L29)</x:f>
        <x:v>170</x:v>
      </x:c>
      <x:c r="O29" s="20" t="n">
        <x:f>N29-M29</x:f>
        <x:v>60</x:v>
      </x:c>
    </x:row>
    <x:row r="30" ht="22" customHeight="1">
      <x:c r="A30" s="11" t="n">
        <x:v>26</x:v>
      </x:c>
      <x:c r="B30" s="11" t="n">
        <x:v>13</x:v>
      </x:c>
      <x:c r="C30" s="18" t="n">
        <x:v>45776</x:v>
      </x:c>
      <x:c r="D30" s="11" t="str">
        <x:v>2025-04</x:v>
      </x:c>
      <x:c r="E30" s="11" t="str">
        <x:v>South</x:v>
      </x:c>
      <x:c r="F30" s="11" t="str">
        <x:v>Furniture</x:v>
      </x:c>
      <x:c r="G30" s="11" t="str">
        <x:v>Chair</x:v>
      </x:c>
      <x:c r="H30" s="11" t="n">
        <x:v>3</x:v>
      </x:c>
      <x:c r="I30" s="19" t="n">
        <x:v>0</x:v>
      </x:c>
      <x:c r="J30" s="11" t="n">
        <x:v>0</x:v>
      </x:c>
      <x:c r="K30" s="20" t="n">
        <x:v>510</x:v>
      </x:c>
      <x:c r="L30" s="20" t="n">
        <x:v>0</x:v>
      </x:c>
      <x:c r="M30" s="20" t="n">
        <x:v>330</x:v>
      </x:c>
      <x:c r="N30" s="20" t="n">
        <x:f>IF(J30=1,0,K30-L30)</x:f>
        <x:v>510</x:v>
      </x:c>
      <x:c r="O30" s="20" t="n">
        <x:f>N30-M30</x:f>
        <x:v>180</x:v>
      </x:c>
    </x:row>
    <x:row r="31" ht="22" customHeight="1">
      <x:c r="A31" s="11" t="n">
        <x:v>27</x:v>
      </x:c>
      <x:c r="B31" s="11" t="n">
        <x:v>13</x:v>
      </x:c>
      <x:c r="C31" s="18" t="n">
        <x:v>45776</x:v>
      </x:c>
      <x:c r="D31" s="11" t="str">
        <x:v>2025-04</x:v>
      </x:c>
      <x:c r="E31" s="11" t="str">
        <x:v>South</x:v>
      </x:c>
      <x:c r="F31" s="11" t="str">
        <x:v>Technology</x:v>
      </x:c>
      <x:c r="G31" s="11" t="str">
        <x:v>Keyboard</x:v>
      </x:c>
      <x:c r="H31" s="11" t="n">
        <x:v>1</x:v>
      </x:c>
      <x:c r="I31" s="19" t="n">
        <x:v>0</x:v>
      </x:c>
      <x:c r="J31" s="11" t="n">
        <x:v>0</x:v>
      </x:c>
      <x:c r="K31" s="20" t="n">
        <x:v>65</x:v>
      </x:c>
      <x:c r="L31" s="20" t="n">
        <x:v>0</x:v>
      </x:c>
      <x:c r="M31" s="20" t="n">
        <x:v>32</x:v>
      </x:c>
      <x:c r="N31" s="20" t="n">
        <x:f>IF(J31=1,0,K31-L31)</x:f>
        <x:v>65</x:v>
      </x:c>
      <x:c r="O31" s="20" t="n">
        <x:f>N31-M31</x:f>
        <x:v>33</x:v>
      </x:c>
    </x:row>
    <x:row r="32" ht="22" customHeight="1">
      <x:c r="A32" s="11" t="n">
        <x:v>28</x:v>
      </x:c>
      <x:c r="B32" s="11" t="n">
        <x:v>13</x:v>
      </x:c>
      <x:c r="C32" s="18" t="n">
        <x:v>45776</x:v>
      </x:c>
      <x:c r="D32" s="11" t="str">
        <x:v>2025-04</x:v>
      </x:c>
      <x:c r="E32" s="11" t="str">
        <x:v>South</x:v>
      </x:c>
      <x:c r="F32" s="11" t="str">
        <x:v>Technology</x:v>
      </x:c>
      <x:c r="G32" s="11" t="str">
        <x:v>Monitor</x:v>
      </x:c>
      <x:c r="H32" s="11" t="n">
        <x:v>1</x:v>
      </x:c>
      <x:c r="I32" s="19" t="n">
        <x:v>0.15</x:v>
      </x:c>
      <x:c r="J32" s="11" t="n">
        <x:v>1</x:v>
      </x:c>
      <x:c r="K32" s="20" t="n">
        <x:v>240</x:v>
      </x:c>
      <x:c r="L32" s="20" t="n">
        <x:v>36</x:v>
      </x:c>
      <x:c r="M32" s="20" t="n">
        <x:v>0</x:v>
      </x:c>
      <x:c r="N32" s="20" t="n">
        <x:f>IF(J32=1,0,K32-L32)</x:f>
        <x:v>0</x:v>
      </x:c>
      <x:c r="O32" s="20" t="n">
        <x:f>N32-M32</x:f>
        <x:v>0</x:v>
      </x:c>
    </x:row>
    <x:row r="33" ht="22" customHeight="1">
      <x:c r="A33" s="11" t="n">
        <x:v>29</x:v>
      </x:c>
      <x:c r="B33" s="11" t="n">
        <x:v>14</x:v>
      </x:c>
      <x:c r="C33" s="18" t="n">
        <x:v>45611</x:v>
      </x:c>
      <x:c r="D33" s="11" t="str">
        <x:v>2024-11</x:v>
      </x:c>
      <x:c r="E33" s="11" t="str">
        <x:v>Central</x:v>
      </x:c>
      <x:c r="F33" s="11" t="str">
        <x:v>Office Supplies</x:v>
      </x:c>
      <x:c r="G33" s="11" t="str">
        <x:v>Storage box</x:v>
      </x:c>
      <x:c r="H33" s="11" t="n">
        <x:v>1</x:v>
      </x:c>
      <x:c r="I33" s="19" t="n">
        <x:v>0.15</x:v>
      </x:c>
      <x:c r="J33" s="11" t="n">
        <x:v>0</x:v>
      </x:c>
      <x:c r="K33" s="20" t="n">
        <x:v>26</x:v>
      </x:c>
      <x:c r="L33" s="20" t="n">
        <x:v>3.9</x:v>
      </x:c>
      <x:c r="M33" s="20" t="n">
        <x:v>12</x:v>
      </x:c>
      <x:c r="N33" s="20" t="n">
        <x:f>IF(J33=1,0,K33-L33)</x:f>
        <x:v>22.1</x:v>
      </x:c>
      <x:c r="O33" s="20" t="n">
        <x:f>N33-M33</x:f>
        <x:v>10.100000000000001</x:v>
      </x:c>
    </x:row>
    <x:row r="34" ht="22" customHeight="1">
      <x:c r="A34" s="11" t="n">
        <x:v>30</x:v>
      </x:c>
      <x:c r="B34" s="11" t="n">
        <x:v>14</x:v>
      </x:c>
      <x:c r="C34" s="18" t="n">
        <x:v>45611</x:v>
      </x:c>
      <x:c r="D34" s="11" t="str">
        <x:v>2024-11</x:v>
      </x:c>
      <x:c r="E34" s="11" t="str">
        <x:v>Central</x:v>
      </x:c>
      <x:c r="F34" s="11" t="str">
        <x:v>Furniture</x:v>
      </x:c>
      <x:c r="G34" s="11" t="str">
        <x:v>Chair</x:v>
      </x:c>
      <x:c r="H34" s="11" t="n">
        <x:v>2</x:v>
      </x:c>
      <x:c r="I34" s="19" t="n">
        <x:v>0</x:v>
      </x:c>
      <x:c r="J34" s="11" t="n">
        <x:v>0</x:v>
      </x:c>
      <x:c r="K34" s="20" t="n">
        <x:v>340</x:v>
      </x:c>
      <x:c r="L34" s="20" t="n">
        <x:v>0</x:v>
      </x:c>
      <x:c r="M34" s="20" t="n">
        <x:v>220</x:v>
      </x:c>
      <x:c r="N34" s="20" t="n">
        <x:f>IF(J34=1,0,K34-L34)</x:f>
        <x:v>340</x:v>
      </x:c>
      <x:c r="O34" s="20" t="n">
        <x:f>N34-M34</x:f>
        <x:v>120</x:v>
      </x:c>
    </x:row>
    <x:row r="35" ht="22" customHeight="1">
      <x:c r="A35" s="11" t="n">
        <x:v>31</x:v>
      </x:c>
      <x:c r="B35" s="11" t="n">
        <x:v>15</x:v>
      </x:c>
      <x:c r="C35" s="18" t="n">
        <x:v>45600</x:v>
      </x:c>
      <x:c r="D35" s="11" t="str">
        <x:v>2024-11</x:v>
      </x:c>
      <x:c r="E35" s="11" t="str">
        <x:v>East</x:v>
      </x:c>
      <x:c r="F35" s="11" t="str">
        <x:v>Furniture</x:v>
      </x:c>
      <x:c r="G35" s="11" t="str">
        <x:v>Desk</x:v>
      </x:c>
      <x:c r="H35" s="11" t="n">
        <x:v>3</x:v>
      </x:c>
      <x:c r="I35" s="19" t="n">
        <x:v>0</x:v>
      </x:c>
      <x:c r="J35" s="11" t="n">
        <x:v>0</x:v>
      </x:c>
      <x:c r="K35" s="20" t="n">
        <x:v>840</x:v>
      </x:c>
      <x:c r="L35" s="20" t="n">
        <x:v>0</x:v>
      </x:c>
      <x:c r="M35" s="20" t="n">
        <x:v>570</x:v>
      </x:c>
      <x:c r="N35" s="20" t="n">
        <x:f>IF(J35=1,0,K35-L35)</x:f>
        <x:v>840</x:v>
      </x:c>
      <x:c r="O35" s="20" t="n">
        <x:f>N35-M35</x:f>
        <x:v>270</x:v>
      </x:c>
    </x:row>
    <x:row r="36" ht="22" customHeight="1">
      <x:c r="A36" s="11" t="n">
        <x:v>32</x:v>
      </x:c>
      <x:c r="B36" s="11" t="n">
        <x:v>15</x:v>
      </x:c>
      <x:c r="C36" s="18" t="n">
        <x:v>45600</x:v>
      </x:c>
      <x:c r="D36" s="11" t="str">
        <x:v>2024-11</x:v>
      </x:c>
      <x:c r="E36" s="11" t="str">
        <x:v>East</x:v>
      </x:c>
      <x:c r="F36" s="11" t="str">
        <x:v>Technology</x:v>
      </x:c>
      <x:c r="G36" s="11" t="str">
        <x:v>Monitor</x:v>
      </x:c>
      <x:c r="H36" s="11" t="n">
        <x:v>3</x:v>
      </x:c>
      <x:c r="I36" s="19" t="n">
        <x:v>0</x:v>
      </x:c>
      <x:c r="J36" s="11" t="n">
        <x:v>0</x:v>
      </x:c>
      <x:c r="K36" s="20" t="n">
        <x:v>720</x:v>
      </x:c>
      <x:c r="L36" s="20" t="n">
        <x:v>0</x:v>
      </x:c>
      <x:c r="M36" s="20" t="n">
        <x:v>480</x:v>
      </x:c>
      <x:c r="N36" s="20" t="n">
        <x:f>IF(J36=1,0,K36-L36)</x:f>
        <x:v>720</x:v>
      </x:c>
      <x:c r="O36" s="20" t="n">
        <x:f>N36-M36</x:f>
        <x:v>240</x:v>
      </x:c>
    </x:row>
    <x:row r="37" ht="22" customHeight="1">
      <x:c r="A37" s="11" t="n">
        <x:v>33</x:v>
      </x:c>
      <x:c r="B37" s="11" t="n">
        <x:v>15</x:v>
      </x:c>
      <x:c r="C37" s="18" t="n">
        <x:v>45600</x:v>
      </x:c>
      <x:c r="D37" s="11" t="str">
        <x:v>2024-11</x:v>
      </x:c>
      <x:c r="E37" s="11" t="str">
        <x:v>East</x:v>
      </x:c>
      <x:c r="F37" s="11" t="str">
        <x:v>Technology</x:v>
      </x:c>
      <x:c r="G37" s="11" t="str">
        <x:v>Keyboard</x:v>
      </x:c>
      <x:c r="H37" s="11" t="n">
        <x:v>4</x:v>
      </x:c>
      <x:c r="I37" s="19" t="n">
        <x:v>0</x:v>
      </x:c>
      <x:c r="J37" s="11" t="n">
        <x:v>0</x:v>
      </x:c>
      <x:c r="K37" s="20" t="n">
        <x:v>260</x:v>
      </x:c>
      <x:c r="L37" s="20" t="n">
        <x:v>0</x:v>
      </x:c>
      <x:c r="M37" s="20" t="n">
        <x:v>128</x:v>
      </x:c>
      <x:c r="N37" s="20" t="n">
        <x:f>IF(J37=1,0,K37-L37)</x:f>
        <x:v>260</x:v>
      </x:c>
      <x:c r="O37" s="20" t="n">
        <x:f>N37-M37</x:f>
        <x:v>132</x:v>
      </x:c>
    </x:row>
    <x:row r="38" ht="22" customHeight="1">
      <x:c r="A38" s="11" t="n">
        <x:v>34</x:v>
      </x:c>
      <x:c r="B38" s="11" t="n">
        <x:v>16</x:v>
      </x:c>
      <x:c r="C38" s="18" t="n">
        <x:v>45662</x:v>
      </x:c>
      <x:c r="D38" s="11" t="str">
        <x:v>2025-01</x:v>
      </x:c>
      <x:c r="E38" s="11" t="str">
        <x:v>Central</x:v>
      </x:c>
      <x:c r="F38" s="11" t="str">
        <x:v>Furniture</x:v>
      </x:c>
      <x:c r="G38" s="11" t="str">
        <x:v>Chair</x:v>
      </x:c>
      <x:c r="H38" s="11" t="n">
        <x:v>5</x:v>
      </x:c>
      <x:c r="I38" s="19" t="n">
        <x:v>0.1</x:v>
      </x:c>
      <x:c r="J38" s="11" t="n">
        <x:v>0</x:v>
      </x:c>
      <x:c r="K38" s="20" t="n">
        <x:v>850</x:v>
      </x:c>
      <x:c r="L38" s="20" t="n">
        <x:v>85</x:v>
      </x:c>
      <x:c r="M38" s="20" t="n">
        <x:v>550</x:v>
      </x:c>
      <x:c r="N38" s="20" t="n">
        <x:f>IF(J38=1,0,K38-L38)</x:f>
        <x:v>765</x:v>
      </x:c>
      <x:c r="O38" s="20" t="n">
        <x:f>N38-M38</x:f>
        <x:v>215</x:v>
      </x:c>
    </x:row>
    <x:row r="39" ht="22" customHeight="1">
      <x:c r="A39" s="11" t="n">
        <x:v>35</x:v>
      </x:c>
      <x:c r="B39" s="11" t="n">
        <x:v>16</x:v>
      </x:c>
      <x:c r="C39" s="18" t="n">
        <x:v>45662</x:v>
      </x:c>
      <x:c r="D39" s="11" t="str">
        <x:v>2025-01</x:v>
      </x:c>
      <x:c r="E39" s="11" t="str">
        <x:v>Central</x:v>
      </x:c>
      <x:c r="F39" s="11" t="str">
        <x:v>Technology</x:v>
      </x:c>
      <x:c r="G39" s="11" t="str">
        <x:v>Keyboard</x:v>
      </x:c>
      <x:c r="H39" s="11" t="n">
        <x:v>5</x:v>
      </x:c>
      <x:c r="I39" s="19" t="n">
        <x:v>0.1</x:v>
      </x:c>
      <x:c r="J39" s="11" t="n">
        <x:v>0</x:v>
      </x:c>
      <x:c r="K39" s="20" t="n">
        <x:v>325</x:v>
      </x:c>
      <x:c r="L39" s="20" t="n">
        <x:v>32.5</x:v>
      </x:c>
      <x:c r="M39" s="20" t="n">
        <x:v>160</x:v>
      </x:c>
      <x:c r="N39" s="20" t="n">
        <x:f>IF(J39=1,0,K39-L39)</x:f>
        <x:v>292.5</x:v>
      </x:c>
      <x:c r="O39" s="20" t="n">
        <x:f>N39-M39</x:f>
        <x:v>132.5</x:v>
      </x:c>
    </x:row>
    <x:row r="40" ht="22" customHeight="1">
      <x:c r="A40" s="11" t="n">
        <x:v>36</x:v>
      </x:c>
      <x:c r="B40" s="11" t="n">
        <x:v>16</x:v>
      </x:c>
      <x:c r="C40" s="18" t="n">
        <x:v>45662</x:v>
      </x:c>
      <x:c r="D40" s="11" t="str">
        <x:v>2025-01</x:v>
      </x:c>
      <x:c r="E40" s="11" t="str">
        <x:v>Central</x:v>
      </x:c>
      <x:c r="F40" s="11" t="str">
        <x:v>Office Supplies</x:v>
      </x:c>
      <x:c r="G40" s="11" t="str">
        <x:v>Storage box</x:v>
      </x:c>
      <x:c r="H40" s="11" t="n">
        <x:v>5</x:v>
      </x:c>
      <x:c r="I40" s="19" t="n">
        <x:v>0.05</x:v>
      </x:c>
      <x:c r="J40" s="11" t="n">
        <x:v>0</x:v>
      </x:c>
      <x:c r="K40" s="20" t="n">
        <x:v>130</x:v>
      </x:c>
      <x:c r="L40" s="20" t="n">
        <x:v>6.5</x:v>
      </x:c>
      <x:c r="M40" s="20" t="n">
        <x:v>60</x:v>
      </x:c>
      <x:c r="N40" s="20" t="n">
        <x:f>IF(J40=1,0,K40-L40)</x:f>
        <x:v>123.5</x:v>
      </x:c>
      <x:c r="O40" s="20" t="n">
        <x:f>N40-M40</x:f>
        <x:v>63.5</x:v>
      </x:c>
    </x:row>
    <x:row r="41" ht="22" customHeight="1">
      <x:c r="A41" s="11" t="n">
        <x:v>37</x:v>
      </x:c>
      <x:c r="B41" s="11" t="n">
        <x:v>17</x:v>
      </x:c>
      <x:c r="C41" s="18" t="n">
        <x:v>45543</x:v>
      </x:c>
      <x:c r="D41" s="11" t="str">
        <x:v>2024-09</x:v>
      </x:c>
      <x:c r="E41" s="11" t="str">
        <x:v>East</x:v>
      </x:c>
      <x:c r="F41" s="11" t="str">
        <x:v>Furniture</x:v>
      </x:c>
      <x:c r="G41" s="11" t="str">
        <x:v>Chair</x:v>
      </x:c>
      <x:c r="H41" s="11" t="n">
        <x:v>5</x:v>
      </x:c>
      <x:c r="I41" s="19" t="n">
        <x:v>0.25</x:v>
      </x:c>
      <x:c r="J41" s="11" t="n">
        <x:v>0</x:v>
      </x:c>
      <x:c r="K41" s="20" t="n">
        <x:v>850</x:v>
      </x:c>
      <x:c r="L41" s="20" t="n">
        <x:v>212.5</x:v>
      </x:c>
      <x:c r="M41" s="20" t="n">
        <x:v>550</x:v>
      </x:c>
      <x:c r="N41" s="20" t="n">
        <x:f>IF(J41=1,0,K41-L41)</x:f>
        <x:v>637.5</x:v>
      </x:c>
      <x:c r="O41" s="20" t="n">
        <x:f>N41-M41</x:f>
        <x:v>87.5</x:v>
      </x:c>
    </x:row>
    <x:row r="42" ht="22" customHeight="1">
      <x:c r="A42" s="11" t="n">
        <x:v>38</x:v>
      </x:c>
      <x:c r="B42" s="11" t="n">
        <x:v>17</x:v>
      </x:c>
      <x:c r="C42" s="18" t="n">
        <x:v>45543</x:v>
      </x:c>
      <x:c r="D42" s="11" t="str">
        <x:v>2024-09</x:v>
      </x:c>
      <x:c r="E42" s="11" t="str">
        <x:v>East</x:v>
      </x:c>
      <x:c r="F42" s="11" t="str">
        <x:v>Technology</x:v>
      </x:c>
      <x:c r="G42" s="11" t="str">
        <x:v>Keyboard</x:v>
      </x:c>
      <x:c r="H42" s="11" t="n">
        <x:v>4</x:v>
      </x:c>
      <x:c r="I42" s="19" t="n">
        <x:v>0.05</x:v>
      </x:c>
      <x:c r="J42" s="11" t="n">
        <x:v>0</x:v>
      </x:c>
      <x:c r="K42" s="20" t="n">
        <x:v>260</x:v>
      </x:c>
      <x:c r="L42" s="20" t="n">
        <x:v>13</x:v>
      </x:c>
      <x:c r="M42" s="20" t="n">
        <x:v>128</x:v>
      </x:c>
      <x:c r="N42" s="20" t="n">
        <x:f>IF(J42=1,0,K42-L42)</x:f>
        <x:v>247</x:v>
      </x:c>
      <x:c r="O42" s="20" t="n">
        <x:f>N42-M42</x:f>
        <x:v>119</x:v>
      </x:c>
    </x:row>
    <x:row r="43" ht="22" customHeight="1">
      <x:c r="A43" s="11" t="n">
        <x:v>39</x:v>
      </x:c>
      <x:c r="B43" s="11" t="n">
        <x:v>18</x:v>
      </x:c>
      <x:c r="C43" s="18" t="n">
        <x:v>45509</x:v>
      </x:c>
      <x:c r="D43" s="11" t="str">
        <x:v>2024-08</x:v>
      </x:c>
      <x:c r="E43" s="11" t="str">
        <x:v>South</x:v>
      </x:c>
      <x:c r="F43" s="11" t="str">
        <x:v>Technology</x:v>
      </x:c>
      <x:c r="G43" s="11" t="str">
        <x:v>Monitor</x:v>
      </x:c>
      <x:c r="H43" s="11" t="n">
        <x:v>3</x:v>
      </x:c>
      <x:c r="I43" s="19" t="n">
        <x:v>0.15</x:v>
      </x:c>
      <x:c r="J43" s="11" t="n">
        <x:v>1</x:v>
      </x:c>
      <x:c r="K43" s="20" t="n">
        <x:v>720</x:v>
      </x:c>
      <x:c r="L43" s="20" t="n">
        <x:v>108</x:v>
      </x:c>
      <x:c r="M43" s="20" t="n">
        <x:v>0</x:v>
      </x:c>
      <x:c r="N43" s="20" t="n">
        <x:f>IF(J43=1,0,K43-L43)</x:f>
        <x:v>0</x:v>
      </x:c>
      <x:c r="O43" s="20" t="n">
        <x:f>N43-M43</x:f>
        <x:v>0</x:v>
      </x:c>
    </x:row>
    <x:row r="44" ht="22" customHeight="1">
      <x:c r="A44" s="11" t="n">
        <x:v>40</x:v>
      </x:c>
      <x:c r="B44" s="11" t="n">
        <x:v>18</x:v>
      </x:c>
      <x:c r="C44" s="18" t="n">
        <x:v>45509</x:v>
      </x:c>
      <x:c r="D44" s="11" t="str">
        <x:v>2024-08</x:v>
      </x:c>
      <x:c r="E44" s="11" t="str">
        <x:v>South</x:v>
      </x:c>
      <x:c r="F44" s="11" t="str">
        <x:v>Office Supplies</x:v>
      </x:c>
      <x:c r="G44" s="11" t="str">
        <x:v>Notebook pack</x:v>
      </x:c>
      <x:c r="H44" s="11" t="n">
        <x:v>2</x:v>
      </x:c>
      <x:c r="I44" s="19" t="n">
        <x:v>0</x:v>
      </x:c>
      <x:c r="J44" s="11" t="n">
        <x:v>0</x:v>
      </x:c>
      <x:c r="K44" s="20" t="n">
        <x:v>36</x:v>
      </x:c>
      <x:c r="L44" s="20" t="n">
        <x:v>0</x:v>
      </x:c>
      <x:c r="M44" s="20" t="n">
        <x:v>14</x:v>
      </x:c>
      <x:c r="N44" s="20" t="n">
        <x:f>IF(J44=1,0,K44-L44)</x:f>
        <x:v>36</x:v>
      </x:c>
      <x:c r="O44" s="20" t="n">
        <x:f>N44-M44</x:f>
        <x:v>22</x:v>
      </x:c>
    </x:row>
    <x:row r="45" ht="22" customHeight="1">
      <x:c r="A45" s="11" t="n">
        <x:v>41</x:v>
      </x:c>
      <x:c r="B45" s="11" t="n">
        <x:v>19</x:v>
      </x:c>
      <x:c r="C45" s="18" t="n">
        <x:v>45708</x:v>
      </x:c>
      <x:c r="D45" s="11" t="str">
        <x:v>2025-02</x:v>
      </x:c>
      <x:c r="E45" s="11" t="str">
        <x:v>West</x:v>
      </x:c>
      <x:c r="F45" s="11" t="str">
        <x:v>Technology</x:v>
      </x:c>
      <x:c r="G45" s="11" t="str">
        <x:v>Keyboard</x:v>
      </x:c>
      <x:c r="H45" s="11" t="n">
        <x:v>1</x:v>
      </x:c>
      <x:c r="I45" s="19" t="n">
        <x:v>0</x:v>
      </x:c>
      <x:c r="J45" s="11" t="n">
        <x:v>0</x:v>
      </x:c>
      <x:c r="K45" s="20" t="n">
        <x:v>65</x:v>
      </x:c>
      <x:c r="L45" s="20" t="n">
        <x:v>0</x:v>
      </x:c>
      <x:c r="M45" s="20" t="n">
        <x:v>32</x:v>
      </x:c>
      <x:c r="N45" s="20" t="n">
        <x:f>IF(J45=1,0,K45-L45)</x:f>
        <x:v>65</x:v>
      </x:c>
      <x:c r="O45" s="20" t="n">
        <x:f>N45-M45</x:f>
        <x:v>33</x:v>
      </x:c>
    </x:row>
    <x:row r="46" ht="22" customHeight="1">
      <x:c r="A46" s="11" t="n">
        <x:v>42</x:v>
      </x:c>
      <x:c r="B46" s="11" t="n">
        <x:v>19</x:v>
      </x:c>
      <x:c r="C46" s="18" t="n">
        <x:v>45708</x:v>
      </x:c>
      <x:c r="D46" s="11" t="str">
        <x:v>2025-02</x:v>
      </x:c>
      <x:c r="E46" s="11" t="str">
        <x:v>West</x:v>
      </x:c>
      <x:c r="F46" s="11" t="str">
        <x:v>Office Supplies</x:v>
      </x:c>
      <x:c r="G46" s="11" t="str">
        <x:v>Storage box</x:v>
      </x:c>
      <x:c r="H46" s="11" t="n">
        <x:v>4</x:v>
      </x:c>
      <x:c r="I46" s="19" t="n">
        <x:v>0</x:v>
      </x:c>
      <x:c r="J46" s="11" t="n">
        <x:v>0</x:v>
      </x:c>
      <x:c r="K46" s="20" t="n">
        <x:v>104</x:v>
      </x:c>
      <x:c r="L46" s="20" t="n">
        <x:v>0</x:v>
      </x:c>
      <x:c r="M46" s="20" t="n">
        <x:v>48</x:v>
      </x:c>
      <x:c r="N46" s="20" t="n">
        <x:f>IF(J46=1,0,K46-L46)</x:f>
        <x:v>104</x:v>
      </x:c>
      <x:c r="O46" s="20" t="n">
        <x:f>N46-M46</x:f>
        <x:v>56</x:v>
      </x:c>
    </x:row>
    <x:row r="47" ht="22" customHeight="1">
      <x:c r="A47" s="11" t="n">
        <x:v>43</x:v>
      </x:c>
      <x:c r="B47" s="11" t="n">
        <x:v>19</x:v>
      </x:c>
      <x:c r="C47" s="18" t="n">
        <x:v>45708</x:v>
      </x:c>
      <x:c r="D47" s="11" t="str">
        <x:v>2025-02</x:v>
      </x:c>
      <x:c r="E47" s="11" t="str">
        <x:v>West</x:v>
      </x:c>
      <x:c r="F47" s="11" t="str">
        <x:v>Office Supplies</x:v>
      </x:c>
      <x:c r="G47" s="11" t="str">
        <x:v>Notebook pack</x:v>
      </x:c>
      <x:c r="H47" s="11" t="n">
        <x:v>5</x:v>
      </x:c>
      <x:c r="I47" s="19" t="n">
        <x:v>0.05</x:v>
      </x:c>
      <x:c r="J47" s="11" t="n">
        <x:v>0</x:v>
      </x:c>
      <x:c r="K47" s="20" t="n">
        <x:v>90</x:v>
      </x:c>
      <x:c r="L47" s="20" t="n">
        <x:v>4.5</x:v>
      </x:c>
      <x:c r="M47" s="20" t="n">
        <x:v>35</x:v>
      </x:c>
      <x:c r="N47" s="20" t="n">
        <x:f>IF(J47=1,0,K47-L47)</x:f>
        <x:v>85.5</x:v>
      </x:c>
      <x:c r="O47" s="20" t="n">
        <x:f>N47-M47</x:f>
        <x:v>50.5</x:v>
      </x:c>
    </x:row>
    <x:row r="48" ht="22" customHeight="1">
      <x:c r="A48" s="11" t="n">
        <x:v>44</x:v>
      </x:c>
      <x:c r="B48" s="11" t="n">
        <x:v>20</x:v>
      </x:c>
      <x:c r="C48" s="18" t="n">
        <x:v>45835</x:v>
      </x:c>
      <x:c r="D48" s="11" t="str">
        <x:v>2025-06</x:v>
      </x:c>
      <x:c r="E48" s="11" t="str">
        <x:v>South</x:v>
      </x:c>
      <x:c r="F48" s="11" t="str">
        <x:v>Office Supplies</x:v>
      </x:c>
      <x:c r="G48" s="11" t="str">
        <x:v>Notebook pack</x:v>
      </x:c>
      <x:c r="H48" s="11" t="n">
        <x:v>4</x:v>
      </x:c>
      <x:c r="I48" s="19" t="n">
        <x:v>0.05</x:v>
      </x:c>
      <x:c r="J48" s="11" t="n">
        <x:v>0</x:v>
      </x:c>
      <x:c r="K48" s="20" t="n">
        <x:v>72</x:v>
      </x:c>
      <x:c r="L48" s="20" t="n">
        <x:v>3.6</x:v>
      </x:c>
      <x:c r="M48" s="20" t="n">
        <x:v>28</x:v>
      </x:c>
      <x:c r="N48" s="20" t="n">
        <x:f>IF(J48=1,0,K48-L48)</x:f>
        <x:v>68.4</x:v>
      </x:c>
      <x:c r="O48" s="20" t="n">
        <x:f>N48-M48</x:f>
        <x:v>40.400000000000006</x:v>
      </x:c>
    </x:row>
    <x:row r="49" ht="22" customHeight="1">
      <x:c r="A49" s="11" t="n">
        <x:v>45</x:v>
      </x:c>
      <x:c r="B49" s="11" t="n">
        <x:v>20</x:v>
      </x:c>
      <x:c r="C49" s="18" t="n">
        <x:v>45835</x:v>
      </x:c>
      <x:c r="D49" s="11" t="str">
        <x:v>2025-06</x:v>
      </x:c>
      <x:c r="E49" s="11" t="str">
        <x:v>South</x:v>
      </x:c>
      <x:c r="F49" s="11" t="str">
        <x:v>Technology</x:v>
      </x:c>
      <x:c r="G49" s="11" t="str">
        <x:v>Monitor</x:v>
      </x:c>
      <x:c r="H49" s="11" t="n">
        <x:v>2</x:v>
      </x:c>
      <x:c r="I49" s="19" t="n">
        <x:v>0</x:v>
      </x:c>
      <x:c r="J49" s="11" t="n">
        <x:v>0</x:v>
      </x:c>
      <x:c r="K49" s="20" t="n">
        <x:v>480</x:v>
      </x:c>
      <x:c r="L49" s="20" t="n">
        <x:v>0</x:v>
      </x:c>
      <x:c r="M49" s="20" t="n">
        <x:v>320</x:v>
      </x:c>
      <x:c r="N49" s="20" t="n">
        <x:f>IF(J49=1,0,K49-L49)</x:f>
        <x:v>480</x:v>
      </x:c>
      <x:c r="O49" s="20" t="n">
        <x:f>N49-M49</x:f>
        <x:v>160</x:v>
      </x:c>
    </x:row>
    <x:row r="50" ht="22" customHeight="1">
      <x:c r="A50" s="11" t="n">
        <x:v>46</x:v>
      </x:c>
      <x:c r="B50" s="11" t="n">
        <x:v>20</x:v>
      </x:c>
      <x:c r="C50" s="18" t="n">
        <x:v>45835</x:v>
      </x:c>
      <x:c r="D50" s="11" t="str">
        <x:v>2025-06</x:v>
      </x:c>
      <x:c r="E50" s="11" t="str">
        <x:v>South</x:v>
      </x:c>
      <x:c r="F50" s="11" t="str">
        <x:v>Office Supplies</x:v>
      </x:c>
      <x:c r="G50" s="11" t="str">
        <x:v>Storage box</x:v>
      </x:c>
      <x:c r="H50" s="11" t="n">
        <x:v>3</x:v>
      </x:c>
      <x:c r="I50" s="19" t="n">
        <x:v>0</x:v>
      </x:c>
      <x:c r="J50" s="11" t="n">
        <x:v>0</x:v>
      </x:c>
      <x:c r="K50" s="20" t="n">
        <x:v>78</x:v>
      </x:c>
      <x:c r="L50" s="20" t="n">
        <x:v>0</x:v>
      </x:c>
      <x:c r="M50" s="20" t="n">
        <x:v>36</x:v>
      </x:c>
      <x:c r="N50" s="20" t="n">
        <x:f>IF(J50=1,0,K50-L50)</x:f>
        <x:v>78</x:v>
      </x:c>
      <x:c r="O50" s="20" t="n">
        <x:f>N50-M50</x:f>
        <x:v>42</x:v>
      </x:c>
    </x:row>
    <x:row r="51" ht="22" customHeight="1">
      <x:c r="A51" s="11" t="n">
        <x:v>47</x:v>
      </x:c>
      <x:c r="B51" s="11" t="n">
        <x:v>21</x:v>
      </x:c>
      <x:c r="C51" s="18" t="n">
        <x:v>45998</x:v>
      </x:c>
      <x:c r="D51" s="11" t="str">
        <x:v>2025-12</x:v>
      </x:c>
      <x:c r="E51" s="11" t="str">
        <x:v>East</x:v>
      </x:c>
      <x:c r="F51" s="11" t="str">
        <x:v>Office Supplies</x:v>
      </x:c>
      <x:c r="G51" s="11" t="str">
        <x:v>Storage box</x:v>
      </x:c>
      <x:c r="H51" s="11" t="n">
        <x:v>4</x:v>
      </x:c>
      <x:c r="I51" s="19" t="n">
        <x:v>0.05</x:v>
      </x:c>
      <x:c r="J51" s="11" t="n">
        <x:v>0</x:v>
      </x:c>
      <x:c r="K51" s="20" t="n">
        <x:v>104</x:v>
      </x:c>
      <x:c r="L51" s="20" t="n">
        <x:v>5.2</x:v>
      </x:c>
      <x:c r="M51" s="20" t="n">
        <x:v>48</x:v>
      </x:c>
      <x:c r="N51" s="20" t="n">
        <x:f>IF(J51=1,0,K51-L51)</x:f>
        <x:v>98.8</x:v>
      </x:c>
      <x:c r="O51" s="20" t="n">
        <x:f>N51-M51</x:f>
        <x:v>50.8</x:v>
      </x:c>
    </x:row>
    <x:row r="52" ht="22" customHeight="1">
      <x:c r="A52" s="11" t="n">
        <x:v>48</x:v>
      </x:c>
      <x:c r="B52" s="11" t="n">
        <x:v>22</x:v>
      </x:c>
      <x:c r="C52" s="18" t="n">
        <x:v>45829</x:v>
      </x:c>
      <x:c r="D52" s="11" t="str">
        <x:v>2025-06</x:v>
      </x:c>
      <x:c r="E52" s="11" t="str">
        <x:v>West</x:v>
      </x:c>
      <x:c r="F52" s="11" t="str">
        <x:v>Furniture</x:v>
      </x:c>
      <x:c r="G52" s="11" t="str">
        <x:v>Chair</x:v>
      </x:c>
      <x:c r="H52" s="11" t="n">
        <x:v>3</x:v>
      </x:c>
      <x:c r="I52" s="19" t="n">
        <x:v>0.05</x:v>
      </x:c>
      <x:c r="J52" s="11" t="n">
        <x:v>0</x:v>
      </x:c>
      <x:c r="K52" s="20" t="n">
        <x:v>510</x:v>
      </x:c>
      <x:c r="L52" s="20" t="n">
        <x:v>25.5</x:v>
      </x:c>
      <x:c r="M52" s="20" t="n">
        <x:v>330</x:v>
      </x:c>
      <x:c r="N52" s="20" t="n">
        <x:f>IF(J52=1,0,K52-L52)</x:f>
        <x:v>484.5</x:v>
      </x:c>
      <x:c r="O52" s="20" t="n">
        <x:f>N52-M52</x:f>
        <x:v>154.5</x:v>
      </x:c>
    </x:row>
    <x:row r="53" ht="22" customHeight="1">
      <x:c r="A53" s="11" t="n">
        <x:v>49</x:v>
      </x:c>
      <x:c r="B53" s="11" t="n">
        <x:v>23</x:v>
      </x:c>
      <x:c r="C53" s="18" t="n">
        <x:v>45601</x:v>
      </x:c>
      <x:c r="D53" s="11" t="str">
        <x:v>2024-11</x:v>
      </x:c>
      <x:c r="E53" s="11" t="str">
        <x:v>East</x:v>
      </x:c>
      <x:c r="F53" s="11" t="str">
        <x:v>Furniture</x:v>
      </x:c>
      <x:c r="G53" s="11" t="str">
        <x:v>Desk</x:v>
      </x:c>
      <x:c r="H53" s="11" t="n">
        <x:v>5</x:v>
      </x:c>
      <x:c r="I53" s="19" t="n">
        <x:v>0.1</x:v>
      </x:c>
      <x:c r="J53" s="11" t="n">
        <x:v>0</x:v>
      </x:c>
      <x:c r="K53" s="20" t="n">
        <x:v>1400</x:v>
      </x:c>
      <x:c r="L53" s="20" t="n">
        <x:v>140</x:v>
      </x:c>
      <x:c r="M53" s="20" t="n">
        <x:v>950</x:v>
      </x:c>
      <x:c r="N53" s="20" t="n">
        <x:f>IF(J53=1,0,K53-L53)</x:f>
        <x:v>1260</x:v>
      </x:c>
      <x:c r="O53" s="20" t="n">
        <x:f>N53-M53</x:f>
        <x:v>310</x:v>
      </x:c>
    </x:row>
    <x:row r="54" ht="22" customHeight="1">
      <x:c r="A54" s="11" t="n">
        <x:v>50</x:v>
      </x:c>
      <x:c r="B54" s="11" t="n">
        <x:v>23</x:v>
      </x:c>
      <x:c r="C54" s="18" t="n">
        <x:v>45601</x:v>
      </x:c>
      <x:c r="D54" s="11" t="str">
        <x:v>2024-11</x:v>
      </x:c>
      <x:c r="E54" s="11" t="str">
        <x:v>East</x:v>
      </x:c>
      <x:c r="F54" s="11" t="str">
        <x:v>Office Supplies</x:v>
      </x:c>
      <x:c r="G54" s="11" t="str">
        <x:v>Storage box</x:v>
      </x:c>
      <x:c r="H54" s="11" t="n">
        <x:v>2</x:v>
      </x:c>
      <x:c r="I54" s="19" t="n">
        <x:v>0.1</x:v>
      </x:c>
      <x:c r="J54" s="11" t="n">
        <x:v>0</x:v>
      </x:c>
      <x:c r="K54" s="20" t="n">
        <x:v>52</x:v>
      </x:c>
      <x:c r="L54" s="20" t="n">
        <x:v>5.2</x:v>
      </x:c>
      <x:c r="M54" s="20" t="n">
        <x:v>24</x:v>
      </x:c>
      <x:c r="N54" s="20" t="n">
        <x:f>IF(J54=1,0,K54-L54)</x:f>
        <x:v>46.8</x:v>
      </x:c>
      <x:c r="O54" s="20" t="n">
        <x:f>N54-M54</x:f>
        <x:v>22.799999999999997</x:v>
      </x:c>
    </x:row>
    <x:row r="55" ht="22" customHeight="1">
      <x:c r="A55" s="11" t="n">
        <x:v>51</x:v>
      </x:c>
      <x:c r="B55" s="11" t="n">
        <x:v>24</x:v>
      </x:c>
      <x:c r="C55" s="18" t="n">
        <x:v>45304</x:v>
      </x:c>
      <x:c r="D55" s="11" t="str">
        <x:v>2024-01</x:v>
      </x:c>
      <x:c r="E55" s="11" t="str">
        <x:v>Central</x:v>
      </x:c>
      <x:c r="F55" s="11" t="str">
        <x:v>Technology</x:v>
      </x:c>
      <x:c r="G55" s="11" t="str">
        <x:v>Keyboard</x:v>
      </x:c>
      <x:c r="H55" s="11" t="n">
        <x:v>3</x:v>
      </x:c>
      <x:c r="I55" s="19" t="n">
        <x:v>0</x:v>
      </x:c>
      <x:c r="J55" s="11" t="n">
        <x:v>0</x:v>
      </x:c>
      <x:c r="K55" s="20" t="n">
        <x:v>195</x:v>
      </x:c>
      <x:c r="L55" s="20" t="n">
        <x:v>0</x:v>
      </x:c>
      <x:c r="M55" s="20" t="n">
        <x:v>96</x:v>
      </x:c>
      <x:c r="N55" s="20" t="n">
        <x:f>IF(J55=1,0,K55-L55)</x:f>
        <x:v>195</x:v>
      </x:c>
      <x:c r="O55" s="20" t="n">
        <x:f>N55-M55</x:f>
        <x:v>99</x:v>
      </x:c>
    </x:row>
    <x:row r="56" ht="22" customHeight="1">
      <x:c r="A56" s="11" t="n">
        <x:v>52</x:v>
      </x:c>
      <x:c r="B56" s="11" t="n">
        <x:v>24</x:v>
      </x:c>
      <x:c r="C56" s="18" t="n">
        <x:v>45304</x:v>
      </x:c>
      <x:c r="D56" s="11" t="str">
        <x:v>2024-01</x:v>
      </x:c>
      <x:c r="E56" s="11" t="str">
        <x:v>Central</x:v>
      </x:c>
      <x:c r="F56" s="11" t="str">
        <x:v>Office Supplies</x:v>
      </x:c>
      <x:c r="G56" s="11" t="str">
        <x:v>Storage box</x:v>
      </x:c>
      <x:c r="H56" s="11" t="n">
        <x:v>3</x:v>
      </x:c>
      <x:c r="I56" s="19" t="n">
        <x:v>0.1</x:v>
      </x:c>
      <x:c r="J56" s="11" t="n">
        <x:v>0</x:v>
      </x:c>
      <x:c r="K56" s="20" t="n">
        <x:v>78</x:v>
      </x:c>
      <x:c r="L56" s="20" t="n">
        <x:v>7.8</x:v>
      </x:c>
      <x:c r="M56" s="20" t="n">
        <x:v>36</x:v>
      </x:c>
      <x:c r="N56" s="20" t="n">
        <x:f>IF(J56=1,0,K56-L56)</x:f>
        <x:v>70.2</x:v>
      </x:c>
      <x:c r="O56" s="20" t="n">
        <x:f>N56-M56</x:f>
        <x:v>34.2</x:v>
      </x:c>
    </x:row>
    <x:row r="57" ht="22" customHeight="1">
      <x:c r="A57" s="11" t="n">
        <x:v>53</x:v>
      </x:c>
      <x:c r="B57" s="11" t="n">
        <x:v>25</x:v>
      </x:c>
      <x:c r="C57" s="18" t="n">
        <x:v>45358</x:v>
      </x:c>
      <x:c r="D57" s="11" t="str">
        <x:v>2024-03</x:v>
      </x:c>
      <x:c r="E57" s="11" t="str">
        <x:v>West</x:v>
      </x:c>
      <x:c r="F57" s="11" t="str">
        <x:v>Office Supplies</x:v>
      </x:c>
      <x:c r="G57" s="11" t="str">
        <x:v>Notebook pack</x:v>
      </x:c>
      <x:c r="H57" s="11" t="n">
        <x:v>1</x:v>
      </x:c>
      <x:c r="I57" s="19" t="n">
        <x:v>0</x:v>
      </x:c>
      <x:c r="J57" s="11" t="n">
        <x:v>0</x:v>
      </x:c>
      <x:c r="K57" s="20" t="n">
        <x:v>18</x:v>
      </x:c>
      <x:c r="L57" s="20" t="n">
        <x:v>0</x:v>
      </x:c>
      <x:c r="M57" s="20" t="n">
        <x:v>7</x:v>
      </x:c>
      <x:c r="N57" s="20" t="n">
        <x:f>IF(J57=1,0,K57-L57)</x:f>
        <x:v>18</x:v>
      </x:c>
      <x:c r="O57" s="20" t="n">
        <x:f>N57-M57</x:f>
        <x:v>11</x:v>
      </x:c>
    </x:row>
    <x:row r="58" ht="22" customHeight="1">
      <x:c r="A58" s="11" t="n">
        <x:v>54</x:v>
      </x:c>
      <x:c r="B58" s="11" t="n">
        <x:v>26</x:v>
      </x:c>
      <x:c r="C58" s="18" t="n">
        <x:v>45868</x:v>
      </x:c>
      <x:c r="D58" s="11" t="str">
        <x:v>2025-07</x:v>
      </x:c>
      <x:c r="E58" s="11" t="str">
        <x:v>West</x:v>
      </x:c>
      <x:c r="F58" s="11" t="str">
        <x:v>Furniture</x:v>
      </x:c>
      <x:c r="G58" s="11" t="str">
        <x:v>Desk</x:v>
      </x:c>
      <x:c r="H58" s="11" t="n">
        <x:v>5</x:v>
      </x:c>
      <x:c r="I58" s="19" t="n">
        <x:v>0.25</x:v>
      </x:c>
      <x:c r="J58" s="11" t="n">
        <x:v>0</x:v>
      </x:c>
      <x:c r="K58" s="20" t="n">
        <x:v>1400</x:v>
      </x:c>
      <x:c r="L58" s="20" t="n">
        <x:v>350</x:v>
      </x:c>
      <x:c r="M58" s="20" t="n">
        <x:v>950</x:v>
      </x:c>
      <x:c r="N58" s="20" t="n">
        <x:f>IF(J58=1,0,K58-L58)</x:f>
        <x:v>1050</x:v>
      </x:c>
      <x:c r="O58" s="20" t="n">
        <x:f>N58-M58</x:f>
        <x:v>100</x:v>
      </x:c>
    </x:row>
    <x:row r="59" ht="22" customHeight="1">
      <x:c r="A59" s="11" t="n">
        <x:v>55</x:v>
      </x:c>
      <x:c r="B59" s="11" t="n">
        <x:v>27</x:v>
      </x:c>
      <x:c r="C59" s="18" t="n">
        <x:v>45925</x:v>
      </x:c>
      <x:c r="D59" s="11" t="str">
        <x:v>2025-09</x:v>
      </x:c>
      <x:c r="E59" s="11" t="str">
        <x:v>West</x:v>
      </x:c>
      <x:c r="F59" s="11" t="str">
        <x:v>Technology</x:v>
      </x:c>
      <x:c r="G59" s="11" t="str">
        <x:v>Keyboard</x:v>
      </x:c>
      <x:c r="H59" s="11" t="n">
        <x:v>5</x:v>
      </x:c>
      <x:c r="I59" s="19" t="n">
        <x:v>0.1</x:v>
      </x:c>
      <x:c r="J59" s="11" t="n">
        <x:v>0</x:v>
      </x:c>
      <x:c r="K59" s="20" t="n">
        <x:v>325</x:v>
      </x:c>
      <x:c r="L59" s="20" t="n">
        <x:v>32.5</x:v>
      </x:c>
      <x:c r="M59" s="20" t="n">
        <x:v>160</x:v>
      </x:c>
      <x:c r="N59" s="20" t="n">
        <x:f>IF(J59=1,0,K59-L59)</x:f>
        <x:v>292.5</x:v>
      </x:c>
      <x:c r="O59" s="20" t="n">
        <x:f>N59-M59</x:f>
        <x:v>132.5</x:v>
      </x:c>
    </x:row>
    <x:row r="60" ht="22" customHeight="1">
      <x:c r="A60" s="11" t="n">
        <x:v>56</x:v>
      </x:c>
      <x:c r="B60" s="11" t="n">
        <x:v>27</x:v>
      </x:c>
      <x:c r="C60" s="18" t="n">
        <x:v>45925</x:v>
      </x:c>
      <x:c r="D60" s="11" t="str">
        <x:v>2025-09</x:v>
      </x:c>
      <x:c r="E60" s="11" t="str">
        <x:v>West</x:v>
      </x:c>
      <x:c r="F60" s="11" t="str">
        <x:v>Technology</x:v>
      </x:c>
      <x:c r="G60" s="11" t="str">
        <x:v>Monitor</x:v>
      </x:c>
      <x:c r="H60" s="11" t="n">
        <x:v>5</x:v>
      </x:c>
      <x:c r="I60" s="19" t="n">
        <x:v>0</x:v>
      </x:c>
      <x:c r="J60" s="11" t="n">
        <x:v>0</x:v>
      </x:c>
      <x:c r="K60" s="20" t="n">
        <x:v>1200</x:v>
      </x:c>
      <x:c r="L60" s="20" t="n">
        <x:v>0</x:v>
      </x:c>
      <x:c r="M60" s="20" t="n">
        <x:v>800</x:v>
      </x:c>
      <x:c r="N60" s="20" t="n">
        <x:f>IF(J60=1,0,K60-L60)</x:f>
        <x:v>1200</x:v>
      </x:c>
      <x:c r="O60" s="20" t="n">
        <x:f>N60-M60</x:f>
        <x:v>400</x:v>
      </x:c>
    </x:row>
    <x:row r="61" ht="22" customHeight="1">
      <x:c r="A61" s="11" t="n">
        <x:v>57</x:v>
      </x:c>
      <x:c r="B61" s="11" t="n">
        <x:v>28</x:v>
      </x:c>
      <x:c r="C61" s="18" t="n">
        <x:v>45393</x:v>
      </x:c>
      <x:c r="D61" s="11" t="str">
        <x:v>2024-04</x:v>
      </x:c>
      <x:c r="E61" s="11" t="str">
        <x:v>Central</x:v>
      </x:c>
      <x:c r="F61" s="11" t="str">
        <x:v>Furniture</x:v>
      </x:c>
      <x:c r="G61" s="11" t="str">
        <x:v>Chair</x:v>
      </x:c>
      <x:c r="H61" s="11" t="n">
        <x:v>2</x:v>
      </x:c>
      <x:c r="I61" s="19" t="n">
        <x:v>0.05</x:v>
      </x:c>
      <x:c r="J61" s="11" t="n">
        <x:v>0</x:v>
      </x:c>
      <x:c r="K61" s="20" t="n">
        <x:v>340</x:v>
      </x:c>
      <x:c r="L61" s="20" t="n">
        <x:v>17</x:v>
      </x:c>
      <x:c r="M61" s="20" t="n">
        <x:v>220</x:v>
      </x:c>
      <x:c r="N61" s="20" t="n">
        <x:f>IF(J61=1,0,K61-L61)</x:f>
        <x:v>323</x:v>
      </x:c>
      <x:c r="O61" s="20" t="n">
        <x:f>N61-M61</x:f>
        <x:v>103</x:v>
      </x:c>
    </x:row>
    <x:row r="62" ht="22" customHeight="1">
      <x:c r="A62" s="11" t="n">
        <x:v>58</x:v>
      </x:c>
      <x:c r="B62" s="11" t="n">
        <x:v>28</x:v>
      </x:c>
      <x:c r="C62" s="18" t="n">
        <x:v>45393</x:v>
      </x:c>
      <x:c r="D62" s="11" t="str">
        <x:v>2024-04</x:v>
      </x:c>
      <x:c r="E62" s="11" t="str">
        <x:v>Central</x:v>
      </x:c>
      <x:c r="F62" s="11" t="str">
        <x:v>Technology</x:v>
      </x:c>
      <x:c r="G62" s="11" t="str">
        <x:v>Monitor</x:v>
      </x:c>
      <x:c r="H62" s="11" t="n">
        <x:v>1</x:v>
      </x:c>
      <x:c r="I62" s="19" t="n">
        <x:v>0</x:v>
      </x:c>
      <x:c r="J62" s="11" t="n">
        <x:v>1</x:v>
      </x:c>
      <x:c r="K62" s="20" t="n">
        <x:v>240</x:v>
      </x:c>
      <x:c r="L62" s="20" t="n">
        <x:v>0</x:v>
      </x:c>
      <x:c r="M62" s="20" t="n">
        <x:v>0</x:v>
      </x:c>
      <x:c r="N62" s="20" t="n">
        <x:f>IF(J62=1,0,K62-L62)</x:f>
        <x:v>0</x:v>
      </x:c>
      <x:c r="O62" s="20" t="n">
        <x:f>N62-M62</x:f>
        <x:v>0</x:v>
      </x:c>
    </x:row>
    <x:row r="63" ht="22" customHeight="1">
      <x:c r="A63" s="11" t="n">
        <x:v>59</x:v>
      </x:c>
      <x:c r="B63" s="11" t="n">
        <x:v>28</x:v>
      </x:c>
      <x:c r="C63" s="18" t="n">
        <x:v>45393</x:v>
      </x:c>
      <x:c r="D63" s="11" t="str">
        <x:v>2024-04</x:v>
      </x:c>
      <x:c r="E63" s="11" t="str">
        <x:v>Central</x:v>
      </x:c>
      <x:c r="F63" s="11" t="str">
        <x:v>Furniture</x:v>
      </x:c>
      <x:c r="G63" s="11" t="str">
        <x:v>Desk</x:v>
      </x:c>
      <x:c r="H63" s="11" t="n">
        <x:v>4</x:v>
      </x:c>
      <x:c r="I63" s="19" t="n">
        <x:v>0.35</x:v>
      </x:c>
      <x:c r="J63" s="11" t="n">
        <x:v>0</x:v>
      </x:c>
      <x:c r="K63" s="20" t="n">
        <x:v>1120</x:v>
      </x:c>
      <x:c r="L63" s="20" t="n">
        <x:v>392</x:v>
      </x:c>
      <x:c r="M63" s="20" t="n">
        <x:v>760</x:v>
      </x:c>
      <x:c r="N63" s="20" t="n">
        <x:f>IF(J63=1,0,K63-L63)</x:f>
        <x:v>728</x:v>
      </x:c>
      <x:c r="O63" s="20" t="n">
        <x:f>N63-M63</x:f>
        <x:v>-32</x:v>
      </x:c>
    </x:row>
    <x:row r="64" ht="22" customHeight="1">
      <x:c r="A64" s="11" t="n">
        <x:v>60</x:v>
      </x:c>
      <x:c r="B64" s="11" t="n">
        <x:v>29</x:v>
      </x:c>
      <x:c r="C64" s="18" t="n">
        <x:v>45529</x:v>
      </x:c>
      <x:c r="D64" s="11" t="str">
        <x:v>2024-08</x:v>
      </x:c>
      <x:c r="E64" s="11" t="str">
        <x:v>South</x:v>
      </x:c>
      <x:c r="F64" s="11" t="str">
        <x:v>Technology</x:v>
      </x:c>
      <x:c r="G64" s="11" t="str">
        <x:v>Keyboard</x:v>
      </x:c>
      <x:c r="H64" s="11" t="n">
        <x:v>3</x:v>
      </x:c>
      <x:c r="I64" s="19" t="n">
        <x:v>0.15</x:v>
      </x:c>
      <x:c r="J64" s="11" t="n">
        <x:v>0</x:v>
      </x:c>
      <x:c r="K64" s="20" t="n">
        <x:v>195</x:v>
      </x:c>
      <x:c r="L64" s="20" t="n">
        <x:v>29.25</x:v>
      </x:c>
      <x:c r="M64" s="20" t="n">
        <x:v>96</x:v>
      </x:c>
      <x:c r="N64" s="20" t="n">
        <x:f>IF(J64=1,0,K64-L64)</x:f>
        <x:v>165.75</x:v>
      </x:c>
      <x:c r="O64" s="20" t="n">
        <x:f>N64-M64</x:f>
        <x:v>69.75</x:v>
      </x:c>
    </x:row>
    <x:row r="65" ht="22" customHeight="1">
      <x:c r="A65" s="11" t="n">
        <x:v>61</x:v>
      </x:c>
      <x:c r="B65" s="11" t="n">
        <x:v>29</x:v>
      </x:c>
      <x:c r="C65" s="18" t="n">
        <x:v>45529</x:v>
      </x:c>
      <x:c r="D65" s="11" t="str">
        <x:v>2024-08</x:v>
      </x:c>
      <x:c r="E65" s="11" t="str">
        <x:v>South</x:v>
      </x:c>
      <x:c r="F65" s="11" t="str">
        <x:v>Furniture</x:v>
      </x:c>
      <x:c r="G65" s="11" t="str">
        <x:v>Desk</x:v>
      </x:c>
      <x:c r="H65" s="11" t="n">
        <x:v>2</x:v>
      </x:c>
      <x:c r="I65" s="19" t="n">
        <x:v>0.25</x:v>
      </x:c>
      <x:c r="J65" s="11" t="n">
        <x:v>0</x:v>
      </x:c>
      <x:c r="K65" s="20" t="n">
        <x:v>560</x:v>
      </x:c>
      <x:c r="L65" s="20" t="n">
        <x:v>140</x:v>
      </x:c>
      <x:c r="M65" s="20" t="n">
        <x:v>380</x:v>
      </x:c>
      <x:c r="N65" s="20" t="n">
        <x:f>IF(J65=1,0,K65-L65)</x:f>
        <x:v>420</x:v>
      </x:c>
      <x:c r="O65" s="20" t="n">
        <x:f>N65-M65</x:f>
        <x:v>40</x:v>
      </x:c>
    </x:row>
    <x:row r="66" ht="22" customHeight="1">
      <x:c r="A66" s="11" t="n">
        <x:v>62</x:v>
      </x:c>
      <x:c r="B66" s="11" t="n">
        <x:v>29</x:v>
      </x:c>
      <x:c r="C66" s="18" t="n">
        <x:v>45529</x:v>
      </x:c>
      <x:c r="D66" s="11" t="str">
        <x:v>2024-08</x:v>
      </x:c>
      <x:c r="E66" s="11" t="str">
        <x:v>South</x:v>
      </x:c>
      <x:c r="F66" s="11" t="str">
        <x:v>Furniture</x:v>
      </x:c>
      <x:c r="G66" s="11" t="str">
        <x:v>Chair</x:v>
      </x:c>
      <x:c r="H66" s="11" t="n">
        <x:v>2</x:v>
      </x:c>
      <x:c r="I66" s="19" t="n">
        <x:v>0</x:v>
      </x:c>
      <x:c r="J66" s="11" t="n">
        <x:v>0</x:v>
      </x:c>
      <x:c r="K66" s="20" t="n">
        <x:v>340</x:v>
      </x:c>
      <x:c r="L66" s="20" t="n">
        <x:v>0</x:v>
      </x:c>
      <x:c r="M66" s="20" t="n">
        <x:v>220</x:v>
      </x:c>
      <x:c r="N66" s="20" t="n">
        <x:f>IF(J66=1,0,K66-L66)</x:f>
        <x:v>340</x:v>
      </x:c>
      <x:c r="O66" s="20" t="n">
        <x:f>N66-M66</x:f>
        <x:v>120</x:v>
      </x:c>
    </x:row>
    <x:row r="67" ht="22" customHeight="1">
      <x:c r="A67" s="11" t="n">
        <x:v>63</x:v>
      </x:c>
      <x:c r="B67" s="11" t="n">
        <x:v>30</x:v>
      </x:c>
      <x:c r="C67" s="18" t="n">
        <x:v>45437</x:v>
      </x:c>
      <x:c r="D67" s="11" t="str">
        <x:v>2024-05</x:v>
      </x:c>
      <x:c r="E67" s="11" t="str">
        <x:v>South</x:v>
      </x:c>
      <x:c r="F67" s="11" t="str">
        <x:v>Technology</x:v>
      </x:c>
      <x:c r="G67" s="11" t="str">
        <x:v>Monitor</x:v>
      </x:c>
      <x:c r="H67" s="11" t="n">
        <x:v>5</x:v>
      </x:c>
      <x:c r="I67" s="19" t="n">
        <x:v>0.15</x:v>
      </x:c>
      <x:c r="J67" s="11" t="n">
        <x:v>0</x:v>
      </x:c>
      <x:c r="K67" s="20" t="n">
        <x:v>1200</x:v>
      </x:c>
      <x:c r="L67" s="20" t="n">
        <x:v>180</x:v>
      </x:c>
      <x:c r="M67" s="20" t="n">
        <x:v>800</x:v>
      </x:c>
      <x:c r="N67" s="20" t="n">
        <x:f>IF(J67=1,0,K67-L67)</x:f>
        <x:v>1020</x:v>
      </x:c>
      <x:c r="O67" s="20" t="n">
        <x:f>N67-M67</x:f>
        <x:v>220</x:v>
      </x:c>
    </x:row>
    <x:row r="68" ht="22" customHeight="1">
      <x:c r="A68" s="11" t="n">
        <x:v>64</x:v>
      </x:c>
      <x:c r="B68" s="11" t="n">
        <x:v>31</x:v>
      </x:c>
      <x:c r="C68" s="18" t="n">
        <x:v>45741</x:v>
      </x:c>
      <x:c r="D68" s="11" t="str">
        <x:v>2025-03</x:v>
      </x:c>
      <x:c r="E68" s="11" t="str">
        <x:v>West</x:v>
      </x:c>
      <x:c r="F68" s="11" t="str">
        <x:v>Technology</x:v>
      </x:c>
      <x:c r="G68" s="11" t="str">
        <x:v>Monitor</x:v>
      </x:c>
      <x:c r="H68" s="11" t="n">
        <x:v>5</x:v>
      </x:c>
      <x:c r="I68" s="19" t="n">
        <x:v>0.15</x:v>
      </x:c>
      <x:c r="J68" s="11" t="n">
        <x:v>0</x:v>
      </x:c>
      <x:c r="K68" s="20" t="n">
        <x:v>1200</x:v>
      </x:c>
      <x:c r="L68" s="20" t="n">
        <x:v>180</x:v>
      </x:c>
      <x:c r="M68" s="20" t="n">
        <x:v>800</x:v>
      </x:c>
      <x:c r="N68" s="20" t="n">
        <x:f>IF(J68=1,0,K68-L68)</x:f>
        <x:v>1020</x:v>
      </x:c>
      <x:c r="O68" s="20" t="n">
        <x:f>N68-M68</x:f>
        <x:v>220</x:v>
      </x:c>
    </x:row>
    <x:row r="69" ht="22" customHeight="1">
      <x:c r="A69" s="11" t="n">
        <x:v>65</x:v>
      </x:c>
      <x:c r="B69" s="11" t="n">
        <x:v>31</x:v>
      </x:c>
      <x:c r="C69" s="18" t="n">
        <x:v>45741</x:v>
      </x:c>
      <x:c r="D69" s="11" t="str">
        <x:v>2025-03</x:v>
      </x:c>
      <x:c r="E69" s="11" t="str">
        <x:v>West</x:v>
      </x:c>
      <x:c r="F69" s="11" t="str">
        <x:v>Technology</x:v>
      </x:c>
      <x:c r="G69" s="11" t="str">
        <x:v>Keyboard</x:v>
      </x:c>
      <x:c r="H69" s="11" t="n">
        <x:v>1</x:v>
      </x:c>
      <x:c r="I69" s="19" t="n">
        <x:v>0.15</x:v>
      </x:c>
      <x:c r="J69" s="11" t="n">
        <x:v>1</x:v>
      </x:c>
      <x:c r="K69" s="20" t="n">
        <x:v>65</x:v>
      </x:c>
      <x:c r="L69" s="20" t="n">
        <x:v>9.75</x:v>
      </x:c>
      <x:c r="M69" s="20" t="n">
        <x:v>0</x:v>
      </x:c>
      <x:c r="N69" s="20" t="n">
        <x:f>IF(J69=1,0,K69-L69)</x:f>
        <x:v>0</x:v>
      </x:c>
      <x:c r="O69" s="20" t="n">
        <x:f>N69-M69</x:f>
        <x:v>0</x:v>
      </x:c>
    </x:row>
    <x:row r="70" ht="22" customHeight="1">
      <x:c r="A70" s="11" t="n">
        <x:v>66</x:v>
      </x:c>
      <x:c r="B70" s="11" t="n">
        <x:v>31</x:v>
      </x:c>
      <x:c r="C70" s="18" t="n">
        <x:v>45741</x:v>
      </x:c>
      <x:c r="D70" s="11" t="str">
        <x:v>2025-03</x:v>
      </x:c>
      <x:c r="E70" s="11" t="str">
        <x:v>West</x:v>
      </x:c>
      <x:c r="F70" s="11" t="str">
        <x:v>Office Supplies</x:v>
      </x:c>
      <x:c r="G70" s="11" t="str">
        <x:v>Storage box</x:v>
      </x:c>
      <x:c r="H70" s="11" t="n">
        <x:v>4</x:v>
      </x:c>
      <x:c r="I70" s="19" t="n">
        <x:v>0.05</x:v>
      </x:c>
      <x:c r="J70" s="11" t="n">
        <x:v>0</x:v>
      </x:c>
      <x:c r="K70" s="20" t="n">
        <x:v>104</x:v>
      </x:c>
      <x:c r="L70" s="20" t="n">
        <x:v>5.2</x:v>
      </x:c>
      <x:c r="M70" s="20" t="n">
        <x:v>48</x:v>
      </x:c>
      <x:c r="N70" s="20" t="n">
        <x:f>IF(J70=1,0,K70-L70)</x:f>
        <x:v>98.8</x:v>
      </x:c>
      <x:c r="O70" s="20" t="n">
        <x:f>N70-M70</x:f>
        <x:v>50.8</x:v>
      </x:c>
    </x:row>
    <x:row r="71" ht="22" customHeight="1">
      <x:c r="A71" s="11" t="n">
        <x:v>67</x:v>
      </x:c>
      <x:c r="B71" s="11" t="n">
        <x:v>32</x:v>
      </x:c>
      <x:c r="C71" s="18" t="n">
        <x:v>45318</x:v>
      </x:c>
      <x:c r="D71" s="11" t="str">
        <x:v>2024-01</x:v>
      </x:c>
      <x:c r="E71" s="11" t="str">
        <x:v>Central</x:v>
      </x:c>
      <x:c r="F71" s="11" t="str">
        <x:v>Office Supplies</x:v>
      </x:c>
      <x:c r="G71" s="11" t="str">
        <x:v>Notebook pack</x:v>
      </x:c>
      <x:c r="H71" s="11" t="n">
        <x:v>3</x:v>
      </x:c>
      <x:c r="I71" s="19" t="n">
        <x:v>0.15</x:v>
      </x:c>
      <x:c r="J71" s="11" t="n">
        <x:v>1</x:v>
      </x:c>
      <x:c r="K71" s="20" t="n">
        <x:v>54</x:v>
      </x:c>
      <x:c r="L71" s="20" t="n">
        <x:v>8.1</x:v>
      </x:c>
      <x:c r="M71" s="20" t="n">
        <x:v>0</x:v>
      </x:c>
      <x:c r="N71" s="20" t="n">
        <x:f>IF(J71=1,0,K71-L71)</x:f>
        <x:v>0</x:v>
      </x:c>
      <x:c r="O71" s="20" t="n">
        <x:f>N71-M71</x:f>
        <x:v>0</x:v>
      </x:c>
    </x:row>
    <x:row r="72" ht="22" customHeight="1">
      <x:c r="A72" s="11" t="n">
        <x:v>68</x:v>
      </x:c>
      <x:c r="B72" s="11" t="n">
        <x:v>32</x:v>
      </x:c>
      <x:c r="C72" s="18" t="n">
        <x:v>45318</x:v>
      </x:c>
      <x:c r="D72" s="11" t="str">
        <x:v>2024-01</x:v>
      </x:c>
      <x:c r="E72" s="11" t="str">
        <x:v>Central</x:v>
      </x:c>
      <x:c r="F72" s="11" t="str">
        <x:v>Office Supplies</x:v>
      </x:c>
      <x:c r="G72" s="11" t="str">
        <x:v>Storage box</x:v>
      </x:c>
      <x:c r="H72" s="11" t="n">
        <x:v>2</x:v>
      </x:c>
      <x:c r="I72" s="19" t="n">
        <x:v>0.1</x:v>
      </x:c>
      <x:c r="J72" s="11" t="n">
        <x:v>0</x:v>
      </x:c>
      <x:c r="K72" s="20" t="n">
        <x:v>52</x:v>
      </x:c>
      <x:c r="L72" s="20" t="n">
        <x:v>5.2</x:v>
      </x:c>
      <x:c r="M72" s="20" t="n">
        <x:v>24</x:v>
      </x:c>
      <x:c r="N72" s="20" t="n">
        <x:f>IF(J72=1,0,K72-L72)</x:f>
        <x:v>46.8</x:v>
      </x:c>
      <x:c r="O72" s="20" t="n">
        <x:f>N72-M72</x:f>
        <x:v>22.799999999999997</x:v>
      </x:c>
    </x:row>
    <x:row r="73" ht="22" customHeight="1">
      <x:c r="A73" s="11" t="n">
        <x:v>69</x:v>
      </x:c>
      <x:c r="B73" s="11" t="n">
        <x:v>32</x:v>
      </x:c>
      <x:c r="C73" s="18" t="n">
        <x:v>45318</x:v>
      </x:c>
      <x:c r="D73" s="11" t="str">
        <x:v>2024-01</x:v>
      </x:c>
      <x:c r="E73" s="11" t="str">
        <x:v>Central</x:v>
      </x:c>
      <x:c r="F73" s="11" t="str">
        <x:v>Furniture</x:v>
      </x:c>
      <x:c r="G73" s="11" t="str">
        <x:v>Desk</x:v>
      </x:c>
      <x:c r="H73" s="11" t="n">
        <x:v>4</x:v>
      </x:c>
      <x:c r="I73" s="19" t="n">
        <x:v>0.1</x:v>
      </x:c>
      <x:c r="J73" s="11" t="n">
        <x:v>0</x:v>
      </x:c>
      <x:c r="K73" s="20" t="n">
        <x:v>1120</x:v>
      </x:c>
      <x:c r="L73" s="20" t="n">
        <x:v>112</x:v>
      </x:c>
      <x:c r="M73" s="20" t="n">
        <x:v>760</x:v>
      </x:c>
      <x:c r="N73" s="20" t="n">
        <x:f>IF(J73=1,0,K73-L73)</x:f>
        <x:v>1008</x:v>
      </x:c>
      <x:c r="O73" s="20" t="n">
        <x:f>N73-M73</x:f>
        <x:v>248</x:v>
      </x:c>
    </x:row>
    <x:row r="74" ht="22" customHeight="1">
      <x:c r="A74" s="11" t="n">
        <x:v>70</x:v>
      </x:c>
      <x:c r="B74" s="11" t="n">
        <x:v>33</x:v>
      </x:c>
      <x:c r="C74" s="18" t="n">
        <x:v>45891</x:v>
      </x:c>
      <x:c r="D74" s="11" t="str">
        <x:v>2025-08</x:v>
      </x:c>
      <x:c r="E74" s="11" t="str">
        <x:v>Central</x:v>
      </x:c>
      <x:c r="F74" s="11" t="str">
        <x:v>Technology</x:v>
      </x:c>
      <x:c r="G74" s="11" t="str">
        <x:v>Keyboard</x:v>
      </x:c>
      <x:c r="H74" s="11" t="n">
        <x:v>3</x:v>
      </x:c>
      <x:c r="I74" s="19" t="n">
        <x:v>0.1</x:v>
      </x:c>
      <x:c r="J74" s="11" t="n">
        <x:v>0</x:v>
      </x:c>
      <x:c r="K74" s="20" t="n">
        <x:v>195</x:v>
      </x:c>
      <x:c r="L74" s="20" t="n">
        <x:v>19.5</x:v>
      </x:c>
      <x:c r="M74" s="20" t="n">
        <x:v>96</x:v>
      </x:c>
      <x:c r="N74" s="20" t="n">
        <x:f>IF(J74=1,0,K74-L74)</x:f>
        <x:v>175.5</x:v>
      </x:c>
      <x:c r="O74" s="20" t="n">
        <x:f>N74-M74</x:f>
        <x:v>79.5</x:v>
      </x:c>
    </x:row>
    <x:row r="75" ht="22" customHeight="1">
      <x:c r="A75" s="11" t="n">
        <x:v>71</x:v>
      </x:c>
      <x:c r="B75" s="11" t="n">
        <x:v>34</x:v>
      </x:c>
      <x:c r="C75" s="18" t="n">
        <x:v>45978</x:v>
      </x:c>
      <x:c r="D75" s="11" t="str">
        <x:v>2025-11</x:v>
      </x:c>
      <x:c r="E75" s="11" t="str">
        <x:v>South</x:v>
      </x:c>
      <x:c r="F75" s="11" t="str">
        <x:v>Technology</x:v>
      </x:c>
      <x:c r="G75" s="11" t="str">
        <x:v>Keyboard</x:v>
      </x:c>
      <x:c r="H75" s="11" t="n">
        <x:v>3</x:v>
      </x:c>
      <x:c r="I75" s="19" t="n">
        <x:v>0.1</x:v>
      </x:c>
      <x:c r="J75" s="11" t="n">
        <x:v>0</x:v>
      </x:c>
      <x:c r="K75" s="20" t="n">
        <x:v>195</x:v>
      </x:c>
      <x:c r="L75" s="20" t="n">
        <x:v>19.5</x:v>
      </x:c>
      <x:c r="M75" s="20" t="n">
        <x:v>96</x:v>
      </x:c>
      <x:c r="N75" s="20" t="n">
        <x:f>IF(J75=1,0,K75-L75)</x:f>
        <x:v>175.5</x:v>
      </x:c>
      <x:c r="O75" s="20" t="n">
        <x:f>N75-M75</x:f>
        <x:v>79.5</x:v>
      </x:c>
    </x:row>
    <x:row r="76" ht="22" customHeight="1">
      <x:c r="A76" s="11" t="n">
        <x:v>72</x:v>
      </x:c>
      <x:c r="B76" s="11" t="n">
        <x:v>34</x:v>
      </x:c>
      <x:c r="C76" s="18" t="n">
        <x:v>45978</x:v>
      </x:c>
      <x:c r="D76" s="11" t="str">
        <x:v>2025-11</x:v>
      </x:c>
      <x:c r="E76" s="11" t="str">
        <x:v>South</x:v>
      </x:c>
      <x:c r="F76" s="11" t="str">
        <x:v>Office Supplies</x:v>
      </x:c>
      <x:c r="G76" s="11" t="str">
        <x:v>Storage box</x:v>
      </x:c>
      <x:c r="H76" s="11" t="n">
        <x:v>5</x:v>
      </x:c>
      <x:c r="I76" s="19" t="n">
        <x:v>0</x:v>
      </x:c>
      <x:c r="J76" s="11" t="n">
        <x:v>0</x:v>
      </x:c>
      <x:c r="K76" s="20" t="n">
        <x:v>130</x:v>
      </x:c>
      <x:c r="L76" s="20" t="n">
        <x:v>0</x:v>
      </x:c>
      <x:c r="M76" s="20" t="n">
        <x:v>60</x:v>
      </x:c>
      <x:c r="N76" s="20" t="n">
        <x:f>IF(J76=1,0,K76-L76)</x:f>
        <x:v>130</x:v>
      </x:c>
      <x:c r="O76" s="20" t="n">
        <x:f>N76-M76</x:f>
        <x:v>70</x:v>
      </x:c>
    </x:row>
    <x:row r="77" ht="22" customHeight="1">
      <x:c r="A77" s="11" t="n">
        <x:v>73</x:v>
      </x:c>
      <x:c r="B77" s="11" t="n">
        <x:v>35</x:v>
      </x:c>
      <x:c r="C77" s="18" t="n">
        <x:v>45614</x:v>
      </x:c>
      <x:c r="D77" s="11" t="str">
        <x:v>2024-11</x:v>
      </x:c>
      <x:c r="E77" s="11" t="str">
        <x:v>West</x:v>
      </x:c>
      <x:c r="F77" s="11" t="str">
        <x:v>Technology</x:v>
      </x:c>
      <x:c r="G77" s="11" t="str">
        <x:v>Keyboard</x:v>
      </x:c>
      <x:c r="H77" s="11" t="n">
        <x:v>5</x:v>
      </x:c>
      <x:c r="I77" s="19" t="n">
        <x:v>0</x:v>
      </x:c>
      <x:c r="J77" s="11" t="n">
        <x:v>0</x:v>
      </x:c>
      <x:c r="K77" s="20" t="n">
        <x:v>325</x:v>
      </x:c>
      <x:c r="L77" s="20" t="n">
        <x:v>0</x:v>
      </x:c>
      <x:c r="M77" s="20" t="n">
        <x:v>160</x:v>
      </x:c>
      <x:c r="N77" s="20" t="n">
        <x:f>IF(J77=1,0,K77-L77)</x:f>
        <x:v>325</x:v>
      </x:c>
      <x:c r="O77" s="20" t="n">
        <x:f>N77-M77</x:f>
        <x:v>165</x:v>
      </x:c>
    </x:row>
    <x:row r="78" ht="22" customHeight="1">
      <x:c r="A78" s="11" t="n">
        <x:v>74</x:v>
      </x:c>
      <x:c r="B78" s="11" t="n">
        <x:v>36</x:v>
      </x:c>
      <x:c r="C78" s="18" t="n">
        <x:v>45847</x:v>
      </x:c>
      <x:c r="D78" s="11" t="str">
        <x:v>2025-07</x:v>
      </x:c>
      <x:c r="E78" s="11" t="str">
        <x:v>West</x:v>
      </x:c>
      <x:c r="F78" s="11" t="str">
        <x:v>Furniture</x:v>
      </x:c>
      <x:c r="G78" s="11" t="str">
        <x:v>Chair</x:v>
      </x:c>
      <x:c r="H78" s="11" t="n">
        <x:v>5</x:v>
      </x:c>
      <x:c r="I78" s="19" t="n">
        <x:v>0.15</x:v>
      </x:c>
      <x:c r="J78" s="11" t="n">
        <x:v>0</x:v>
      </x:c>
      <x:c r="K78" s="20" t="n">
        <x:v>850</x:v>
      </x:c>
      <x:c r="L78" s="20" t="n">
        <x:v>127.5</x:v>
      </x:c>
      <x:c r="M78" s="20" t="n">
        <x:v>550</x:v>
      </x:c>
      <x:c r="N78" s="20" t="n">
        <x:f>IF(J78=1,0,K78-L78)</x:f>
        <x:v>722.5</x:v>
      </x:c>
      <x:c r="O78" s="20" t="n">
        <x:f>N78-M78</x:f>
        <x:v>172.5</x:v>
      </x:c>
    </x:row>
    <x:row r="79" ht="22" customHeight="1">
      <x:c r="A79" s="11" t="n">
        <x:v>75</x:v>
      </x:c>
      <x:c r="B79" s="11" t="n">
        <x:v>37</x:v>
      </x:c>
      <x:c r="C79" s="18" t="n">
        <x:v>45802</x:v>
      </x:c>
      <x:c r="D79" s="11" t="str">
        <x:v>2025-05</x:v>
      </x:c>
      <x:c r="E79" s="11" t="str">
        <x:v>West</x:v>
      </x:c>
      <x:c r="F79" s="11" t="str">
        <x:v>Furniture</x:v>
      </x:c>
      <x:c r="G79" s="11" t="str">
        <x:v>Chair</x:v>
      </x:c>
      <x:c r="H79" s="11" t="n">
        <x:v>3</x:v>
      </x:c>
      <x:c r="I79" s="19" t="n">
        <x:v>0</x:v>
      </x:c>
      <x:c r="J79" s="11" t="n">
        <x:v>0</x:v>
      </x:c>
      <x:c r="K79" s="20" t="n">
        <x:v>510</x:v>
      </x:c>
      <x:c r="L79" s="20" t="n">
        <x:v>0</x:v>
      </x:c>
      <x:c r="M79" s="20" t="n">
        <x:v>330</x:v>
      </x:c>
      <x:c r="N79" s="20" t="n">
        <x:f>IF(J79=1,0,K79-L79)</x:f>
        <x:v>510</x:v>
      </x:c>
      <x:c r="O79" s="20" t="n">
        <x:f>N79-M79</x:f>
        <x:v>180</x:v>
      </x:c>
    </x:row>
    <x:row r="80" ht="22" customHeight="1">
      <x:c r="A80" s="11" t="n">
        <x:v>76</x:v>
      </x:c>
      <x:c r="B80" s="11" t="n">
        <x:v>38</x:v>
      </x:c>
      <x:c r="C80" s="18" t="n">
        <x:v>45740</x:v>
      </x:c>
      <x:c r="D80" s="11" t="str">
        <x:v>2025-03</x:v>
      </x:c>
      <x:c r="E80" s="11" t="str">
        <x:v>East</x:v>
      </x:c>
      <x:c r="F80" s="11" t="str">
        <x:v>Furniture</x:v>
      </x:c>
      <x:c r="G80" s="11" t="str">
        <x:v>Desk</x:v>
      </x:c>
      <x:c r="H80" s="11" t="n">
        <x:v>5</x:v>
      </x:c>
      <x:c r="I80" s="19" t="n">
        <x:v>0.05</x:v>
      </x:c>
      <x:c r="J80" s="11" t="n">
        <x:v>0</x:v>
      </x:c>
      <x:c r="K80" s="20" t="n">
        <x:v>1400</x:v>
      </x:c>
      <x:c r="L80" s="20" t="n">
        <x:v>70</x:v>
      </x:c>
      <x:c r="M80" s="20" t="n">
        <x:v>950</x:v>
      </x:c>
      <x:c r="N80" s="20" t="n">
        <x:f>IF(J80=1,0,K80-L80)</x:f>
        <x:v>1330</x:v>
      </x:c>
      <x:c r="O80" s="20" t="n">
        <x:f>N80-M80</x:f>
        <x:v>380</x:v>
      </x:c>
    </x:row>
    <x:row r="81" ht="22" customHeight="1">
      <x:c r="A81" s="11" t="n">
        <x:v>77</x:v>
      </x:c>
      <x:c r="B81" s="11" t="n">
        <x:v>39</x:v>
      </x:c>
      <x:c r="C81" s="18" t="n">
        <x:v>45610</x:v>
      </x:c>
      <x:c r="D81" s="11" t="str">
        <x:v>2024-11</x:v>
      </x:c>
      <x:c r="E81" s="11" t="str">
        <x:v>West</x:v>
      </x:c>
      <x:c r="F81" s="11" t="str">
        <x:v>Technology</x:v>
      </x:c>
      <x:c r="G81" s="11" t="str">
        <x:v>Keyboard</x:v>
      </x:c>
      <x:c r="H81" s="11" t="n">
        <x:v>1</x:v>
      </x:c>
      <x:c r="I81" s="19" t="n">
        <x:v>0.1</x:v>
      </x:c>
      <x:c r="J81" s="11" t="n">
        <x:v>0</x:v>
      </x:c>
      <x:c r="K81" s="20" t="n">
        <x:v>65</x:v>
      </x:c>
      <x:c r="L81" s="20" t="n">
        <x:v>6.5</x:v>
      </x:c>
      <x:c r="M81" s="20" t="n">
        <x:v>32</x:v>
      </x:c>
      <x:c r="N81" s="20" t="n">
        <x:f>IF(J81=1,0,K81-L81)</x:f>
        <x:v>58.5</x:v>
      </x:c>
      <x:c r="O81" s="20" t="n">
        <x:f>N81-M81</x:f>
        <x:v>26.5</x:v>
      </x:c>
    </x:row>
    <x:row r="82" ht="22" customHeight="1">
      <x:c r="A82" s="11" t="n">
        <x:v>78</x:v>
      </x:c>
      <x:c r="B82" s="11" t="n">
        <x:v>39</x:v>
      </x:c>
      <x:c r="C82" s="18" t="n">
        <x:v>45610</x:v>
      </x:c>
      <x:c r="D82" s="11" t="str">
        <x:v>2024-11</x:v>
      </x:c>
      <x:c r="E82" s="11" t="str">
        <x:v>West</x:v>
      </x:c>
      <x:c r="F82" s="11" t="str">
        <x:v>Furniture</x:v>
      </x:c>
      <x:c r="G82" s="11" t="str">
        <x:v>Desk</x:v>
      </x:c>
      <x:c r="H82" s="11" t="n">
        <x:v>2</x:v>
      </x:c>
      <x:c r="I82" s="19" t="n">
        <x:v>0.35</x:v>
      </x:c>
      <x:c r="J82" s="11" t="n">
        <x:v>0</x:v>
      </x:c>
      <x:c r="K82" s="20" t="n">
        <x:v>560</x:v>
      </x:c>
      <x:c r="L82" s="20" t="n">
        <x:v>196</x:v>
      </x:c>
      <x:c r="M82" s="20" t="n">
        <x:v>380</x:v>
      </x:c>
      <x:c r="N82" s="20" t="n">
        <x:f>IF(J82=1,0,K82-L82)</x:f>
        <x:v>364</x:v>
      </x:c>
      <x:c r="O82" s="20" t="n">
        <x:f>N82-M82</x:f>
        <x:v>-16</x:v>
      </x:c>
    </x:row>
    <x:row r="83" ht="22" customHeight="1">
      <x:c r="A83" s="11" t="n">
        <x:v>79</x:v>
      </x:c>
      <x:c r="B83" s="11" t="n">
        <x:v>39</x:v>
      </x:c>
      <x:c r="C83" s="18" t="n">
        <x:v>45610</x:v>
      </x:c>
      <x:c r="D83" s="11" t="str">
        <x:v>2024-11</x:v>
      </x:c>
      <x:c r="E83" s="11" t="str">
        <x:v>West</x:v>
      </x:c>
      <x:c r="F83" s="11" t="str">
        <x:v>Furniture</x:v>
      </x:c>
      <x:c r="G83" s="11" t="str">
        <x:v>Chair</x:v>
      </x:c>
      <x:c r="H83" s="11" t="n">
        <x:v>3</x:v>
      </x:c>
      <x:c r="I83" s="19" t="n">
        <x:v>0.1</x:v>
      </x:c>
      <x:c r="J83" s="11" t="n">
        <x:v>0</x:v>
      </x:c>
      <x:c r="K83" s="20" t="n">
        <x:v>510</x:v>
      </x:c>
      <x:c r="L83" s="20" t="n">
        <x:v>51</x:v>
      </x:c>
      <x:c r="M83" s="20" t="n">
        <x:v>330</x:v>
      </x:c>
      <x:c r="N83" s="20" t="n">
        <x:f>IF(J83=1,0,K83-L83)</x:f>
        <x:v>459</x:v>
      </x:c>
      <x:c r="O83" s="20" t="n">
        <x:f>N83-M83</x:f>
        <x:v>129</x:v>
      </x:c>
    </x:row>
    <x:row r="84" ht="22" customHeight="1">
      <x:c r="A84" s="11" t="n">
        <x:v>80</x:v>
      </x:c>
      <x:c r="B84" s="11" t="n">
        <x:v>40</x:v>
      </x:c>
      <x:c r="C84" s="18" t="n">
        <x:v>45786</x:v>
      </x:c>
      <x:c r="D84" s="11" t="str">
        <x:v>2025-05</x:v>
      </x:c>
      <x:c r="E84" s="11" t="str">
        <x:v>East</x:v>
      </x:c>
      <x:c r="F84" s="11" t="str">
        <x:v>Office Supplies</x:v>
      </x:c>
      <x:c r="G84" s="11" t="str">
        <x:v>Notebook pack</x:v>
      </x:c>
      <x:c r="H84" s="11" t="n">
        <x:v>4</x:v>
      </x:c>
      <x:c r="I84" s="19" t="n">
        <x:v>0</x:v>
      </x:c>
      <x:c r="J84" s="11" t="n">
        <x:v>0</x:v>
      </x:c>
      <x:c r="K84" s="20" t="n">
        <x:v>72</x:v>
      </x:c>
      <x:c r="L84" s="20" t="n">
        <x:v>0</x:v>
      </x:c>
      <x:c r="M84" s="20" t="n">
        <x:v>28</x:v>
      </x:c>
      <x:c r="N84" s="20" t="n">
        <x:f>IF(J84=1,0,K84-L84)</x:f>
        <x:v>72</x:v>
      </x:c>
      <x:c r="O84" s="20" t="n">
        <x:f>N84-M84</x:f>
        <x:v>44</x:v>
      </x:c>
    </x:row>
    <x:row r="85" ht="22" customHeight="1">
      <x:c r="A85" s="11" t="n">
        <x:v>81</x:v>
      </x:c>
      <x:c r="B85" s="11" t="n">
        <x:v>40</x:v>
      </x:c>
      <x:c r="C85" s="18" t="n">
        <x:v>45786</x:v>
      </x:c>
      <x:c r="D85" s="11" t="str">
        <x:v>2025-05</x:v>
      </x:c>
      <x:c r="E85" s="11" t="str">
        <x:v>East</x:v>
      </x:c>
      <x:c r="F85" s="11" t="str">
        <x:v>Furniture</x:v>
      </x:c>
      <x:c r="G85" s="11" t="str">
        <x:v>Chair</x:v>
      </x:c>
      <x:c r="H85" s="11" t="n">
        <x:v>5</x:v>
      </x:c>
      <x:c r="I85" s="19" t="n">
        <x:v>0</x:v>
      </x:c>
      <x:c r="J85" s="11" t="n">
        <x:v>0</x:v>
      </x:c>
      <x:c r="K85" s="20" t="n">
        <x:v>850</x:v>
      </x:c>
      <x:c r="L85" s="20" t="n">
        <x:v>0</x:v>
      </x:c>
      <x:c r="M85" s="20" t="n">
        <x:v>550</x:v>
      </x:c>
      <x:c r="N85" s="20" t="n">
        <x:f>IF(J85=1,0,K85-L85)</x:f>
        <x:v>850</x:v>
      </x:c>
      <x:c r="O85" s="20" t="n">
        <x:f>N85-M85</x:f>
        <x:v>300</x:v>
      </x:c>
    </x:row>
    <x:row r="86" ht="22" customHeight="1">
      <x:c r="A86" s="11" t="n">
        <x:v>82</x:v>
      </x:c>
      <x:c r="B86" s="11" t="n">
        <x:v>41</x:v>
      </x:c>
      <x:c r="C86" s="18" t="n">
        <x:v>45574</x:v>
      </x:c>
      <x:c r="D86" s="11" t="str">
        <x:v>2024-10</x:v>
      </x:c>
      <x:c r="E86" s="11" t="str">
        <x:v>South</x:v>
      </x:c>
      <x:c r="F86" s="11" t="str">
        <x:v>Office Supplies</x:v>
      </x:c>
      <x:c r="G86" s="11" t="str">
        <x:v>Notebook pack</x:v>
      </x:c>
      <x:c r="H86" s="11" t="n">
        <x:v>1</x:v>
      </x:c>
      <x:c r="I86" s="19" t="n">
        <x:v>0.05</x:v>
      </x:c>
      <x:c r="J86" s="11" t="n">
        <x:v>0</x:v>
      </x:c>
      <x:c r="K86" s="20" t="n">
        <x:v>18</x:v>
      </x:c>
      <x:c r="L86" s="20" t="n">
        <x:v>0.9</x:v>
      </x:c>
      <x:c r="M86" s="20" t="n">
        <x:v>7</x:v>
      </x:c>
      <x:c r="N86" s="20" t="n">
        <x:f>IF(J86=1,0,K86-L86)</x:f>
        <x:v>17.1</x:v>
      </x:c>
      <x:c r="O86" s="20" t="n">
        <x:f>N86-M86</x:f>
        <x:v>10.100000000000001</x:v>
      </x:c>
    </x:row>
    <x:row r="87" ht="22" customHeight="1">
      <x:c r="A87" s="11" t="n">
        <x:v>83</x:v>
      </x:c>
      <x:c r="B87" s="11" t="n">
        <x:v>41</x:v>
      </x:c>
      <x:c r="C87" s="18" t="n">
        <x:v>45574</x:v>
      </x:c>
      <x:c r="D87" s="11" t="str">
        <x:v>2024-10</x:v>
      </x:c>
      <x:c r="E87" s="11" t="str">
        <x:v>South</x:v>
      </x:c>
      <x:c r="F87" s="11" t="str">
        <x:v>Technology</x:v>
      </x:c>
      <x:c r="G87" s="11" t="str">
        <x:v>Monitor</x:v>
      </x:c>
      <x:c r="H87" s="11" t="n">
        <x:v>5</x:v>
      </x:c>
      <x:c r="I87" s="19" t="n">
        <x:v>0.15</x:v>
      </x:c>
      <x:c r="J87" s="11" t="n">
        <x:v>0</x:v>
      </x:c>
      <x:c r="K87" s="20" t="n">
        <x:v>1200</x:v>
      </x:c>
      <x:c r="L87" s="20" t="n">
        <x:v>180</x:v>
      </x:c>
      <x:c r="M87" s="20" t="n">
        <x:v>800</x:v>
      </x:c>
      <x:c r="N87" s="20" t="n">
        <x:f>IF(J87=1,0,K87-L87)</x:f>
        <x:v>1020</x:v>
      </x:c>
      <x:c r="O87" s="20" t="n">
        <x:f>N87-M87</x:f>
        <x:v>220</x:v>
      </x:c>
    </x:row>
    <x:row r="88" ht="22" customHeight="1">
      <x:c r="A88" s="11" t="n">
        <x:v>84</x:v>
      </x:c>
      <x:c r="B88" s="11" t="n">
        <x:v>42</x:v>
      </x:c>
      <x:c r="C88" s="18" t="n">
        <x:v>45793</x:v>
      </x:c>
      <x:c r="D88" s="11" t="str">
        <x:v>2025-05</x:v>
      </x:c>
      <x:c r="E88" s="11" t="str">
        <x:v>Central</x:v>
      </x:c>
      <x:c r="F88" s="11" t="str">
        <x:v>Technology</x:v>
      </x:c>
      <x:c r="G88" s="11" t="str">
        <x:v>Keyboard</x:v>
      </x:c>
      <x:c r="H88" s="11" t="n">
        <x:v>5</x:v>
      </x:c>
      <x:c r="I88" s="19" t="n">
        <x:v>0.15</x:v>
      </x:c>
      <x:c r="J88" s="11" t="n">
        <x:v>0</x:v>
      </x:c>
      <x:c r="K88" s="20" t="n">
        <x:v>325</x:v>
      </x:c>
      <x:c r="L88" s="20" t="n">
        <x:v>48.75</x:v>
      </x:c>
      <x:c r="M88" s="20" t="n">
        <x:v>160</x:v>
      </x:c>
      <x:c r="N88" s="20" t="n">
        <x:f>IF(J88=1,0,K88-L88)</x:f>
        <x:v>276.25</x:v>
      </x:c>
      <x:c r="O88" s="20" t="n">
        <x:f>N88-M88</x:f>
        <x:v>116.25</x:v>
      </x:c>
    </x:row>
    <x:row r="89" ht="22" customHeight="1">
      <x:c r="A89" s="11" t="n">
        <x:v>85</x:v>
      </x:c>
      <x:c r="B89" s="11" t="n">
        <x:v>42</x:v>
      </x:c>
      <x:c r="C89" s="18" t="n">
        <x:v>45793</x:v>
      </x:c>
      <x:c r="D89" s="11" t="str">
        <x:v>2025-05</x:v>
      </x:c>
      <x:c r="E89" s="11" t="str">
        <x:v>Central</x:v>
      </x:c>
      <x:c r="F89" s="11" t="str">
        <x:v>Technology</x:v>
      </x:c>
      <x:c r="G89" s="11" t="str">
        <x:v>Monitor</x:v>
      </x:c>
      <x:c r="H89" s="11" t="n">
        <x:v>3</x:v>
      </x:c>
      <x:c r="I89" s="19" t="n">
        <x:v>0</x:v>
      </x:c>
      <x:c r="J89" s="11" t="n">
        <x:v>0</x:v>
      </x:c>
      <x:c r="K89" s="20" t="n">
        <x:v>720</x:v>
      </x:c>
      <x:c r="L89" s="20" t="n">
        <x:v>0</x:v>
      </x:c>
      <x:c r="M89" s="20" t="n">
        <x:v>480</x:v>
      </x:c>
      <x:c r="N89" s="20" t="n">
        <x:f>IF(J89=1,0,K89-L89)</x:f>
        <x:v>720</x:v>
      </x:c>
      <x:c r="O89" s="20" t="n">
        <x:f>N89-M89</x:f>
        <x:v>240</x:v>
      </x:c>
    </x:row>
    <x:row r="90" ht="22" customHeight="1">
      <x:c r="A90" s="11" t="n">
        <x:v>86</x:v>
      </x:c>
      <x:c r="B90" s="11" t="n">
        <x:v>42</x:v>
      </x:c>
      <x:c r="C90" s="18" t="n">
        <x:v>45793</x:v>
      </x:c>
      <x:c r="D90" s="11" t="str">
        <x:v>2025-05</x:v>
      </x:c>
      <x:c r="E90" s="11" t="str">
        <x:v>Central</x:v>
      </x:c>
      <x:c r="F90" s="11" t="str">
        <x:v>Office Supplies</x:v>
      </x:c>
      <x:c r="G90" s="11" t="str">
        <x:v>Notebook pack</x:v>
      </x:c>
      <x:c r="H90" s="11" t="n">
        <x:v>2</x:v>
      </x:c>
      <x:c r="I90" s="19" t="n">
        <x:v>0.15</x:v>
      </x:c>
      <x:c r="J90" s="11" t="n">
        <x:v>0</x:v>
      </x:c>
      <x:c r="K90" s="20" t="n">
        <x:v>36</x:v>
      </x:c>
      <x:c r="L90" s="20" t="n">
        <x:v>5.4</x:v>
      </x:c>
      <x:c r="M90" s="20" t="n">
        <x:v>14</x:v>
      </x:c>
      <x:c r="N90" s="20" t="n">
        <x:f>IF(J90=1,0,K90-L90)</x:f>
        <x:v>30.6</x:v>
      </x:c>
      <x:c r="O90" s="20" t="n">
        <x:f>N90-M90</x:f>
        <x:v>16.6</x:v>
      </x:c>
    </x:row>
    <x:row r="91" ht="22" customHeight="1">
      <x:c r="A91" s="11" t="n">
        <x:v>87</x:v>
      </x:c>
      <x:c r="B91" s="11" t="n">
        <x:v>43</x:v>
      </x:c>
      <x:c r="C91" s="18" t="n">
        <x:v>45712</x:v>
      </x:c>
      <x:c r="D91" s="11" t="str">
        <x:v>2025-02</x:v>
      </x:c>
      <x:c r="E91" s="11" t="str">
        <x:v>South</x:v>
      </x:c>
      <x:c r="F91" s="11" t="str">
        <x:v>Technology</x:v>
      </x:c>
      <x:c r="G91" s="11" t="str">
        <x:v>Keyboard</x:v>
      </x:c>
      <x:c r="H91" s="11" t="n">
        <x:v>2</x:v>
      </x:c>
      <x:c r="I91" s="19" t="n">
        <x:v>0.1</x:v>
      </x:c>
      <x:c r="J91" s="11" t="n">
        <x:v>0</x:v>
      </x:c>
      <x:c r="K91" s="20" t="n">
        <x:v>130</x:v>
      </x:c>
      <x:c r="L91" s="20" t="n">
        <x:v>13</x:v>
      </x:c>
      <x:c r="M91" s="20" t="n">
        <x:v>64</x:v>
      </x:c>
      <x:c r="N91" s="20" t="n">
        <x:f>IF(J91=1,0,K91-L91)</x:f>
        <x:v>117</x:v>
      </x:c>
      <x:c r="O91" s="20" t="n">
        <x:f>N91-M91</x:f>
        <x:v>53</x:v>
      </x:c>
    </x:row>
    <x:row r="92" ht="22" customHeight="1">
      <x:c r="A92" s="11" t="n">
        <x:v>88</x:v>
      </x:c>
      <x:c r="B92" s="11" t="n">
        <x:v>43</x:v>
      </x:c>
      <x:c r="C92" s="18" t="n">
        <x:v>45712</x:v>
      </x:c>
      <x:c r="D92" s="11" t="str">
        <x:v>2025-02</x:v>
      </x:c>
      <x:c r="E92" s="11" t="str">
        <x:v>South</x:v>
      </x:c>
      <x:c r="F92" s="11" t="str">
        <x:v>Office Supplies</x:v>
      </x:c>
      <x:c r="G92" s="11" t="str">
        <x:v>Storage box</x:v>
      </x:c>
      <x:c r="H92" s="11" t="n">
        <x:v>2</x:v>
      </x:c>
      <x:c r="I92" s="19" t="n">
        <x:v>0.15</x:v>
      </x:c>
      <x:c r="J92" s="11" t="n">
        <x:v>0</x:v>
      </x:c>
      <x:c r="K92" s="20" t="n">
        <x:v>52</x:v>
      </x:c>
      <x:c r="L92" s="20" t="n">
        <x:v>7.8</x:v>
      </x:c>
      <x:c r="M92" s="20" t="n">
        <x:v>24</x:v>
      </x:c>
      <x:c r="N92" s="20" t="n">
        <x:f>IF(J92=1,0,K92-L92)</x:f>
        <x:v>44.2</x:v>
      </x:c>
      <x:c r="O92" s="20" t="n">
        <x:f>N92-M92</x:f>
        <x:v>20.200000000000003</x:v>
      </x:c>
    </x:row>
    <x:row r="93" ht="22" customHeight="1">
      <x:c r="A93" s="11" t="n">
        <x:v>89</x:v>
      </x:c>
      <x:c r="B93" s="11" t="n">
        <x:v>43</x:v>
      </x:c>
      <x:c r="C93" s="18" t="n">
        <x:v>45712</x:v>
      </x:c>
      <x:c r="D93" s="11" t="str">
        <x:v>2025-02</x:v>
      </x:c>
      <x:c r="E93" s="11" t="str">
        <x:v>South</x:v>
      </x:c>
      <x:c r="F93" s="11" t="str">
        <x:v>Office Supplies</x:v>
      </x:c>
      <x:c r="G93" s="11" t="str">
        <x:v>Notebook pack</x:v>
      </x:c>
      <x:c r="H93" s="11" t="n">
        <x:v>3</x:v>
      </x:c>
      <x:c r="I93" s="19" t="n">
        <x:v>0</x:v>
      </x:c>
      <x:c r="J93" s="11" t="n">
        <x:v>0</x:v>
      </x:c>
      <x:c r="K93" s="20" t="n">
        <x:v>54</x:v>
      </x:c>
      <x:c r="L93" s="20" t="n">
        <x:v>0</x:v>
      </x:c>
      <x:c r="M93" s="20" t="n">
        <x:v>21</x:v>
      </x:c>
      <x:c r="N93" s="20" t="n">
        <x:f>IF(J93=1,0,K93-L93)</x:f>
        <x:v>54</x:v>
      </x:c>
      <x:c r="O93" s="20" t="n">
        <x:f>N93-M93</x:f>
        <x:v>33</x:v>
      </x:c>
    </x:row>
    <x:row r="94" ht="22" customHeight="1">
      <x:c r="A94" s="11" t="n">
        <x:v>90</x:v>
      </x:c>
      <x:c r="B94" s="11" t="n">
        <x:v>44</x:v>
      </x:c>
      <x:c r="C94" s="18" t="n">
        <x:v>45742</x:v>
      </x:c>
      <x:c r="D94" s="11" t="str">
        <x:v>2025-03</x:v>
      </x:c>
      <x:c r="E94" s="11" t="str">
        <x:v>South</x:v>
      </x:c>
      <x:c r="F94" s="11" t="str">
        <x:v>Office Supplies</x:v>
      </x:c>
      <x:c r="G94" s="11" t="str">
        <x:v>Storage box</x:v>
      </x:c>
      <x:c r="H94" s="11" t="n">
        <x:v>2</x:v>
      </x:c>
      <x:c r="I94" s="19" t="n">
        <x:v>0.1</x:v>
      </x:c>
      <x:c r="J94" s="11" t="n">
        <x:v>0</x:v>
      </x:c>
      <x:c r="K94" s="20" t="n">
        <x:v>52</x:v>
      </x:c>
      <x:c r="L94" s="20" t="n">
        <x:v>5.2</x:v>
      </x:c>
      <x:c r="M94" s="20" t="n">
        <x:v>24</x:v>
      </x:c>
      <x:c r="N94" s="20" t="n">
        <x:f>IF(J94=1,0,K94-L94)</x:f>
        <x:v>46.8</x:v>
      </x:c>
      <x:c r="O94" s="20" t="n">
        <x:f>N94-M94</x:f>
        <x:v>22.799999999999997</x:v>
      </x:c>
    </x:row>
    <x:row r="95" ht="22" customHeight="1">
      <x:c r="A95" s="11" t="n">
        <x:v>91</x:v>
      </x:c>
      <x:c r="B95" s="11" t="n">
        <x:v>45</x:v>
      </x:c>
      <x:c r="C95" s="18" t="n">
        <x:v>45450</x:v>
      </x:c>
      <x:c r="D95" s="11" t="str">
        <x:v>2024-06</x:v>
      </x:c>
      <x:c r="E95" s="11" t="str">
        <x:v>South</x:v>
      </x:c>
      <x:c r="F95" s="11" t="str">
        <x:v>Technology</x:v>
      </x:c>
      <x:c r="G95" s="11" t="str">
        <x:v>Monitor</x:v>
      </x:c>
      <x:c r="H95" s="11" t="n">
        <x:v>4</x:v>
      </x:c>
      <x:c r="I95" s="19" t="n">
        <x:v>0</x:v>
      </x:c>
      <x:c r="J95" s="11" t="n">
        <x:v>0</x:v>
      </x:c>
      <x:c r="K95" s="20" t="n">
        <x:v>960</x:v>
      </x:c>
      <x:c r="L95" s="20" t="n">
        <x:v>0</x:v>
      </x:c>
      <x:c r="M95" s="20" t="n">
        <x:v>640</x:v>
      </x:c>
      <x:c r="N95" s="20" t="n">
        <x:f>IF(J95=1,0,K95-L95)</x:f>
        <x:v>960</x:v>
      </x:c>
      <x:c r="O95" s="20" t="n">
        <x:f>N95-M95</x:f>
        <x:v>320</x:v>
      </x:c>
    </x:row>
    <x:row r="96" ht="22" customHeight="1">
      <x:c r="A96" s="11" t="n">
        <x:v>92</x:v>
      </x:c>
      <x:c r="B96" s="11" t="n">
        <x:v>45</x:v>
      </x:c>
      <x:c r="C96" s="18" t="n">
        <x:v>45450</x:v>
      </x:c>
      <x:c r="D96" s="11" t="str">
        <x:v>2024-06</x:v>
      </x:c>
      <x:c r="E96" s="11" t="str">
        <x:v>South</x:v>
      </x:c>
      <x:c r="F96" s="11" t="str">
        <x:v>Office Supplies</x:v>
      </x:c>
      <x:c r="G96" s="11" t="str">
        <x:v>Notebook pack</x:v>
      </x:c>
      <x:c r="H96" s="11" t="n">
        <x:v>5</x:v>
      </x:c>
      <x:c r="I96" s="19" t="n">
        <x:v>0.1</x:v>
      </x:c>
      <x:c r="J96" s="11" t="n">
        <x:v>0</x:v>
      </x:c>
      <x:c r="K96" s="20" t="n">
        <x:v>90</x:v>
      </x:c>
      <x:c r="L96" s="20" t="n">
        <x:v>9</x:v>
      </x:c>
      <x:c r="M96" s="20" t="n">
        <x:v>35</x:v>
      </x:c>
      <x:c r="N96" s="20" t="n">
        <x:f>IF(J96=1,0,K96-L96)</x:f>
        <x:v>81</x:v>
      </x:c>
      <x:c r="O96" s="20" t="n">
        <x:f>N96-M96</x:f>
        <x:v>46</x:v>
      </x:c>
    </x:row>
    <x:row r="97" ht="22" customHeight="1">
      <x:c r="A97" s="11" t="n">
        <x:v>93</x:v>
      </x:c>
      <x:c r="B97" s="11" t="n">
        <x:v>46</x:v>
      </x:c>
      <x:c r="C97" s="18" t="n">
        <x:v>45933</x:v>
      </x:c>
      <x:c r="D97" s="11" t="str">
        <x:v>2025-10</x:v>
      </x:c>
      <x:c r="E97" s="11" t="str">
        <x:v>South</x:v>
      </x:c>
      <x:c r="F97" s="11" t="str">
        <x:v>Furniture</x:v>
      </x:c>
      <x:c r="G97" s="11" t="str">
        <x:v>Desk</x:v>
      </x:c>
      <x:c r="H97" s="11" t="n">
        <x:v>2</x:v>
      </x:c>
      <x:c r="I97" s="19" t="n">
        <x:v>0.1</x:v>
      </x:c>
      <x:c r="J97" s="11" t="n">
        <x:v>0</x:v>
      </x:c>
      <x:c r="K97" s="20" t="n">
        <x:v>560</x:v>
      </x:c>
      <x:c r="L97" s="20" t="n">
        <x:v>56</x:v>
      </x:c>
      <x:c r="M97" s="20" t="n">
        <x:v>380</x:v>
      </x:c>
      <x:c r="N97" s="20" t="n">
        <x:f>IF(J97=1,0,K97-L97)</x:f>
        <x:v>504</x:v>
      </x:c>
      <x:c r="O97" s="20" t="n">
        <x:f>N97-M97</x:f>
        <x:v>124</x:v>
      </x:c>
    </x:row>
    <x:row r="98" ht="22" customHeight="1">
      <x:c r="A98" s="11" t="n">
        <x:v>94</x:v>
      </x:c>
      <x:c r="B98" s="11" t="n">
        <x:v>46</x:v>
      </x:c>
      <x:c r="C98" s="18" t="n">
        <x:v>45933</x:v>
      </x:c>
      <x:c r="D98" s="11" t="str">
        <x:v>2025-10</x:v>
      </x:c>
      <x:c r="E98" s="11" t="str">
        <x:v>South</x:v>
      </x:c>
      <x:c r="F98" s="11" t="str">
        <x:v>Office Supplies</x:v>
      </x:c>
      <x:c r="G98" s="11" t="str">
        <x:v>Notebook pack</x:v>
      </x:c>
      <x:c r="H98" s="11" t="n">
        <x:v>1</x:v>
      </x:c>
      <x:c r="I98" s="19" t="n">
        <x:v>0.1</x:v>
      </x:c>
      <x:c r="J98" s="11" t="n">
        <x:v>0</x:v>
      </x:c>
      <x:c r="K98" s="20" t="n">
        <x:v>18</x:v>
      </x:c>
      <x:c r="L98" s="20" t="n">
        <x:v>1.8</x:v>
      </x:c>
      <x:c r="M98" s="20" t="n">
        <x:v>7</x:v>
      </x:c>
      <x:c r="N98" s="20" t="n">
        <x:f>IF(J98=1,0,K98-L98)</x:f>
        <x:v>16.2</x:v>
      </x:c>
      <x:c r="O98" s="20" t="n">
        <x:f>N98-M98</x:f>
        <x:v>9.2</x:v>
      </x:c>
    </x:row>
    <x:row r="99" ht="22" customHeight="1">
      <x:c r="A99" s="11" t="n">
        <x:v>95</x:v>
      </x:c>
      <x:c r="B99" s="11" t="n">
        <x:v>46</x:v>
      </x:c>
      <x:c r="C99" s="18" t="n">
        <x:v>45933</x:v>
      </x:c>
      <x:c r="D99" s="11" t="str">
        <x:v>2025-10</x:v>
      </x:c>
      <x:c r="E99" s="11" t="str">
        <x:v>South</x:v>
      </x:c>
      <x:c r="F99" s="11" t="str">
        <x:v>Office Supplies</x:v>
      </x:c>
      <x:c r="G99" s="11" t="str">
        <x:v>Storage box</x:v>
      </x:c>
      <x:c r="H99" s="11" t="n">
        <x:v>1</x:v>
      </x:c>
      <x:c r="I99" s="19" t="n">
        <x:v>0.1</x:v>
      </x:c>
      <x:c r="J99" s="11" t="n">
        <x:v>0</x:v>
      </x:c>
      <x:c r="K99" s="20" t="n">
        <x:v>26</x:v>
      </x:c>
      <x:c r="L99" s="20" t="n">
        <x:v>2.6</x:v>
      </x:c>
      <x:c r="M99" s="20" t="n">
        <x:v>12</x:v>
      </x:c>
      <x:c r="N99" s="20" t="n">
        <x:f>IF(J99=1,0,K99-L99)</x:f>
        <x:v>23.4</x:v>
      </x:c>
      <x:c r="O99" s="20" t="n">
        <x:f>N99-M99</x:f>
        <x:v>11.399999999999999</x:v>
      </x:c>
    </x:row>
    <x:row r="100" ht="22" customHeight="1">
      <x:c r="A100" s="11" t="n">
        <x:v>96</x:v>
      </x:c>
      <x:c r="B100" s="11" t="n">
        <x:v>47</x:v>
      </x:c>
      <x:c r="C100" s="18" t="n">
        <x:v>45598</x:v>
      </x:c>
      <x:c r="D100" s="11" t="str">
        <x:v>2024-11</x:v>
      </x:c>
      <x:c r="E100" s="11" t="str">
        <x:v>East</x:v>
      </x:c>
      <x:c r="F100" s="11" t="str">
        <x:v>Furniture</x:v>
      </x:c>
      <x:c r="G100" s="11" t="str">
        <x:v>Desk</x:v>
      </x:c>
      <x:c r="H100" s="11" t="n">
        <x:v>3</x:v>
      </x:c>
      <x:c r="I100" s="19" t="n">
        <x:v>0.15</x:v>
      </x:c>
      <x:c r="J100" s="11" t="n">
        <x:v>0</x:v>
      </x:c>
      <x:c r="K100" s="20" t="n">
        <x:v>840</x:v>
      </x:c>
      <x:c r="L100" s="20" t="n">
        <x:v>126</x:v>
      </x:c>
      <x:c r="M100" s="20" t="n">
        <x:v>570</x:v>
      </x:c>
      <x:c r="N100" s="20" t="n">
        <x:f>IF(J100=1,0,K100-L100)</x:f>
        <x:v>714</x:v>
      </x:c>
      <x:c r="O100" s="20" t="n">
        <x:f>N100-M100</x:f>
        <x:v>144</x:v>
      </x:c>
    </x:row>
    <x:row r="101" ht="22" customHeight="1">
      <x:c r="A101" s="11" t="n">
        <x:v>97</x:v>
      </x:c>
      <x:c r="B101" s="11" t="n">
        <x:v>47</x:v>
      </x:c>
      <x:c r="C101" s="18" t="n">
        <x:v>45598</x:v>
      </x:c>
      <x:c r="D101" s="11" t="str">
        <x:v>2024-11</x:v>
      </x:c>
      <x:c r="E101" s="11" t="str">
        <x:v>East</x:v>
      </x:c>
      <x:c r="F101" s="11" t="str">
        <x:v>Technology</x:v>
      </x:c>
      <x:c r="G101" s="11" t="str">
        <x:v>Monitor</x:v>
      </x:c>
      <x:c r="H101" s="11" t="n">
        <x:v>2</x:v>
      </x:c>
      <x:c r="I101" s="19" t="n">
        <x:v>0.15</x:v>
      </x:c>
      <x:c r="J101" s="11" t="n">
        <x:v>0</x:v>
      </x:c>
      <x:c r="K101" s="20" t="n">
        <x:v>480</x:v>
      </x:c>
      <x:c r="L101" s="20" t="n">
        <x:v>72</x:v>
      </x:c>
      <x:c r="M101" s="20" t="n">
        <x:v>320</x:v>
      </x:c>
      <x:c r="N101" s="20" t="n">
        <x:f>IF(J101=1,0,K101-L101)</x:f>
        <x:v>408</x:v>
      </x:c>
      <x:c r="O101" s="20" t="n">
        <x:f>N101-M101</x:f>
        <x:v>88</x:v>
      </x:c>
    </x:row>
    <x:row r="102" ht="22" customHeight="1">
      <x:c r="A102" s="11" t="n">
        <x:v>98</x:v>
      </x:c>
      <x:c r="B102" s="11" t="n">
        <x:v>48</x:v>
      </x:c>
      <x:c r="C102" s="18" t="n">
        <x:v>45990</x:v>
      </x:c>
      <x:c r="D102" s="11" t="str">
        <x:v>2025-11</x:v>
      </x:c>
      <x:c r="E102" s="11" t="str">
        <x:v>East</x:v>
      </x:c>
      <x:c r="F102" s="11" t="str">
        <x:v>Furniture</x:v>
      </x:c>
      <x:c r="G102" s="11" t="str">
        <x:v>Desk</x:v>
      </x:c>
      <x:c r="H102" s="11" t="n">
        <x:v>5</x:v>
      </x:c>
      <x:c r="I102" s="19" t="n">
        <x:v>0.25</x:v>
      </x:c>
      <x:c r="J102" s="11" t="n">
        <x:v>0</x:v>
      </x:c>
      <x:c r="K102" s="20" t="n">
        <x:v>1400</x:v>
      </x:c>
      <x:c r="L102" s="20" t="n">
        <x:v>350</x:v>
      </x:c>
      <x:c r="M102" s="20" t="n">
        <x:v>950</x:v>
      </x:c>
      <x:c r="N102" s="20" t="n">
        <x:f>IF(J102=1,0,K102-L102)</x:f>
        <x:v>1050</x:v>
      </x:c>
      <x:c r="O102" s="20" t="n">
        <x:f>N102-M102</x:f>
        <x:v>100</x:v>
      </x:c>
    </x:row>
    <x:row r="103" ht="22" customHeight="1">
      <x:c r="A103" s="11" t="n">
        <x:v>99</x:v>
      </x:c>
      <x:c r="B103" s="11" t="n">
        <x:v>49</x:v>
      </x:c>
      <x:c r="C103" s="18" t="n">
        <x:v>45538</x:v>
      </x:c>
      <x:c r="D103" s="11" t="str">
        <x:v>2024-09</x:v>
      </x:c>
      <x:c r="E103" s="11" t="str">
        <x:v>East</x:v>
      </x:c>
      <x:c r="F103" s="11" t="str">
        <x:v>Technology</x:v>
      </x:c>
      <x:c r="G103" s="11" t="str">
        <x:v>Keyboard</x:v>
      </x:c>
      <x:c r="H103" s="11" t="n">
        <x:v>3</x:v>
      </x:c>
      <x:c r="I103" s="19" t="n">
        <x:v>0.1</x:v>
      </x:c>
      <x:c r="J103" s="11" t="n">
        <x:v>0</x:v>
      </x:c>
      <x:c r="K103" s="20" t="n">
        <x:v>195</x:v>
      </x:c>
      <x:c r="L103" s="20" t="n">
        <x:v>19.5</x:v>
      </x:c>
      <x:c r="M103" s="20" t="n">
        <x:v>96</x:v>
      </x:c>
      <x:c r="N103" s="20" t="n">
        <x:f>IF(J103=1,0,K103-L103)</x:f>
        <x:v>175.5</x:v>
      </x:c>
      <x:c r="O103" s="20" t="n">
        <x:f>N103-M103</x:f>
        <x:v>79.5</x:v>
      </x:c>
    </x:row>
    <x:row r="104" ht="22" customHeight="1">
      <x:c r="A104" s="11" t="n">
        <x:v>100</x:v>
      </x:c>
      <x:c r="B104" s="11" t="n">
        <x:v>50</x:v>
      </x:c>
      <x:c r="C104" s="18" t="n">
        <x:v>45301</x:v>
      </x:c>
      <x:c r="D104" s="11" t="str">
        <x:v>2024-01</x:v>
      </x:c>
      <x:c r="E104" s="11" t="str">
        <x:v>East</x:v>
      </x:c>
      <x:c r="F104" s="11" t="str">
        <x:v>Office Supplies</x:v>
      </x:c>
      <x:c r="G104" s="11" t="str">
        <x:v>Notebook pack</x:v>
      </x:c>
      <x:c r="H104" s="11" t="n">
        <x:v>4</x:v>
      </x:c>
      <x:c r="I104" s="19" t="n">
        <x:v>0.05</x:v>
      </x:c>
      <x:c r="J104" s="11" t="n">
        <x:v>0</x:v>
      </x:c>
      <x:c r="K104" s="20" t="n">
        <x:v>72</x:v>
      </x:c>
      <x:c r="L104" s="20" t="n">
        <x:v>3.6</x:v>
      </x:c>
      <x:c r="M104" s="20" t="n">
        <x:v>28</x:v>
      </x:c>
      <x:c r="N104" s="20" t="n">
        <x:f>IF(J104=1,0,K104-L104)</x:f>
        <x:v>68.4</x:v>
      </x:c>
      <x:c r="O104" s="20" t="n">
        <x:f>N104-M104</x:f>
        <x:v>40.400000000000006</x:v>
      </x:c>
    </x:row>
    <x:row r="105" ht="22" customHeight="1">
      <x:c r="A105" s="11" t="n">
        <x:v>101</x:v>
      </x:c>
      <x:c r="B105" s="11" t="n">
        <x:v>50</x:v>
      </x:c>
      <x:c r="C105" s="18" t="n">
        <x:v>45301</x:v>
      </x:c>
      <x:c r="D105" s="11" t="str">
        <x:v>2024-01</x:v>
      </x:c>
      <x:c r="E105" s="11" t="str">
        <x:v>East</x:v>
      </x:c>
      <x:c r="F105" s="11" t="str">
        <x:v>Furniture</x:v>
      </x:c>
      <x:c r="G105" s="11" t="str">
        <x:v>Chair</x:v>
      </x:c>
      <x:c r="H105" s="11" t="n">
        <x:v>3</x:v>
      </x:c>
      <x:c r="I105" s="19" t="n">
        <x:v>0.25</x:v>
      </x:c>
      <x:c r="J105" s="11" t="n">
        <x:v>0</x:v>
      </x:c>
      <x:c r="K105" s="20" t="n">
        <x:v>510</x:v>
      </x:c>
      <x:c r="L105" s="20" t="n">
        <x:v>127.5</x:v>
      </x:c>
      <x:c r="M105" s="20" t="n">
        <x:v>330</x:v>
      </x:c>
      <x:c r="N105" s="20" t="n">
        <x:f>IF(J105=1,0,K105-L105)</x:f>
        <x:v>382.5</x:v>
      </x:c>
      <x:c r="O105" s="20" t="n">
        <x:f>N105-M105</x:f>
        <x:v>52.5</x:v>
      </x:c>
    </x:row>
    <x:row r="106" ht="22" customHeight="1">
      <x:c r="A106" s="11" t="n">
        <x:v>102</x:v>
      </x:c>
      <x:c r="B106" s="11" t="n">
        <x:v>50</x:v>
      </x:c>
      <x:c r="C106" s="18" t="n">
        <x:v>45301</x:v>
      </x:c>
      <x:c r="D106" s="11" t="str">
        <x:v>2024-01</x:v>
      </x:c>
      <x:c r="E106" s="11" t="str">
        <x:v>East</x:v>
      </x:c>
      <x:c r="F106" s="11" t="str">
        <x:v>Furniture</x:v>
      </x:c>
      <x:c r="G106" s="11" t="str">
        <x:v>Desk</x:v>
      </x:c>
      <x:c r="H106" s="11" t="n">
        <x:v>4</x:v>
      </x:c>
      <x:c r="I106" s="19" t="n">
        <x:v>0.1</x:v>
      </x:c>
      <x:c r="J106" s="11" t="n">
        <x:v>0</x:v>
      </x:c>
      <x:c r="K106" s="20" t="n">
        <x:v>1120</x:v>
      </x:c>
      <x:c r="L106" s="20" t="n">
        <x:v>112</x:v>
      </x:c>
      <x:c r="M106" s="20" t="n">
        <x:v>760</x:v>
      </x:c>
      <x:c r="N106" s="20" t="n">
        <x:f>IF(J106=1,0,K106-L106)</x:f>
        <x:v>1008</x:v>
      </x:c>
      <x:c r="O106" s="20" t="n">
        <x:f>N106-M106</x:f>
        <x:v>248</x:v>
      </x:c>
    </x:row>
    <x:row r="107" ht="22" customHeight="1">
      <x:c r="A107" s="11" t="n">
        <x:v>103</x:v>
      </x:c>
      <x:c r="B107" s="11" t="n">
        <x:v>51</x:v>
      </x:c>
      <x:c r="C107" s="18" t="n">
        <x:v>45685</x:v>
      </x:c>
      <x:c r="D107" s="11" t="str">
        <x:v>2025-01</x:v>
      </x:c>
      <x:c r="E107" s="11" t="str">
        <x:v>Central</x:v>
      </x:c>
      <x:c r="F107" s="11" t="str">
        <x:v>Technology</x:v>
      </x:c>
      <x:c r="G107" s="11" t="str">
        <x:v>Keyboard</x:v>
      </x:c>
      <x:c r="H107" s="11" t="n">
        <x:v>5</x:v>
      </x:c>
      <x:c r="I107" s="19" t="n">
        <x:v>0.05</x:v>
      </x:c>
      <x:c r="J107" s="11" t="n">
        <x:v>0</x:v>
      </x:c>
      <x:c r="K107" s="20" t="n">
        <x:v>325</x:v>
      </x:c>
      <x:c r="L107" s="20" t="n">
        <x:v>16.25</x:v>
      </x:c>
      <x:c r="M107" s="20" t="n">
        <x:v>160</x:v>
      </x:c>
      <x:c r="N107" s="20" t="n">
        <x:f>IF(J107=1,0,K107-L107)</x:f>
        <x:v>308.75</x:v>
      </x:c>
      <x:c r="O107" s="20" t="n">
        <x:f>N107-M107</x:f>
        <x:v>148.75</x:v>
      </x:c>
    </x:row>
    <x:row r="108" ht="22" customHeight="1">
      <x:c r="A108" s="11" t="n">
        <x:v>104</x:v>
      </x:c>
      <x:c r="B108" s="11" t="n">
        <x:v>52</x:v>
      </x:c>
      <x:c r="C108" s="18" t="n">
        <x:v>46008</x:v>
      </x:c>
      <x:c r="D108" s="11" t="str">
        <x:v>2025-12</x:v>
      </x:c>
      <x:c r="E108" s="11" t="str">
        <x:v>West</x:v>
      </x:c>
      <x:c r="F108" s="11" t="str">
        <x:v>Technology</x:v>
      </x:c>
      <x:c r="G108" s="11" t="str">
        <x:v>Keyboard</x:v>
      </x:c>
      <x:c r="H108" s="11" t="n">
        <x:v>5</x:v>
      </x:c>
      <x:c r="I108" s="19" t="n">
        <x:v>0</x:v>
      </x:c>
      <x:c r="J108" s="11" t="n">
        <x:v>0</x:v>
      </x:c>
      <x:c r="K108" s="20" t="n">
        <x:v>325</x:v>
      </x:c>
      <x:c r="L108" s="20" t="n">
        <x:v>0</x:v>
      </x:c>
      <x:c r="M108" s="20" t="n">
        <x:v>160</x:v>
      </x:c>
      <x:c r="N108" s="20" t="n">
        <x:f>IF(J108=1,0,K108-L108)</x:f>
        <x:v>325</x:v>
      </x:c>
      <x:c r="O108" s="20" t="n">
        <x:f>N108-M108</x:f>
        <x:v>165</x:v>
      </x:c>
    </x:row>
    <x:row r="109" ht="22" customHeight="1">
      <x:c r="A109" s="11" t="n">
        <x:v>105</x:v>
      </x:c>
      <x:c r="B109" s="11" t="n">
        <x:v>52</x:v>
      </x:c>
      <x:c r="C109" s="18" t="n">
        <x:v>46008</x:v>
      </x:c>
      <x:c r="D109" s="11" t="str">
        <x:v>2025-12</x:v>
      </x:c>
      <x:c r="E109" s="11" t="str">
        <x:v>West</x:v>
      </x:c>
      <x:c r="F109" s="11" t="str">
        <x:v>Technology</x:v>
      </x:c>
      <x:c r="G109" s="11" t="str">
        <x:v>Monitor</x:v>
      </x:c>
      <x:c r="H109" s="11" t="n">
        <x:v>4</x:v>
      </x:c>
      <x:c r="I109" s="19" t="n">
        <x:v>0.05</x:v>
      </x:c>
      <x:c r="J109" s="11" t="n">
        <x:v>0</x:v>
      </x:c>
      <x:c r="K109" s="20" t="n">
        <x:v>960</x:v>
      </x:c>
      <x:c r="L109" s="20" t="n">
        <x:v>48</x:v>
      </x:c>
      <x:c r="M109" s="20" t="n">
        <x:v>640</x:v>
      </x:c>
      <x:c r="N109" s="20" t="n">
        <x:f>IF(J109=1,0,K109-L109)</x:f>
        <x:v>912</x:v>
      </x:c>
      <x:c r="O109" s="20" t="n">
        <x:f>N109-M109</x:f>
        <x:v>272</x:v>
      </x:c>
    </x:row>
    <x:row r="110" ht="22" customHeight="1">
      <x:c r="A110" s="11" t="n">
        <x:v>106</x:v>
      </x:c>
      <x:c r="B110" s="11" t="n">
        <x:v>52</x:v>
      </x:c>
      <x:c r="C110" s="18" t="n">
        <x:v>46008</x:v>
      </x:c>
      <x:c r="D110" s="11" t="str">
        <x:v>2025-12</x:v>
      </x:c>
      <x:c r="E110" s="11" t="str">
        <x:v>West</x:v>
      </x:c>
      <x:c r="F110" s="11" t="str">
        <x:v>Furniture</x:v>
      </x:c>
      <x:c r="G110" s="11" t="str">
        <x:v>Desk</x:v>
      </x:c>
      <x:c r="H110" s="11" t="n">
        <x:v>2</x:v>
      </x:c>
      <x:c r="I110" s="19" t="n">
        <x:v>0.15</x:v>
      </x:c>
      <x:c r="J110" s="11" t="n">
        <x:v>0</x:v>
      </x:c>
      <x:c r="K110" s="20" t="n">
        <x:v>560</x:v>
      </x:c>
      <x:c r="L110" s="20" t="n">
        <x:v>84</x:v>
      </x:c>
      <x:c r="M110" s="20" t="n">
        <x:v>380</x:v>
      </x:c>
      <x:c r="N110" s="20" t="n">
        <x:f>IF(J110=1,0,K110-L110)</x:f>
        <x:v>476</x:v>
      </x:c>
      <x:c r="O110" s="20" t="n">
        <x:f>N110-M110</x:f>
        <x:v>96</x:v>
      </x:c>
    </x:row>
    <x:row r="111" ht="22" customHeight="1">
      <x:c r="A111" s="11" t="n">
        <x:v>107</x:v>
      </x:c>
      <x:c r="B111" s="11" t="n">
        <x:v>53</x:v>
      </x:c>
      <x:c r="C111" s="18" t="n">
        <x:v>45486</x:v>
      </x:c>
      <x:c r="D111" s="11" t="str">
        <x:v>2024-07</x:v>
      </x:c>
      <x:c r="E111" s="11" t="str">
        <x:v>South</x:v>
      </x:c>
      <x:c r="F111" s="11" t="str">
        <x:v>Office Supplies</x:v>
      </x:c>
      <x:c r="G111" s="11" t="str">
        <x:v>Storage box</x:v>
      </x:c>
      <x:c r="H111" s="11" t="n">
        <x:v>1</x:v>
      </x:c>
      <x:c r="I111" s="19" t="n">
        <x:v>0.05</x:v>
      </x:c>
      <x:c r="J111" s="11" t="n">
        <x:v>0</x:v>
      </x:c>
      <x:c r="K111" s="20" t="n">
        <x:v>26</x:v>
      </x:c>
      <x:c r="L111" s="20" t="n">
        <x:v>1.3</x:v>
      </x:c>
      <x:c r="M111" s="20" t="n">
        <x:v>12</x:v>
      </x:c>
      <x:c r="N111" s="20" t="n">
        <x:f>IF(J111=1,0,K111-L111)</x:f>
        <x:v>24.7</x:v>
      </x:c>
      <x:c r="O111" s="20" t="n">
        <x:f>N111-M111</x:f>
        <x:v>12.7</x:v>
      </x:c>
    </x:row>
    <x:row r="112" ht="22" customHeight="1">
      <x:c r="A112" s="11" t="n">
        <x:v>108</x:v>
      </x:c>
      <x:c r="B112" s="11" t="n">
        <x:v>53</x:v>
      </x:c>
      <x:c r="C112" s="18" t="n">
        <x:v>45486</x:v>
      </x:c>
      <x:c r="D112" s="11" t="str">
        <x:v>2024-07</x:v>
      </x:c>
      <x:c r="E112" s="11" t="str">
        <x:v>South</x:v>
      </x:c>
      <x:c r="F112" s="11" t="str">
        <x:v>Furniture</x:v>
      </x:c>
      <x:c r="G112" s="11" t="str">
        <x:v>Chair</x:v>
      </x:c>
      <x:c r="H112" s="11" t="n">
        <x:v>1</x:v>
      </x:c>
      <x:c r="I112" s="19" t="n">
        <x:v>0.15</x:v>
      </x:c>
      <x:c r="J112" s="11" t="n">
        <x:v>0</x:v>
      </x:c>
      <x:c r="K112" s="20" t="n">
        <x:v>170</x:v>
      </x:c>
      <x:c r="L112" s="20" t="n">
        <x:v>25.5</x:v>
      </x:c>
      <x:c r="M112" s="20" t="n">
        <x:v>110</x:v>
      </x:c>
      <x:c r="N112" s="20" t="n">
        <x:f>IF(J112=1,0,K112-L112)</x:f>
        <x:v>144.5</x:v>
      </x:c>
      <x:c r="O112" s="20" t="n">
        <x:f>N112-M112</x:f>
        <x:v>34.5</x:v>
      </x:c>
    </x:row>
    <x:row r="113" ht="22" customHeight="1">
      <x:c r="A113" s="11" t="n">
        <x:v>109</x:v>
      </x:c>
      <x:c r="B113" s="11" t="n">
        <x:v>53</x:v>
      </x:c>
      <x:c r="C113" s="18" t="n">
        <x:v>45486</x:v>
      </x:c>
      <x:c r="D113" s="11" t="str">
        <x:v>2024-07</x:v>
      </x:c>
      <x:c r="E113" s="11" t="str">
        <x:v>South</x:v>
      </x:c>
      <x:c r="F113" s="11" t="str">
        <x:v>Furniture</x:v>
      </x:c>
      <x:c r="G113" s="11" t="str">
        <x:v>Desk</x:v>
      </x:c>
      <x:c r="H113" s="11" t="n">
        <x:v>1</x:v>
      </x:c>
      <x:c r="I113" s="19" t="n">
        <x:v>0.1</x:v>
      </x:c>
      <x:c r="J113" s="11" t="n">
        <x:v>0</x:v>
      </x:c>
      <x:c r="K113" s="20" t="n">
        <x:v>280</x:v>
      </x:c>
      <x:c r="L113" s="20" t="n">
        <x:v>28</x:v>
      </x:c>
      <x:c r="M113" s="20" t="n">
        <x:v>190</x:v>
      </x:c>
      <x:c r="N113" s="20" t="n">
        <x:f>IF(J113=1,0,K113-L113)</x:f>
        <x:v>252</x:v>
      </x:c>
      <x:c r="O113" s="20" t="n">
        <x:f>N113-M113</x:f>
        <x:v>62</x:v>
      </x:c>
    </x:row>
    <x:row r="114" ht="22" customHeight="1">
      <x:c r="A114" s="11" t="n">
        <x:v>110</x:v>
      </x:c>
      <x:c r="B114" s="11" t="n">
        <x:v>54</x:v>
      </x:c>
      <x:c r="C114" s="18" t="n">
        <x:v>45717</x:v>
      </x:c>
      <x:c r="D114" s="11" t="str">
        <x:v>2025-03</x:v>
      </x:c>
      <x:c r="E114" s="11" t="str">
        <x:v>Central</x:v>
      </x:c>
      <x:c r="F114" s="11" t="str">
        <x:v>Office Supplies</x:v>
      </x:c>
      <x:c r="G114" s="11" t="str">
        <x:v>Notebook pack</x:v>
      </x:c>
      <x:c r="H114" s="11" t="n">
        <x:v>3</x:v>
      </x:c>
      <x:c r="I114" s="19" t="n">
        <x:v>0.15</x:v>
      </x:c>
      <x:c r="J114" s="11" t="n">
        <x:v>0</x:v>
      </x:c>
      <x:c r="K114" s="20" t="n">
        <x:v>54</x:v>
      </x:c>
      <x:c r="L114" s="20" t="n">
        <x:v>8.1</x:v>
      </x:c>
      <x:c r="M114" s="20" t="n">
        <x:v>21</x:v>
      </x:c>
      <x:c r="N114" s="20" t="n">
        <x:f>IF(J114=1,0,K114-L114)</x:f>
        <x:v>45.9</x:v>
      </x:c>
      <x:c r="O114" s="20" t="n">
        <x:f>N114-M114</x:f>
        <x:v>24.9</x:v>
      </x:c>
    </x:row>
    <x:row r="115" ht="22" customHeight="1">
      <x:c r="A115" s="11" t="n">
        <x:v>111</x:v>
      </x:c>
      <x:c r="B115" s="11" t="n">
        <x:v>55</x:v>
      </x:c>
      <x:c r="C115" s="18" t="n">
        <x:v>45571</x:v>
      </x:c>
      <x:c r="D115" s="11" t="str">
        <x:v>2024-10</x:v>
      </x:c>
      <x:c r="E115" s="11" t="str">
        <x:v>West</x:v>
      </x:c>
      <x:c r="F115" s="11" t="str">
        <x:v>Technology</x:v>
      </x:c>
      <x:c r="G115" s="11" t="str">
        <x:v>Monitor</x:v>
      </x:c>
      <x:c r="H115" s="11" t="n">
        <x:v>1</x:v>
      </x:c>
      <x:c r="I115" s="19" t="n">
        <x:v>0.1</x:v>
      </x:c>
      <x:c r="J115" s="11" t="n">
        <x:v>0</x:v>
      </x:c>
      <x:c r="K115" s="20" t="n">
        <x:v>240</x:v>
      </x:c>
      <x:c r="L115" s="20" t="n">
        <x:v>24</x:v>
      </x:c>
      <x:c r="M115" s="20" t="n">
        <x:v>160</x:v>
      </x:c>
      <x:c r="N115" s="20" t="n">
        <x:f>IF(J115=1,0,K115-L115)</x:f>
        <x:v>216</x:v>
      </x:c>
      <x:c r="O115" s="20" t="n">
        <x:f>N115-M115</x:f>
        <x:v>56</x:v>
      </x:c>
    </x:row>
    <x:row r="116" ht="22" customHeight="1">
      <x:c r="A116" s="11" t="n">
        <x:v>112</x:v>
      </x:c>
      <x:c r="B116" s="11" t="n">
        <x:v>55</x:v>
      </x:c>
      <x:c r="C116" s="18" t="n">
        <x:v>45571</x:v>
      </x:c>
      <x:c r="D116" s="11" t="str">
        <x:v>2024-10</x:v>
      </x:c>
      <x:c r="E116" s="11" t="str">
        <x:v>West</x:v>
      </x:c>
      <x:c r="F116" s="11" t="str">
        <x:v>Office Supplies</x:v>
      </x:c>
      <x:c r="G116" s="11" t="str">
        <x:v>Storage box</x:v>
      </x:c>
      <x:c r="H116" s="11" t="n">
        <x:v>2</x:v>
      </x:c>
      <x:c r="I116" s="19" t="n">
        <x:v>0</x:v>
      </x:c>
      <x:c r="J116" s="11" t="n">
        <x:v>0</x:v>
      </x:c>
      <x:c r="K116" s="20" t="n">
        <x:v>52</x:v>
      </x:c>
      <x:c r="L116" s="20" t="n">
        <x:v>0</x:v>
      </x:c>
      <x:c r="M116" s="20" t="n">
        <x:v>24</x:v>
      </x:c>
      <x:c r="N116" s="20" t="n">
        <x:f>IF(J116=1,0,K116-L116)</x:f>
        <x:v>52</x:v>
      </x:c>
      <x:c r="O116" s="20" t="n">
        <x:f>N116-M116</x:f>
        <x:v>28</x:v>
      </x:c>
    </x:row>
    <x:row r="117" ht="22" customHeight="1">
      <x:c r="A117" s="11" t="n">
        <x:v>113</x:v>
      </x:c>
      <x:c r="B117" s="11" t="n">
        <x:v>56</x:v>
      </x:c>
      <x:c r="C117" s="18" t="n">
        <x:v>45982</x:v>
      </x:c>
      <x:c r="D117" s="11" t="str">
        <x:v>2025-11</x:v>
      </x:c>
      <x:c r="E117" s="11" t="str">
        <x:v>East</x:v>
      </x:c>
      <x:c r="F117" s="11" t="str">
        <x:v>Technology</x:v>
      </x:c>
      <x:c r="G117" s="11" t="str">
        <x:v>Keyboard</x:v>
      </x:c>
      <x:c r="H117" s="11" t="n">
        <x:v>1</x:v>
      </x:c>
      <x:c r="I117" s="19" t="n">
        <x:v>0.05</x:v>
      </x:c>
      <x:c r="J117" s="11" t="n">
        <x:v>0</x:v>
      </x:c>
      <x:c r="K117" s="20" t="n">
        <x:v>65</x:v>
      </x:c>
      <x:c r="L117" s="20" t="n">
        <x:v>3.25</x:v>
      </x:c>
      <x:c r="M117" s="20" t="n">
        <x:v>32</x:v>
      </x:c>
      <x:c r="N117" s="20" t="n">
        <x:f>IF(J117=1,0,K117-L117)</x:f>
        <x:v>61.75</x:v>
      </x:c>
      <x:c r="O117" s="20" t="n">
        <x:f>N117-M117</x:f>
        <x:v>29.75</x:v>
      </x:c>
    </x:row>
    <x:row r="118" ht="22" customHeight="1">
      <x:c r="A118" s="11" t="n">
        <x:v>114</x:v>
      </x:c>
      <x:c r="B118" s="11" t="n">
        <x:v>57</x:v>
      </x:c>
      <x:c r="C118" s="18" t="n">
        <x:v>45757</x:v>
      </x:c>
      <x:c r="D118" s="11" t="str">
        <x:v>2025-04</x:v>
      </x:c>
      <x:c r="E118" s="11" t="str">
        <x:v>West</x:v>
      </x:c>
      <x:c r="F118" s="11" t="str">
        <x:v>Technology</x:v>
      </x:c>
      <x:c r="G118" s="11" t="str">
        <x:v>Keyboard</x:v>
      </x:c>
      <x:c r="H118" s="11" t="n">
        <x:v>2</x:v>
      </x:c>
      <x:c r="I118" s="19" t="n">
        <x:v>0.1</x:v>
      </x:c>
      <x:c r="J118" s="11" t="n">
        <x:v>1</x:v>
      </x:c>
      <x:c r="K118" s="20" t="n">
        <x:v>130</x:v>
      </x:c>
      <x:c r="L118" s="20" t="n">
        <x:v>13</x:v>
      </x:c>
      <x:c r="M118" s="20" t="n">
        <x:v>0</x:v>
      </x:c>
      <x:c r="N118" s="20" t="n">
        <x:f>IF(J118=1,0,K118-L118)</x:f>
        <x:v>0</x:v>
      </x:c>
      <x:c r="O118" s="20" t="n">
        <x:f>N118-M118</x:f>
        <x:v>0</x:v>
      </x:c>
    </x:row>
    <x:row r="119" ht="22" customHeight="1">
      <x:c r="A119" s="11" t="n">
        <x:v>115</x:v>
      </x:c>
      <x:c r="B119" s="11" t="n">
        <x:v>57</x:v>
      </x:c>
      <x:c r="C119" s="18" t="n">
        <x:v>45757</x:v>
      </x:c>
      <x:c r="D119" s="11" t="str">
        <x:v>2025-04</x:v>
      </x:c>
      <x:c r="E119" s="11" t="str">
        <x:v>West</x:v>
      </x:c>
      <x:c r="F119" s="11" t="str">
        <x:v>Technology</x:v>
      </x:c>
      <x:c r="G119" s="11" t="str">
        <x:v>Monitor</x:v>
      </x:c>
      <x:c r="H119" s="11" t="n">
        <x:v>5</x:v>
      </x:c>
      <x:c r="I119" s="19" t="n">
        <x:v>0.05</x:v>
      </x:c>
      <x:c r="J119" s="11" t="n">
        <x:v>0</x:v>
      </x:c>
      <x:c r="K119" s="20" t="n">
        <x:v>1200</x:v>
      </x:c>
      <x:c r="L119" s="20" t="n">
        <x:v>60</x:v>
      </x:c>
      <x:c r="M119" s="20" t="n">
        <x:v>800</x:v>
      </x:c>
      <x:c r="N119" s="20" t="n">
        <x:f>IF(J119=1,0,K119-L119)</x:f>
        <x:v>1140</x:v>
      </x:c>
      <x:c r="O119" s="20" t="n">
        <x:f>N119-M119</x:f>
        <x:v>340</x:v>
      </x:c>
    </x:row>
    <x:row r="120" ht="22" customHeight="1">
      <x:c r="A120" s="11" t="n">
        <x:v>116</x:v>
      </x:c>
      <x:c r="B120" s="11" t="n">
        <x:v>57</x:v>
      </x:c>
      <x:c r="C120" s="18" t="n">
        <x:v>45757</x:v>
      </x:c>
      <x:c r="D120" s="11" t="str">
        <x:v>2025-04</x:v>
      </x:c>
      <x:c r="E120" s="11" t="str">
        <x:v>West</x:v>
      </x:c>
      <x:c r="F120" s="11" t="str">
        <x:v>Furniture</x:v>
      </x:c>
      <x:c r="G120" s="11" t="str">
        <x:v>Desk</x:v>
      </x:c>
      <x:c r="H120" s="11" t="n">
        <x:v>2</x:v>
      </x:c>
      <x:c r="I120" s="19" t="n">
        <x:v>0</x:v>
      </x:c>
      <x:c r="J120" s="11" t="n">
        <x:v>0</x:v>
      </x:c>
      <x:c r="K120" s="20" t="n">
        <x:v>560</x:v>
      </x:c>
      <x:c r="L120" s="20" t="n">
        <x:v>0</x:v>
      </x:c>
      <x:c r="M120" s="20" t="n">
        <x:v>380</x:v>
      </x:c>
      <x:c r="N120" s="20" t="n">
        <x:f>IF(J120=1,0,K120-L120)</x:f>
        <x:v>560</x:v>
      </x:c>
      <x:c r="O120" s="20" t="n">
        <x:f>N120-M120</x:f>
        <x:v>180</x:v>
      </x:c>
    </x:row>
    <x:row r="121" ht="22" customHeight="1">
      <x:c r="A121" s="11" t="n">
        <x:v>117</x:v>
      </x:c>
      <x:c r="B121" s="11" t="n">
        <x:v>58</x:v>
      </x:c>
      <x:c r="C121" s="18" t="n">
        <x:v>45767</x:v>
      </x:c>
      <x:c r="D121" s="11" t="str">
        <x:v>2025-04</x:v>
      </x:c>
      <x:c r="E121" s="11" t="str">
        <x:v>Central</x:v>
      </x:c>
      <x:c r="F121" s="11" t="str">
        <x:v>Technology</x:v>
      </x:c>
      <x:c r="G121" s="11" t="str">
        <x:v>Keyboard</x:v>
      </x:c>
      <x:c r="H121" s="11" t="n">
        <x:v>1</x:v>
      </x:c>
      <x:c r="I121" s="19" t="n">
        <x:v>0</x:v>
      </x:c>
      <x:c r="J121" s="11" t="n">
        <x:v>0</x:v>
      </x:c>
      <x:c r="K121" s="20" t="n">
        <x:v>65</x:v>
      </x:c>
      <x:c r="L121" s="20" t="n">
        <x:v>0</x:v>
      </x:c>
      <x:c r="M121" s="20" t="n">
        <x:v>32</x:v>
      </x:c>
      <x:c r="N121" s="20" t="n">
        <x:f>IF(J121=1,0,K121-L121)</x:f>
        <x:v>65</x:v>
      </x:c>
      <x:c r="O121" s="20" t="n">
        <x:f>N121-M121</x:f>
        <x:v>33</x:v>
      </x:c>
    </x:row>
    <x:row r="122" ht="22" customHeight="1">
      <x:c r="A122" s="11" t="n">
        <x:v>118</x:v>
      </x:c>
      <x:c r="B122" s="11" t="n">
        <x:v>58</x:v>
      </x:c>
      <x:c r="C122" s="18" t="n">
        <x:v>45767</x:v>
      </x:c>
      <x:c r="D122" s="11" t="str">
        <x:v>2025-04</x:v>
      </x:c>
      <x:c r="E122" s="11" t="str">
        <x:v>Central</x:v>
      </x:c>
      <x:c r="F122" s="11" t="str">
        <x:v>Furniture</x:v>
      </x:c>
      <x:c r="G122" s="11" t="str">
        <x:v>Desk</x:v>
      </x:c>
      <x:c r="H122" s="11" t="n">
        <x:v>4</x:v>
      </x:c>
      <x:c r="I122" s="19" t="n">
        <x:v>0</x:v>
      </x:c>
      <x:c r="J122" s="11" t="n">
        <x:v>0</x:v>
      </x:c>
      <x:c r="K122" s="20" t="n">
        <x:v>1120</x:v>
      </x:c>
      <x:c r="L122" s="20" t="n">
        <x:v>0</x:v>
      </x:c>
      <x:c r="M122" s="20" t="n">
        <x:v>760</x:v>
      </x:c>
      <x:c r="N122" s="20" t="n">
        <x:f>IF(J122=1,0,K122-L122)</x:f>
        <x:v>1120</x:v>
      </x:c>
      <x:c r="O122" s="20" t="n">
        <x:f>N122-M122</x:f>
        <x:v>360</x:v>
      </x:c>
    </x:row>
    <x:row r="123" ht="22" customHeight="1">
      <x:c r="A123" s="11" t="n">
        <x:v>119</x:v>
      </x:c>
      <x:c r="B123" s="11" t="n">
        <x:v>58</x:v>
      </x:c>
      <x:c r="C123" s="18" t="n">
        <x:v>45767</x:v>
      </x:c>
      <x:c r="D123" s="11" t="str">
        <x:v>2025-04</x:v>
      </x:c>
      <x:c r="E123" s="11" t="str">
        <x:v>Central</x:v>
      </x:c>
      <x:c r="F123" s="11" t="str">
        <x:v>Furniture</x:v>
      </x:c>
      <x:c r="G123" s="11" t="str">
        <x:v>Chair</x:v>
      </x:c>
      <x:c r="H123" s="11" t="n">
        <x:v>5</x:v>
      </x:c>
      <x:c r="I123" s="19" t="n">
        <x:v>0</x:v>
      </x:c>
      <x:c r="J123" s="11" t="n">
        <x:v>0</x:v>
      </x:c>
      <x:c r="K123" s="20" t="n">
        <x:v>850</x:v>
      </x:c>
      <x:c r="L123" s="20" t="n">
        <x:v>0</x:v>
      </x:c>
      <x:c r="M123" s="20" t="n">
        <x:v>550</x:v>
      </x:c>
      <x:c r="N123" s="20" t="n">
        <x:f>IF(J123=1,0,K123-L123)</x:f>
        <x:v>850</x:v>
      </x:c>
      <x:c r="O123" s="20" t="n">
        <x:f>N123-M123</x:f>
        <x:v>300</x:v>
      </x:c>
    </x:row>
    <x:row r="124" ht="22" customHeight="1">
      <x:c r="A124" s="11" t="n">
        <x:v>120</x:v>
      </x:c>
      <x:c r="B124" s="11" t="n">
        <x:v>59</x:v>
      </x:c>
      <x:c r="C124" s="18" t="n">
        <x:v>45671</x:v>
      </x:c>
      <x:c r="D124" s="11" t="str">
        <x:v>2025-01</x:v>
      </x:c>
      <x:c r="E124" s="11" t="str">
        <x:v>South</x:v>
      </x:c>
      <x:c r="F124" s="11" t="str">
        <x:v>Office Supplies</x:v>
      </x:c>
      <x:c r="G124" s="11" t="str">
        <x:v>Storage box</x:v>
      </x:c>
      <x:c r="H124" s="11" t="n">
        <x:v>1</x:v>
      </x:c>
      <x:c r="I124" s="19" t="n">
        <x:v>0.1</x:v>
      </x:c>
      <x:c r="J124" s="11" t="n">
        <x:v>0</x:v>
      </x:c>
      <x:c r="K124" s="20" t="n">
        <x:v>26</x:v>
      </x:c>
      <x:c r="L124" s="20" t="n">
        <x:v>2.6</x:v>
      </x:c>
      <x:c r="M124" s="20" t="n">
        <x:v>12</x:v>
      </x:c>
      <x:c r="N124" s="20" t="n">
        <x:f>IF(J124=1,0,K124-L124)</x:f>
        <x:v>23.4</x:v>
      </x:c>
      <x:c r="O124" s="20" t="n">
        <x:f>N124-M124</x:f>
        <x:v>11.399999999999999</x:v>
      </x:c>
    </x:row>
    <x:row r="125" ht="22" customHeight="1">
      <x:c r="A125" s="11" t="n">
        <x:v>121</x:v>
      </x:c>
      <x:c r="B125" s="11" t="n">
        <x:v>59</x:v>
      </x:c>
      <x:c r="C125" s="18" t="n">
        <x:v>45671</x:v>
      </x:c>
      <x:c r="D125" s="11" t="str">
        <x:v>2025-01</x:v>
      </x:c>
      <x:c r="E125" s="11" t="str">
        <x:v>South</x:v>
      </x:c>
      <x:c r="F125" s="11" t="str">
        <x:v>Furniture</x:v>
      </x:c>
      <x:c r="G125" s="11" t="str">
        <x:v>Chair</x:v>
      </x:c>
      <x:c r="H125" s="11" t="n">
        <x:v>3</x:v>
      </x:c>
      <x:c r="I125" s="19" t="n">
        <x:v>0</x:v>
      </x:c>
      <x:c r="J125" s="11" t="n">
        <x:v>0</x:v>
      </x:c>
      <x:c r="K125" s="20" t="n">
        <x:v>510</x:v>
      </x:c>
      <x:c r="L125" s="20" t="n">
        <x:v>0</x:v>
      </x:c>
      <x:c r="M125" s="20" t="n">
        <x:v>330</x:v>
      </x:c>
      <x:c r="N125" s="20" t="n">
        <x:f>IF(J125=1,0,K125-L125)</x:f>
        <x:v>510</x:v>
      </x:c>
      <x:c r="O125" s="20" t="n">
        <x:f>N125-M125</x:f>
        <x:v>180</x:v>
      </x:c>
    </x:row>
    <x:row r="126" ht="22" customHeight="1">
      <x:c r="A126" s="11" t="n">
        <x:v>122</x:v>
      </x:c>
      <x:c r="B126" s="11" t="n">
        <x:v>59</x:v>
      </x:c>
      <x:c r="C126" s="18" t="n">
        <x:v>45671</x:v>
      </x:c>
      <x:c r="D126" s="11" t="str">
        <x:v>2025-01</x:v>
      </x:c>
      <x:c r="E126" s="11" t="str">
        <x:v>South</x:v>
      </x:c>
      <x:c r="F126" s="11" t="str">
        <x:v>Technology</x:v>
      </x:c>
      <x:c r="G126" s="11" t="str">
        <x:v>Keyboard</x:v>
      </x:c>
      <x:c r="H126" s="11" t="n">
        <x:v>2</x:v>
      </x:c>
      <x:c r="I126" s="19" t="n">
        <x:v>0.1</x:v>
      </x:c>
      <x:c r="J126" s="11" t="n">
        <x:v>0</x:v>
      </x:c>
      <x:c r="K126" s="20" t="n">
        <x:v>130</x:v>
      </x:c>
      <x:c r="L126" s="20" t="n">
        <x:v>13</x:v>
      </x:c>
      <x:c r="M126" s="20" t="n">
        <x:v>64</x:v>
      </x:c>
      <x:c r="N126" s="20" t="n">
        <x:f>IF(J126=1,0,K126-L126)</x:f>
        <x:v>117</x:v>
      </x:c>
      <x:c r="O126" s="20" t="n">
        <x:f>N126-M126</x:f>
        <x:v>53</x:v>
      </x:c>
    </x:row>
    <x:row r="127" ht="22" customHeight="1">
      <x:c r="A127" s="11" t="n">
        <x:v>123</x:v>
      </x:c>
      <x:c r="B127" s="11" t="n">
        <x:v>60</x:v>
      </x:c>
      <x:c r="C127" s="18" t="n">
        <x:v>45533</x:v>
      </x:c>
      <x:c r="D127" s="11" t="str">
        <x:v>2024-08</x:v>
      </x:c>
      <x:c r="E127" s="11" t="str">
        <x:v>South</x:v>
      </x:c>
      <x:c r="F127" s="11" t="str">
        <x:v>Technology</x:v>
      </x:c>
      <x:c r="G127" s="11" t="str">
        <x:v>Monitor</x:v>
      </x:c>
      <x:c r="H127" s="11" t="n">
        <x:v>1</x:v>
      </x:c>
      <x:c r="I127" s="19" t="n">
        <x:v>0.1</x:v>
      </x:c>
      <x:c r="J127" s="11" t="n">
        <x:v>0</x:v>
      </x:c>
      <x:c r="K127" s="20" t="n">
        <x:v>240</x:v>
      </x:c>
      <x:c r="L127" s="20" t="n">
        <x:v>24</x:v>
      </x:c>
      <x:c r="M127" s="20" t="n">
        <x:v>160</x:v>
      </x:c>
      <x:c r="N127" s="20" t="n">
        <x:f>IF(J127=1,0,K127-L127)</x:f>
        <x:v>216</x:v>
      </x:c>
      <x:c r="O127" s="20" t="n">
        <x:f>N127-M127</x:f>
        <x:v>56</x:v>
      </x:c>
    </x:row>
    <x:row r="128" ht="22" customHeight="1">
      <x:c r="A128" s="11" t="n">
        <x:v>124</x:v>
      </x:c>
      <x:c r="B128" s="11" t="n">
        <x:v>60</x:v>
      </x:c>
      <x:c r="C128" s="18" t="n">
        <x:v>45533</x:v>
      </x:c>
      <x:c r="D128" s="11" t="str">
        <x:v>2024-08</x:v>
      </x:c>
      <x:c r="E128" s="11" t="str">
        <x:v>South</x:v>
      </x:c>
      <x:c r="F128" s="11" t="str">
        <x:v>Office Supplies</x:v>
      </x:c>
      <x:c r="G128" s="11" t="str">
        <x:v>Notebook pack</x:v>
      </x:c>
      <x:c r="H128" s="11" t="n">
        <x:v>1</x:v>
      </x:c>
      <x:c r="I128" s="19" t="n">
        <x:v>0.1</x:v>
      </x:c>
      <x:c r="J128" s="11" t="n">
        <x:v>0</x:v>
      </x:c>
      <x:c r="K128" s="20" t="n">
        <x:v>18</x:v>
      </x:c>
      <x:c r="L128" s="20" t="n">
        <x:v>1.8</x:v>
      </x:c>
      <x:c r="M128" s="20" t="n">
        <x:v>7</x:v>
      </x:c>
      <x:c r="N128" s="20" t="n">
        <x:f>IF(J128=1,0,K128-L128)</x:f>
        <x:v>16.2</x:v>
      </x:c>
      <x:c r="O128" s="20" t="n">
        <x:f>N128-M128</x:f>
        <x:v>9.2</x:v>
      </x:c>
    </x:row>
    <x:row r="129" ht="22" customHeight="1">
      <x:c r="A129" s="11" t="n">
        <x:v>125</x:v>
      </x:c>
      <x:c r="B129" s="11" t="n">
        <x:v>60</x:v>
      </x:c>
      <x:c r="C129" s="18" t="n">
        <x:v>45533</x:v>
      </x:c>
      <x:c r="D129" s="11" t="str">
        <x:v>2024-08</x:v>
      </x:c>
      <x:c r="E129" s="11" t="str">
        <x:v>South</x:v>
      </x:c>
      <x:c r="F129" s="11" t="str">
        <x:v>Office Supplies</x:v>
      </x:c>
      <x:c r="G129" s="11" t="str">
        <x:v>Storage box</x:v>
      </x:c>
      <x:c r="H129" s="11" t="n">
        <x:v>2</x:v>
      </x:c>
      <x:c r="I129" s="19" t="n">
        <x:v>0.15</x:v>
      </x:c>
      <x:c r="J129" s="11" t="n">
        <x:v>0</x:v>
      </x:c>
      <x:c r="K129" s="20" t="n">
        <x:v>52</x:v>
      </x:c>
      <x:c r="L129" s="20" t="n">
        <x:v>7.8</x:v>
      </x:c>
      <x:c r="M129" s="20" t="n">
        <x:v>24</x:v>
      </x:c>
      <x:c r="N129" s="20" t="n">
        <x:f>IF(J129=1,0,K129-L129)</x:f>
        <x:v>44.2</x:v>
      </x:c>
      <x:c r="O129" s="20" t="n">
        <x:f>N129-M129</x:f>
        <x:v>20.200000000000003</x:v>
      </x:c>
    </x:row>
    <x:row r="130" ht="22" customHeight="1">
      <x:c r="A130" s="11" t="n">
        <x:v>126</x:v>
      </x:c>
      <x:c r="B130" s="11" t="n">
        <x:v>61</x:v>
      </x:c>
      <x:c r="C130" s="18" t="n">
        <x:v>45343</x:v>
      </x:c>
      <x:c r="D130" s="11" t="str">
        <x:v>2024-02</x:v>
      </x:c>
      <x:c r="E130" s="11" t="str">
        <x:v>West</x:v>
      </x:c>
      <x:c r="F130" s="11" t="str">
        <x:v>Office Supplies</x:v>
      </x:c>
      <x:c r="G130" s="11" t="str">
        <x:v>Notebook pack</x:v>
      </x:c>
      <x:c r="H130" s="11" t="n">
        <x:v>2</x:v>
      </x:c>
      <x:c r="I130" s="19" t="n">
        <x:v>0</x:v>
      </x:c>
      <x:c r="J130" s="11" t="n">
        <x:v>0</x:v>
      </x:c>
      <x:c r="K130" s="20" t="n">
        <x:v>36</x:v>
      </x:c>
      <x:c r="L130" s="20" t="n">
        <x:v>0</x:v>
      </x:c>
      <x:c r="M130" s="20" t="n">
        <x:v>14</x:v>
      </x:c>
      <x:c r="N130" s="20" t="n">
        <x:f>IF(J130=1,0,K130-L130)</x:f>
        <x:v>36</x:v>
      </x:c>
      <x:c r="O130" s="20" t="n">
        <x:f>N130-M130</x:f>
        <x:v>22</x:v>
      </x:c>
    </x:row>
    <x:row r="131" ht="22" customHeight="1">
      <x:c r="A131" s="11" t="n">
        <x:v>127</x:v>
      </x:c>
      <x:c r="B131" s="11" t="n">
        <x:v>62</x:v>
      </x:c>
      <x:c r="C131" s="18" t="n">
        <x:v>45859</x:v>
      </x:c>
      <x:c r="D131" s="11" t="str">
        <x:v>2025-07</x:v>
      </x:c>
      <x:c r="E131" s="11" t="str">
        <x:v>Central</x:v>
      </x:c>
      <x:c r="F131" s="11" t="str">
        <x:v>Technology</x:v>
      </x:c>
      <x:c r="G131" s="11" t="str">
        <x:v>Monitor</x:v>
      </x:c>
      <x:c r="H131" s="11" t="n">
        <x:v>2</x:v>
      </x:c>
      <x:c r="I131" s="19" t="n">
        <x:v>0.15</x:v>
      </x:c>
      <x:c r="J131" s="11" t="n">
        <x:v>1</x:v>
      </x:c>
      <x:c r="K131" s="20" t="n">
        <x:v>480</x:v>
      </x:c>
      <x:c r="L131" s="20" t="n">
        <x:v>72</x:v>
      </x:c>
      <x:c r="M131" s="20" t="n">
        <x:v>0</x:v>
      </x:c>
      <x:c r="N131" s="20" t="n">
        <x:f>IF(J131=1,0,K131-L131)</x:f>
        <x:v>0</x:v>
      </x:c>
      <x:c r="O131" s="20" t="n">
        <x:f>N131-M131</x:f>
        <x:v>0</x:v>
      </x:c>
    </x:row>
    <x:row r="132" ht="22" customHeight="1">
      <x:c r="A132" s="11" t="n">
        <x:v>128</x:v>
      </x:c>
      <x:c r="B132" s="11" t="n">
        <x:v>63</x:v>
      </x:c>
      <x:c r="C132" s="18" t="n">
        <x:v>45440</x:v>
      </x:c>
      <x:c r="D132" s="11" t="str">
        <x:v>2024-05</x:v>
      </x:c>
      <x:c r="E132" s="11" t="str">
        <x:v>West</x:v>
      </x:c>
      <x:c r="F132" s="11" t="str">
        <x:v>Furniture</x:v>
      </x:c>
      <x:c r="G132" s="11" t="str">
        <x:v>Desk</x:v>
      </x:c>
      <x:c r="H132" s="11" t="n">
        <x:v>1</x:v>
      </x:c>
      <x:c r="I132" s="19" t="n">
        <x:v>0</x:v>
      </x:c>
      <x:c r="J132" s="11" t="n">
        <x:v>1</x:v>
      </x:c>
      <x:c r="K132" s="20" t="n">
        <x:v>280</x:v>
      </x:c>
      <x:c r="L132" s="20" t="n">
        <x:v>0</x:v>
      </x:c>
      <x:c r="M132" s="20" t="n">
        <x:v>0</x:v>
      </x:c>
      <x:c r="N132" s="20" t="n">
        <x:f>IF(J132=1,0,K132-L132)</x:f>
        <x:v>0</x:v>
      </x:c>
      <x:c r="O132" s="20" t="n">
        <x:f>N132-M132</x:f>
        <x:v>0</x:v>
      </x:c>
    </x:row>
    <x:row r="133" ht="22" customHeight="1">
      <x:c r="A133" s="11" t="n">
        <x:v>129</x:v>
      </x:c>
      <x:c r="B133" s="11" t="n">
        <x:v>64</x:v>
      </x:c>
      <x:c r="C133" s="18" t="n">
        <x:v>45535</x:v>
      </x:c>
      <x:c r="D133" s="11" t="str">
        <x:v>2024-08</x:v>
      </x:c>
      <x:c r="E133" s="11" t="str">
        <x:v>East</x:v>
      </x:c>
      <x:c r="F133" s="11" t="str">
        <x:v>Furniture</x:v>
      </x:c>
      <x:c r="G133" s="11" t="str">
        <x:v>Chair</x:v>
      </x:c>
      <x:c r="H133" s="11" t="n">
        <x:v>3</x:v>
      </x:c>
      <x:c r="I133" s="19" t="n">
        <x:v>0</x:v>
      </x:c>
      <x:c r="J133" s="11" t="n">
        <x:v>0</x:v>
      </x:c>
      <x:c r="K133" s="20" t="n">
        <x:v>510</x:v>
      </x:c>
      <x:c r="L133" s="20" t="n">
        <x:v>0</x:v>
      </x:c>
      <x:c r="M133" s="20" t="n">
        <x:v>330</x:v>
      </x:c>
      <x:c r="N133" s="20" t="n">
        <x:f>IF(J133=1,0,K133-L133)</x:f>
        <x:v>510</x:v>
      </x:c>
      <x:c r="O133" s="20" t="n">
        <x:f>N133-M133</x:f>
        <x:v>180</x:v>
      </x:c>
    </x:row>
    <x:row r="134" ht="22" customHeight="1">
      <x:c r="A134" s="11" t="n">
        <x:v>130</x:v>
      </x:c>
      <x:c r="B134" s="11" t="n">
        <x:v>65</x:v>
      </x:c>
      <x:c r="C134" s="18" t="n">
        <x:v>45723</x:v>
      </x:c>
      <x:c r="D134" s="11" t="str">
        <x:v>2025-03</x:v>
      </x:c>
      <x:c r="E134" s="11" t="str">
        <x:v>South</x:v>
      </x:c>
      <x:c r="F134" s="11" t="str">
        <x:v>Furniture</x:v>
      </x:c>
      <x:c r="G134" s="11" t="str">
        <x:v>Desk</x:v>
      </x:c>
      <x:c r="H134" s="11" t="n">
        <x:v>3</x:v>
      </x:c>
      <x:c r="I134" s="19" t="n">
        <x:v>0</x:v>
      </x:c>
      <x:c r="J134" s="11" t="n">
        <x:v>0</x:v>
      </x:c>
      <x:c r="K134" s="20" t="n">
        <x:v>840</x:v>
      </x:c>
      <x:c r="L134" s="20" t="n">
        <x:v>0</x:v>
      </x:c>
      <x:c r="M134" s="20" t="n">
        <x:v>570</x:v>
      </x:c>
      <x:c r="N134" s="20" t="n">
        <x:f>IF(J134=1,0,K134-L134)</x:f>
        <x:v>840</x:v>
      </x:c>
      <x:c r="O134" s="20" t="n">
        <x:f>N134-M134</x:f>
        <x:v>270</x:v>
      </x:c>
    </x:row>
    <x:row r="135" ht="22" customHeight="1">
      <x:c r="A135" s="11" t="n">
        <x:v>131</x:v>
      </x:c>
      <x:c r="B135" s="11" t="n">
        <x:v>65</x:v>
      </x:c>
      <x:c r="C135" s="18" t="n">
        <x:v>45723</x:v>
      </x:c>
      <x:c r="D135" s="11" t="str">
        <x:v>2025-03</x:v>
      </x:c>
      <x:c r="E135" s="11" t="str">
        <x:v>South</x:v>
      </x:c>
      <x:c r="F135" s="11" t="str">
        <x:v>Technology</x:v>
      </x:c>
      <x:c r="G135" s="11" t="str">
        <x:v>Keyboard</x:v>
      </x:c>
      <x:c r="H135" s="11" t="n">
        <x:v>2</x:v>
      </x:c>
      <x:c r="I135" s="19" t="n">
        <x:v>0.15</x:v>
      </x:c>
      <x:c r="J135" s="11" t="n">
        <x:v>1</x:v>
      </x:c>
      <x:c r="K135" s="20" t="n">
        <x:v>130</x:v>
      </x:c>
      <x:c r="L135" s="20" t="n">
        <x:v>19.5</x:v>
      </x:c>
      <x:c r="M135" s="20" t="n">
        <x:v>0</x:v>
      </x:c>
      <x:c r="N135" s="20" t="n">
        <x:f>IF(J135=1,0,K135-L135)</x:f>
        <x:v>0</x:v>
      </x:c>
      <x:c r="O135" s="20" t="n">
        <x:f>N135-M135</x:f>
        <x:v>0</x:v>
      </x:c>
    </x:row>
    <x:row r="136" ht="22" customHeight="1">
      <x:c r="A136" s="11" t="n">
        <x:v>132</x:v>
      </x:c>
      <x:c r="B136" s="11" t="n">
        <x:v>65</x:v>
      </x:c>
      <x:c r="C136" s="18" t="n">
        <x:v>45723</x:v>
      </x:c>
      <x:c r="D136" s="11" t="str">
        <x:v>2025-03</x:v>
      </x:c>
      <x:c r="E136" s="11" t="str">
        <x:v>South</x:v>
      </x:c>
      <x:c r="F136" s="11" t="str">
        <x:v>Office Supplies</x:v>
      </x:c>
      <x:c r="G136" s="11" t="str">
        <x:v>Notebook pack</x:v>
      </x:c>
      <x:c r="H136" s="11" t="n">
        <x:v>5</x:v>
      </x:c>
      <x:c r="I136" s="19" t="n">
        <x:v>0.05</x:v>
      </x:c>
      <x:c r="J136" s="11" t="n">
        <x:v>0</x:v>
      </x:c>
      <x:c r="K136" s="20" t="n">
        <x:v>90</x:v>
      </x:c>
      <x:c r="L136" s="20" t="n">
        <x:v>4.5</x:v>
      </x:c>
      <x:c r="M136" s="20" t="n">
        <x:v>35</x:v>
      </x:c>
      <x:c r="N136" s="20" t="n">
        <x:f>IF(J136=1,0,K136-L136)</x:f>
        <x:v>85.5</x:v>
      </x:c>
      <x:c r="O136" s="20" t="n">
        <x:f>N136-M136</x:f>
        <x:v>50.5</x:v>
      </x:c>
    </x:row>
    <x:row r="137" ht="22" customHeight="1">
      <x:c r="A137" s="11" t="n">
        <x:v>133</x:v>
      </x:c>
      <x:c r="B137" s="11" t="n">
        <x:v>66</x:v>
      </x:c>
      <x:c r="C137" s="18" t="n">
        <x:v>45323</x:v>
      </x:c>
      <x:c r="D137" s="11" t="str">
        <x:v>2024-02</x:v>
      </x:c>
      <x:c r="E137" s="11" t="str">
        <x:v>South</x:v>
      </x:c>
      <x:c r="F137" s="11" t="str">
        <x:v>Technology</x:v>
      </x:c>
      <x:c r="G137" s="11" t="str">
        <x:v>Keyboard</x:v>
      </x:c>
      <x:c r="H137" s="11" t="n">
        <x:v>4</x:v>
      </x:c>
      <x:c r="I137" s="19" t="n">
        <x:v>0.1</x:v>
      </x:c>
      <x:c r="J137" s="11" t="n">
        <x:v>0</x:v>
      </x:c>
      <x:c r="K137" s="20" t="n">
        <x:v>260</x:v>
      </x:c>
      <x:c r="L137" s="20" t="n">
        <x:v>26</x:v>
      </x:c>
      <x:c r="M137" s="20" t="n">
        <x:v>128</x:v>
      </x:c>
      <x:c r="N137" s="20" t="n">
        <x:f>IF(J137=1,0,K137-L137)</x:f>
        <x:v>234</x:v>
      </x:c>
      <x:c r="O137" s="20" t="n">
        <x:f>N137-M137</x:f>
        <x:v>106</x:v>
      </x:c>
    </x:row>
    <x:row r="138" ht="22" customHeight="1">
      <x:c r="A138" s="11" t="n">
        <x:v>134</x:v>
      </x:c>
      <x:c r="B138" s="11" t="n">
        <x:v>66</x:v>
      </x:c>
      <x:c r="C138" s="18" t="n">
        <x:v>45323</x:v>
      </x:c>
      <x:c r="D138" s="11" t="str">
        <x:v>2024-02</x:v>
      </x:c>
      <x:c r="E138" s="11" t="str">
        <x:v>South</x:v>
      </x:c>
      <x:c r="F138" s="11" t="str">
        <x:v>Furniture</x:v>
      </x:c>
      <x:c r="G138" s="11" t="str">
        <x:v>Desk</x:v>
      </x:c>
      <x:c r="H138" s="11" t="n">
        <x:v>1</x:v>
      </x:c>
      <x:c r="I138" s="19" t="n">
        <x:v>0.15</x:v>
      </x:c>
      <x:c r="J138" s="11" t="n">
        <x:v>0</x:v>
      </x:c>
      <x:c r="K138" s="20" t="n">
        <x:v>280</x:v>
      </x:c>
      <x:c r="L138" s="20" t="n">
        <x:v>42</x:v>
      </x:c>
      <x:c r="M138" s="20" t="n">
        <x:v>190</x:v>
      </x:c>
      <x:c r="N138" s="20" t="n">
        <x:f>IF(J138=1,0,K138-L138)</x:f>
        <x:v>238</x:v>
      </x:c>
      <x:c r="O138" s="20" t="n">
        <x:f>N138-M138</x:f>
        <x:v>48</x:v>
      </x:c>
    </x:row>
    <x:row r="139" ht="22" customHeight="1">
      <x:c r="A139" s="11" t="n">
        <x:v>135</x:v>
      </x:c>
      <x:c r="B139" s="11" t="n">
        <x:v>67</x:v>
      </x:c>
      <x:c r="C139" s="18" t="n">
        <x:v>45359</x:v>
      </x:c>
      <x:c r="D139" s="11" t="str">
        <x:v>2024-03</x:v>
      </x:c>
      <x:c r="E139" s="11" t="str">
        <x:v>South</x:v>
      </x:c>
      <x:c r="F139" s="11" t="str">
        <x:v>Office Supplies</x:v>
      </x:c>
      <x:c r="G139" s="11" t="str">
        <x:v>Storage box</x:v>
      </x:c>
      <x:c r="H139" s="11" t="n">
        <x:v>4</x:v>
      </x:c>
      <x:c r="I139" s="19" t="n">
        <x:v>0.15</x:v>
      </x:c>
      <x:c r="J139" s="11" t="n">
        <x:v>0</x:v>
      </x:c>
      <x:c r="K139" s="20" t="n">
        <x:v>104</x:v>
      </x:c>
      <x:c r="L139" s="20" t="n">
        <x:v>15.6</x:v>
      </x:c>
      <x:c r="M139" s="20" t="n">
        <x:v>48</x:v>
      </x:c>
      <x:c r="N139" s="20" t="n">
        <x:f>IF(J139=1,0,K139-L139)</x:f>
        <x:v>88.4</x:v>
      </x:c>
      <x:c r="O139" s="20" t="n">
        <x:f>N139-M139</x:f>
        <x:v>40.400000000000006</x:v>
      </x:c>
    </x:row>
    <x:row r="140" ht="22" customHeight="1">
      <x:c r="A140" s="11" t="n">
        <x:v>136</x:v>
      </x:c>
      <x:c r="B140" s="11" t="n">
        <x:v>67</x:v>
      </x:c>
      <x:c r="C140" s="18" t="n">
        <x:v>45359</x:v>
      </x:c>
      <x:c r="D140" s="11" t="str">
        <x:v>2024-03</x:v>
      </x:c>
      <x:c r="E140" s="11" t="str">
        <x:v>South</x:v>
      </x:c>
      <x:c r="F140" s="11" t="str">
        <x:v>Office Supplies</x:v>
      </x:c>
      <x:c r="G140" s="11" t="str">
        <x:v>Notebook pack</x:v>
      </x:c>
      <x:c r="H140" s="11" t="n">
        <x:v>4</x:v>
      </x:c>
      <x:c r="I140" s="19" t="n">
        <x:v>0.15</x:v>
      </x:c>
      <x:c r="J140" s="11" t="n">
        <x:v>0</x:v>
      </x:c>
      <x:c r="K140" s="20" t="n">
        <x:v>72</x:v>
      </x:c>
      <x:c r="L140" s="20" t="n">
        <x:v>10.8</x:v>
      </x:c>
      <x:c r="M140" s="20" t="n">
        <x:v>28</x:v>
      </x:c>
      <x:c r="N140" s="20" t="n">
        <x:f>IF(J140=1,0,K140-L140)</x:f>
        <x:v>61.2</x:v>
      </x:c>
      <x:c r="O140" s="20" t="n">
        <x:f>N140-M140</x:f>
        <x:v>33.2</x:v>
      </x:c>
    </x:row>
    <x:row r="141" ht="22" customHeight="1">
      <x:c r="A141" s="11" t="n">
        <x:v>137</x:v>
      </x:c>
      <x:c r="B141" s="11" t="n">
        <x:v>67</x:v>
      </x:c>
      <x:c r="C141" s="18" t="n">
        <x:v>45359</x:v>
      </x:c>
      <x:c r="D141" s="11" t="str">
        <x:v>2024-03</x:v>
      </x:c>
      <x:c r="E141" s="11" t="str">
        <x:v>South</x:v>
      </x:c>
      <x:c r="F141" s="11" t="str">
        <x:v>Technology</x:v>
      </x:c>
      <x:c r="G141" s="11" t="str">
        <x:v>Monitor</x:v>
      </x:c>
      <x:c r="H141" s="11" t="n">
        <x:v>1</x:v>
      </x:c>
      <x:c r="I141" s="19" t="n">
        <x:v>0</x:v>
      </x:c>
      <x:c r="J141" s="11" t="n">
        <x:v>0</x:v>
      </x:c>
      <x:c r="K141" s="20" t="n">
        <x:v>240</x:v>
      </x:c>
      <x:c r="L141" s="20" t="n">
        <x:v>0</x:v>
      </x:c>
      <x:c r="M141" s="20" t="n">
        <x:v>160</x:v>
      </x:c>
      <x:c r="N141" s="20" t="n">
        <x:f>IF(J141=1,0,K141-L141)</x:f>
        <x:v>240</x:v>
      </x:c>
      <x:c r="O141" s="20" t="n">
        <x:f>N141-M141</x:f>
        <x:v>80</x:v>
      </x:c>
    </x:row>
    <x:row r="142" ht="22" customHeight="1">
      <x:c r="A142" s="11" t="n">
        <x:v>138</x:v>
      </x:c>
      <x:c r="B142" s="11" t="n">
        <x:v>68</x:v>
      </x:c>
      <x:c r="C142" s="18" t="n">
        <x:v>45958</x:v>
      </x:c>
      <x:c r="D142" s="11" t="str">
        <x:v>2025-10</x:v>
      </x:c>
      <x:c r="E142" s="11" t="str">
        <x:v>South</x:v>
      </x:c>
      <x:c r="F142" s="11" t="str">
        <x:v>Technology</x:v>
      </x:c>
      <x:c r="G142" s="11" t="str">
        <x:v>Keyboard</x:v>
      </x:c>
      <x:c r="H142" s="11" t="n">
        <x:v>4</x:v>
      </x:c>
      <x:c r="I142" s="19" t="n">
        <x:v>0.05</x:v>
      </x:c>
      <x:c r="J142" s="11" t="n">
        <x:v>0</x:v>
      </x:c>
      <x:c r="K142" s="20" t="n">
        <x:v>260</x:v>
      </x:c>
      <x:c r="L142" s="20" t="n">
        <x:v>13</x:v>
      </x:c>
      <x:c r="M142" s="20" t="n">
        <x:v>128</x:v>
      </x:c>
      <x:c r="N142" s="20" t="n">
        <x:f>IF(J142=1,0,K142-L142)</x:f>
        <x:v>247</x:v>
      </x:c>
      <x:c r="O142" s="20" t="n">
        <x:f>N142-M142</x:f>
        <x:v>119</x:v>
      </x:c>
    </x:row>
    <x:row r="143" ht="22" customHeight="1">
      <x:c r="A143" s="11" t="n">
        <x:v>139</x:v>
      </x:c>
      <x:c r="B143" s="11" t="n">
        <x:v>68</x:v>
      </x:c>
      <x:c r="C143" s="18" t="n">
        <x:v>45958</x:v>
      </x:c>
      <x:c r="D143" s="11" t="str">
        <x:v>2025-10</x:v>
      </x:c>
      <x:c r="E143" s="11" t="str">
        <x:v>South</x:v>
      </x:c>
      <x:c r="F143" s="11" t="str">
        <x:v>Furniture</x:v>
      </x:c>
      <x:c r="G143" s="11" t="str">
        <x:v>Chair</x:v>
      </x:c>
      <x:c r="H143" s="11" t="n">
        <x:v>4</x:v>
      </x:c>
      <x:c r="I143" s="19" t="n">
        <x:v>0.25</x:v>
      </x:c>
      <x:c r="J143" s="11" t="n">
        <x:v>0</x:v>
      </x:c>
      <x:c r="K143" s="20" t="n">
        <x:v>680</x:v>
      </x:c>
      <x:c r="L143" s="20" t="n">
        <x:v>170</x:v>
      </x:c>
      <x:c r="M143" s="20" t="n">
        <x:v>440</x:v>
      </x:c>
      <x:c r="N143" s="20" t="n">
        <x:f>IF(J143=1,0,K143-L143)</x:f>
        <x:v>510</x:v>
      </x:c>
      <x:c r="O143" s="20" t="n">
        <x:f>N143-M143</x:f>
        <x:v>70</x:v>
      </x:c>
    </x:row>
    <x:row r="144" ht="22" customHeight="1">
      <x:c r="A144" s="11" t="n">
        <x:v>140</x:v>
      </x:c>
      <x:c r="B144" s="11" t="n">
        <x:v>69</x:v>
      </x:c>
      <x:c r="C144" s="18" t="n">
        <x:v>45612</x:v>
      </x:c>
      <x:c r="D144" s="11" t="str">
        <x:v>2024-11</x:v>
      </x:c>
      <x:c r="E144" s="11" t="str">
        <x:v>South</x:v>
      </x:c>
      <x:c r="F144" s="11" t="str">
        <x:v>Technology</x:v>
      </x:c>
      <x:c r="G144" s="11" t="str">
        <x:v>Monitor</x:v>
      </x:c>
      <x:c r="H144" s="11" t="n">
        <x:v>4</x:v>
      </x:c>
      <x:c r="I144" s="19" t="n">
        <x:v>0</x:v>
      </x:c>
      <x:c r="J144" s="11" t="n">
        <x:v>0</x:v>
      </x:c>
      <x:c r="K144" s="20" t="n">
        <x:v>960</x:v>
      </x:c>
      <x:c r="L144" s="20" t="n">
        <x:v>0</x:v>
      </x:c>
      <x:c r="M144" s="20" t="n">
        <x:v>640</x:v>
      </x:c>
      <x:c r="N144" s="20" t="n">
        <x:f>IF(J144=1,0,K144-L144)</x:f>
        <x:v>960</x:v>
      </x:c>
      <x:c r="O144" s="20" t="n">
        <x:f>N144-M144</x:f>
        <x:v>320</x:v>
      </x:c>
    </x:row>
    <x:row r="145" ht="22" customHeight="1">
      <x:c r="A145" s="11" t="n">
        <x:v>141</x:v>
      </x:c>
      <x:c r="B145" s="11" t="n">
        <x:v>69</x:v>
      </x:c>
      <x:c r="C145" s="18" t="n">
        <x:v>45612</x:v>
      </x:c>
      <x:c r="D145" s="11" t="str">
        <x:v>2024-11</x:v>
      </x:c>
      <x:c r="E145" s="11" t="str">
        <x:v>South</x:v>
      </x:c>
      <x:c r="F145" s="11" t="str">
        <x:v>Office Supplies</x:v>
      </x:c>
      <x:c r="G145" s="11" t="str">
        <x:v>Storage box</x:v>
      </x:c>
      <x:c r="H145" s="11" t="n">
        <x:v>1</x:v>
      </x:c>
      <x:c r="I145" s="19" t="n">
        <x:v>0</x:v>
      </x:c>
      <x:c r="J145" s="11" t="n">
        <x:v>0</x:v>
      </x:c>
      <x:c r="K145" s="20" t="n">
        <x:v>26</x:v>
      </x:c>
      <x:c r="L145" s="20" t="n">
        <x:v>0</x:v>
      </x:c>
      <x:c r="M145" s="20" t="n">
        <x:v>12</x:v>
      </x:c>
      <x:c r="N145" s="20" t="n">
        <x:f>IF(J145=1,0,K145-L145)</x:f>
        <x:v>26</x:v>
      </x:c>
      <x:c r="O145" s="20" t="n">
        <x:f>N145-M145</x:f>
        <x:v>14</x:v>
      </x:c>
    </x:row>
    <x:row r="146" ht="22" customHeight="1">
      <x:c r="A146" s="11" t="n">
        <x:v>142</x:v>
      </x:c>
      <x:c r="B146" s="11" t="n">
        <x:v>69</x:v>
      </x:c>
      <x:c r="C146" s="18" t="n">
        <x:v>45612</x:v>
      </x:c>
      <x:c r="D146" s="11" t="str">
        <x:v>2024-11</x:v>
      </x:c>
      <x:c r="E146" s="11" t="str">
        <x:v>South</x:v>
      </x:c>
      <x:c r="F146" s="11" t="str">
        <x:v>Furniture</x:v>
      </x:c>
      <x:c r="G146" s="11" t="str">
        <x:v>Chair</x:v>
      </x:c>
      <x:c r="H146" s="11" t="n">
        <x:v>3</x:v>
      </x:c>
      <x:c r="I146" s="19" t="n">
        <x:v>0</x:v>
      </x:c>
      <x:c r="J146" s="11" t="n">
        <x:v>0</x:v>
      </x:c>
      <x:c r="K146" s="20" t="n">
        <x:v>510</x:v>
      </x:c>
      <x:c r="L146" s="20" t="n">
        <x:v>0</x:v>
      </x:c>
      <x:c r="M146" s="20" t="n">
        <x:v>330</x:v>
      </x:c>
      <x:c r="N146" s="20" t="n">
        <x:f>IF(J146=1,0,K146-L146)</x:f>
        <x:v>510</x:v>
      </x:c>
      <x:c r="O146" s="20" t="n">
        <x:f>N146-M146</x:f>
        <x:v>180</x:v>
      </x:c>
    </x:row>
    <x:row r="147" ht="22" customHeight="1">
      <x:c r="A147" s="11" t="n">
        <x:v>143</x:v>
      </x:c>
      <x:c r="B147" s="11" t="n">
        <x:v>70</x:v>
      </x:c>
      <x:c r="C147" s="18" t="n">
        <x:v>45892</x:v>
      </x:c>
      <x:c r="D147" s="11" t="str">
        <x:v>2025-08</x:v>
      </x:c>
      <x:c r="E147" s="11" t="str">
        <x:v>East</x:v>
      </x:c>
      <x:c r="F147" s="11" t="str">
        <x:v>Furniture</x:v>
      </x:c>
      <x:c r="G147" s="11" t="str">
        <x:v>Desk</x:v>
      </x:c>
      <x:c r="H147" s="11" t="n">
        <x:v>4</x:v>
      </x:c>
      <x:c r="I147" s="19" t="n">
        <x:v>0</x:v>
      </x:c>
      <x:c r="J147" s="11" t="n">
        <x:v>0</x:v>
      </x:c>
      <x:c r="K147" s="20" t="n">
        <x:v>1120</x:v>
      </x:c>
      <x:c r="L147" s="20" t="n">
        <x:v>0</x:v>
      </x:c>
      <x:c r="M147" s="20" t="n">
        <x:v>760</x:v>
      </x:c>
      <x:c r="N147" s="20" t="n">
        <x:f>IF(J147=1,0,K147-L147)</x:f>
        <x:v>1120</x:v>
      </x:c>
      <x:c r="O147" s="20" t="n">
        <x:f>N147-M147</x:f>
        <x:v>360</x:v>
      </x:c>
    </x:row>
    <x:row r="148" ht="22" customHeight="1">
      <x:c r="A148" s="11" t="n">
        <x:v>144</x:v>
      </x:c>
      <x:c r="B148" s="11" t="n">
        <x:v>70</x:v>
      </x:c>
      <x:c r="C148" s="18" t="n">
        <x:v>45892</x:v>
      </x:c>
      <x:c r="D148" s="11" t="str">
        <x:v>2025-08</x:v>
      </x:c>
      <x:c r="E148" s="11" t="str">
        <x:v>East</x:v>
      </x:c>
      <x:c r="F148" s="11" t="str">
        <x:v>Technology</x:v>
      </x:c>
      <x:c r="G148" s="11" t="str">
        <x:v>Keyboard</x:v>
      </x:c>
      <x:c r="H148" s="11" t="n">
        <x:v>5</x:v>
      </x:c>
      <x:c r="I148" s="19" t="n">
        <x:v>0.05</x:v>
      </x:c>
      <x:c r="J148" s="11" t="n">
        <x:v>0</x:v>
      </x:c>
      <x:c r="K148" s="20" t="n">
        <x:v>325</x:v>
      </x:c>
      <x:c r="L148" s="20" t="n">
        <x:v>16.25</x:v>
      </x:c>
      <x:c r="M148" s="20" t="n">
        <x:v>160</x:v>
      </x:c>
      <x:c r="N148" s="20" t="n">
        <x:f>IF(J148=1,0,K148-L148)</x:f>
        <x:v>308.75</x:v>
      </x:c>
      <x:c r="O148" s="20" t="n">
        <x:f>N148-M148</x:f>
        <x:v>148.75</x:v>
      </x:c>
    </x:row>
    <x:row r="149" ht="22" customHeight="1">
      <x:c r="A149" s="11" t="n">
        <x:v>145</x:v>
      </x:c>
      <x:c r="B149" s="11" t="n">
        <x:v>70</x:v>
      </x:c>
      <x:c r="C149" s="18" t="n">
        <x:v>45892</x:v>
      </x:c>
      <x:c r="D149" s="11" t="str">
        <x:v>2025-08</x:v>
      </x:c>
      <x:c r="E149" s="11" t="str">
        <x:v>East</x:v>
      </x:c>
      <x:c r="F149" s="11" t="str">
        <x:v>Technology</x:v>
      </x:c>
      <x:c r="G149" s="11" t="str">
        <x:v>Monitor</x:v>
      </x:c>
      <x:c r="H149" s="11" t="n">
        <x:v>5</x:v>
      </x:c>
      <x:c r="I149" s="19" t="n">
        <x:v>0.15</x:v>
      </x:c>
      <x:c r="J149" s="11" t="n">
        <x:v>0</x:v>
      </x:c>
      <x:c r="K149" s="20" t="n">
        <x:v>1200</x:v>
      </x:c>
      <x:c r="L149" s="20" t="n">
        <x:v>180</x:v>
      </x:c>
      <x:c r="M149" s="20" t="n">
        <x:v>800</x:v>
      </x:c>
      <x:c r="N149" s="20" t="n">
        <x:f>IF(J149=1,0,K149-L149)</x:f>
        <x:v>1020</x:v>
      </x:c>
      <x:c r="O149" s="20" t="n">
        <x:f>N149-M149</x:f>
        <x:v>220</x:v>
      </x:c>
    </x:row>
    <x:row r="150" ht="22" customHeight="1">
      <x:c r="A150" s="11" t="n">
        <x:v>146</x:v>
      </x:c>
      <x:c r="B150" s="11" t="n">
        <x:v>71</x:v>
      </x:c>
      <x:c r="C150" s="18" t="n">
        <x:v>45964</x:v>
      </x:c>
      <x:c r="D150" s="11" t="str">
        <x:v>2025-11</x:v>
      </x:c>
      <x:c r="E150" s="11" t="str">
        <x:v>Central</x:v>
      </x:c>
      <x:c r="F150" s="11" t="str">
        <x:v>Technology</x:v>
      </x:c>
      <x:c r="G150" s="11" t="str">
        <x:v>Monitor</x:v>
      </x:c>
      <x:c r="H150" s="11" t="n">
        <x:v>5</x:v>
      </x:c>
      <x:c r="I150" s="19" t="n">
        <x:v>0.05</x:v>
      </x:c>
      <x:c r="J150" s="11" t="n">
        <x:v>0</x:v>
      </x:c>
      <x:c r="K150" s="20" t="n">
        <x:v>1200</x:v>
      </x:c>
      <x:c r="L150" s="20" t="n">
        <x:v>60</x:v>
      </x:c>
      <x:c r="M150" s="20" t="n">
        <x:v>800</x:v>
      </x:c>
      <x:c r="N150" s="20" t="n">
        <x:f>IF(J150=1,0,K150-L150)</x:f>
        <x:v>1140</x:v>
      </x:c>
      <x:c r="O150" s="20" t="n">
        <x:f>N150-M150</x:f>
        <x:v>340</x:v>
      </x:c>
    </x:row>
    <x:row r="151" ht="22" customHeight="1">
      <x:c r="A151" s="11" t="n">
        <x:v>147</x:v>
      </x:c>
      <x:c r="B151" s="11" t="n">
        <x:v>72</x:v>
      </x:c>
      <x:c r="C151" s="18" t="n">
        <x:v>45577</x:v>
      </x:c>
      <x:c r="D151" s="11" t="str">
        <x:v>2024-10</x:v>
      </x:c>
      <x:c r="E151" s="11" t="str">
        <x:v>Central</x:v>
      </x:c>
      <x:c r="F151" s="11" t="str">
        <x:v>Office Supplies</x:v>
      </x:c>
      <x:c r="G151" s="11" t="str">
        <x:v>Notebook pack</x:v>
      </x:c>
      <x:c r="H151" s="11" t="n">
        <x:v>5</x:v>
      </x:c>
      <x:c r="I151" s="19" t="n">
        <x:v>0.15</x:v>
      </x:c>
      <x:c r="J151" s="11" t="n">
        <x:v>1</x:v>
      </x:c>
      <x:c r="K151" s="20" t="n">
        <x:v>90</x:v>
      </x:c>
      <x:c r="L151" s="20" t="n">
        <x:v>13.5</x:v>
      </x:c>
      <x:c r="M151" s="20" t="n">
        <x:v>0</x:v>
      </x:c>
      <x:c r="N151" s="20" t="n">
        <x:f>IF(J151=1,0,K151-L151)</x:f>
        <x:v>0</x:v>
      </x:c>
      <x:c r="O151" s="20" t="n">
        <x:f>N151-M151</x:f>
        <x:v>0</x:v>
      </x:c>
    </x:row>
    <x:row r="152" ht="22" customHeight="1">
      <x:c r="A152" s="11" t="n">
        <x:v>148</x:v>
      </x:c>
      <x:c r="B152" s="11" t="n">
        <x:v>72</x:v>
      </x:c>
      <x:c r="C152" s="18" t="n">
        <x:v>45577</x:v>
      </x:c>
      <x:c r="D152" s="11" t="str">
        <x:v>2024-10</x:v>
      </x:c>
      <x:c r="E152" s="11" t="str">
        <x:v>Central</x:v>
      </x:c>
      <x:c r="F152" s="11" t="str">
        <x:v>Office Supplies</x:v>
      </x:c>
      <x:c r="G152" s="11" t="str">
        <x:v>Storage box</x:v>
      </x:c>
      <x:c r="H152" s="11" t="n">
        <x:v>3</x:v>
      </x:c>
      <x:c r="I152" s="19" t="n">
        <x:v>0</x:v>
      </x:c>
      <x:c r="J152" s="11" t="n">
        <x:v>0</x:v>
      </x:c>
      <x:c r="K152" s="20" t="n">
        <x:v>78</x:v>
      </x:c>
      <x:c r="L152" s="20" t="n">
        <x:v>0</x:v>
      </x:c>
      <x:c r="M152" s="20" t="n">
        <x:v>36</x:v>
      </x:c>
      <x:c r="N152" s="20" t="n">
        <x:f>IF(J152=1,0,K152-L152)</x:f>
        <x:v>78</x:v>
      </x:c>
      <x:c r="O152" s="20" t="n">
        <x:f>N152-M152</x:f>
        <x:v>42</x:v>
      </x:c>
    </x:row>
    <x:row r="153" ht="22" customHeight="1">
      <x:c r="A153" s="11" t="n">
        <x:v>149</x:v>
      </x:c>
      <x:c r="B153" s="11" t="n">
        <x:v>73</x:v>
      </x:c>
      <x:c r="C153" s="18" t="n">
        <x:v>46011</x:v>
      </x:c>
      <x:c r="D153" s="11" t="str">
        <x:v>2025-12</x:v>
      </x:c>
      <x:c r="E153" s="11" t="str">
        <x:v>Central</x:v>
      </x:c>
      <x:c r="F153" s="11" t="str">
        <x:v>Technology</x:v>
      </x:c>
      <x:c r="G153" s="11" t="str">
        <x:v>Monitor</x:v>
      </x:c>
      <x:c r="H153" s="11" t="n">
        <x:v>2</x:v>
      </x:c>
      <x:c r="I153" s="19" t="n">
        <x:v>0</x:v>
      </x:c>
      <x:c r="J153" s="11" t="n">
        <x:v>0</x:v>
      </x:c>
      <x:c r="K153" s="20" t="n">
        <x:v>480</x:v>
      </x:c>
      <x:c r="L153" s="20" t="n">
        <x:v>0</x:v>
      </x:c>
      <x:c r="M153" s="20" t="n">
        <x:v>320</x:v>
      </x:c>
      <x:c r="N153" s="20" t="n">
        <x:f>IF(J153=1,0,K153-L153)</x:f>
        <x:v>480</x:v>
      </x:c>
      <x:c r="O153" s="20" t="n">
        <x:f>N153-M153</x:f>
        <x:v>160</x:v>
      </x:c>
    </x:row>
    <x:row r="154" ht="22" customHeight="1">
      <x:c r="A154" s="11" t="n">
        <x:v>150</x:v>
      </x:c>
      <x:c r="B154" s="11" t="n">
        <x:v>73</x:v>
      </x:c>
      <x:c r="C154" s="18" t="n">
        <x:v>46011</x:v>
      </x:c>
      <x:c r="D154" s="11" t="str">
        <x:v>2025-12</x:v>
      </x:c>
      <x:c r="E154" s="11" t="str">
        <x:v>Central</x:v>
      </x:c>
      <x:c r="F154" s="11" t="str">
        <x:v>Furniture</x:v>
      </x:c>
      <x:c r="G154" s="11" t="str">
        <x:v>Desk</x:v>
      </x:c>
      <x:c r="H154" s="11" t="n">
        <x:v>4</x:v>
      </x:c>
      <x:c r="I154" s="19" t="n">
        <x:v>0</x:v>
      </x:c>
      <x:c r="J154" s="11" t="n">
        <x:v>0</x:v>
      </x:c>
      <x:c r="K154" s="20" t="n">
        <x:v>1120</x:v>
      </x:c>
      <x:c r="L154" s="20" t="n">
        <x:v>0</x:v>
      </x:c>
      <x:c r="M154" s="20" t="n">
        <x:v>760</x:v>
      </x:c>
      <x:c r="N154" s="20" t="n">
        <x:f>IF(J154=1,0,K154-L154)</x:f>
        <x:v>1120</x:v>
      </x:c>
      <x:c r="O154" s="20" t="n">
        <x:f>N154-M154</x:f>
        <x:v>360</x:v>
      </x:c>
    </x:row>
    <x:row r="155" ht="22" customHeight="1">
      <x:c r="A155" s="11" t="n">
        <x:v>151</x:v>
      </x:c>
      <x:c r="B155" s="11" t="n">
        <x:v>74</x:v>
      </x:c>
      <x:c r="C155" s="18" t="n">
        <x:v>45940</x:v>
      </x:c>
      <x:c r="D155" s="11" t="str">
        <x:v>2025-10</x:v>
      </x:c>
      <x:c r="E155" s="11" t="str">
        <x:v>East</x:v>
      </x:c>
      <x:c r="F155" s="11" t="str">
        <x:v>Office Supplies</x:v>
      </x:c>
      <x:c r="G155" s="11" t="str">
        <x:v>Notebook pack</x:v>
      </x:c>
      <x:c r="H155" s="11" t="n">
        <x:v>4</x:v>
      </x:c>
      <x:c r="I155" s="19" t="n">
        <x:v>0.1</x:v>
      </x:c>
      <x:c r="J155" s="11" t="n">
        <x:v>0</x:v>
      </x:c>
      <x:c r="K155" s="20" t="n">
        <x:v>72</x:v>
      </x:c>
      <x:c r="L155" s="20" t="n">
        <x:v>7.2</x:v>
      </x:c>
      <x:c r="M155" s="20" t="n">
        <x:v>28</x:v>
      </x:c>
      <x:c r="N155" s="20" t="n">
        <x:f>IF(J155=1,0,K155-L155)</x:f>
        <x:v>64.8</x:v>
      </x:c>
      <x:c r="O155" s="20" t="n">
        <x:f>N155-M155</x:f>
        <x:v>36.8</x:v>
      </x:c>
    </x:row>
    <x:row r="156" ht="22" customHeight="1">
      <x:c r="A156" s="11" t="n">
        <x:v>152</x:v>
      </x:c>
      <x:c r="B156" s="11" t="n">
        <x:v>74</x:v>
      </x:c>
      <x:c r="C156" s="18" t="n">
        <x:v>45940</x:v>
      </x:c>
      <x:c r="D156" s="11" t="str">
        <x:v>2025-10</x:v>
      </x:c>
      <x:c r="E156" s="11" t="str">
        <x:v>East</x:v>
      </x:c>
      <x:c r="F156" s="11" t="str">
        <x:v>Furniture</x:v>
      </x:c>
      <x:c r="G156" s="11" t="str">
        <x:v>Chair</x:v>
      </x:c>
      <x:c r="H156" s="11" t="n">
        <x:v>3</x:v>
      </x:c>
      <x:c r="I156" s="19" t="n">
        <x:v>0.1</x:v>
      </x:c>
      <x:c r="J156" s="11" t="n">
        <x:v>0</x:v>
      </x:c>
      <x:c r="K156" s="20" t="n">
        <x:v>510</x:v>
      </x:c>
      <x:c r="L156" s="20" t="n">
        <x:v>51</x:v>
      </x:c>
      <x:c r="M156" s="20" t="n">
        <x:v>330</x:v>
      </x:c>
      <x:c r="N156" s="20" t="n">
        <x:f>IF(J156=1,0,K156-L156)</x:f>
        <x:v>459</x:v>
      </x:c>
      <x:c r="O156" s="20" t="n">
        <x:f>N156-M156</x:f>
        <x:v>129</x:v>
      </x:c>
    </x:row>
    <x:row r="157" ht="22" customHeight="1">
      <x:c r="A157" s="11" t="n">
        <x:v>153</x:v>
      </x:c>
      <x:c r="B157" s="11" t="n">
        <x:v>74</x:v>
      </x:c>
      <x:c r="C157" s="18" t="n">
        <x:v>45940</x:v>
      </x:c>
      <x:c r="D157" s="11" t="str">
        <x:v>2025-10</x:v>
      </x:c>
      <x:c r="E157" s="11" t="str">
        <x:v>East</x:v>
      </x:c>
      <x:c r="F157" s="11" t="str">
        <x:v>Technology</x:v>
      </x:c>
      <x:c r="G157" s="11" t="str">
        <x:v>Keyboard</x:v>
      </x:c>
      <x:c r="H157" s="11" t="n">
        <x:v>5</x:v>
      </x:c>
      <x:c r="I157" s="19" t="n">
        <x:v>0.15</x:v>
      </x:c>
      <x:c r="J157" s="11" t="n">
        <x:v>0</x:v>
      </x:c>
      <x:c r="K157" s="20" t="n">
        <x:v>325</x:v>
      </x:c>
      <x:c r="L157" s="20" t="n">
        <x:v>48.75</x:v>
      </x:c>
      <x:c r="M157" s="20" t="n">
        <x:v>160</x:v>
      </x:c>
      <x:c r="N157" s="20" t="n">
        <x:f>IF(J157=1,0,K157-L157)</x:f>
        <x:v>276.25</x:v>
      </x:c>
      <x:c r="O157" s="20" t="n">
        <x:f>N157-M157</x:f>
        <x:v>116.25</x:v>
      </x:c>
    </x:row>
    <x:row r="158" ht="22" customHeight="1">
      <x:c r="A158" s="11" t="n">
        <x:v>154</x:v>
      </x:c>
      <x:c r="B158" s="11" t="n">
        <x:v>75</x:v>
      </x:c>
      <x:c r="C158" s="18" t="n">
        <x:v>45345</x:v>
      </x:c>
      <x:c r="D158" s="11" t="str">
        <x:v>2024-02</x:v>
      </x:c>
      <x:c r="E158" s="11" t="str">
        <x:v>South</x:v>
      </x:c>
      <x:c r="F158" s="11" t="str">
        <x:v>Furniture</x:v>
      </x:c>
      <x:c r="G158" s="11" t="str">
        <x:v>Desk</x:v>
      </x:c>
      <x:c r="H158" s="11" t="n">
        <x:v>4</x:v>
      </x:c>
      <x:c r="I158" s="19" t="n">
        <x:v>0.25</x:v>
      </x:c>
      <x:c r="J158" s="11" t="n">
        <x:v>0</x:v>
      </x:c>
      <x:c r="K158" s="20" t="n">
        <x:v>1120</x:v>
      </x:c>
      <x:c r="L158" s="20" t="n">
        <x:v>280</x:v>
      </x:c>
      <x:c r="M158" s="20" t="n">
        <x:v>760</x:v>
      </x:c>
      <x:c r="N158" s="20" t="n">
        <x:f>IF(J158=1,0,K158-L158)</x:f>
        <x:v>840</x:v>
      </x:c>
      <x:c r="O158" s="20" t="n">
        <x:f>N158-M158</x:f>
        <x:v>80</x:v>
      </x:c>
    </x:row>
    <x:row r="159" ht="22" customHeight="1">
      <x:c r="A159" s="11" t="n">
        <x:v>155</x:v>
      </x:c>
      <x:c r="B159" s="11" t="n">
        <x:v>75</x:v>
      </x:c>
      <x:c r="C159" s="18" t="n">
        <x:v>45345</x:v>
      </x:c>
      <x:c r="D159" s="11" t="str">
        <x:v>2024-02</x:v>
      </x:c>
      <x:c r="E159" s="11" t="str">
        <x:v>South</x:v>
      </x:c>
      <x:c r="F159" s="11" t="str">
        <x:v>Office Supplies</x:v>
      </x:c>
      <x:c r="G159" s="11" t="str">
        <x:v>Storage box</x:v>
      </x:c>
      <x:c r="H159" s="11" t="n">
        <x:v>4</x:v>
      </x:c>
      <x:c r="I159" s="19" t="n">
        <x:v>0.1</x:v>
      </x:c>
      <x:c r="J159" s="11" t="n">
        <x:v>0</x:v>
      </x:c>
      <x:c r="K159" s="20" t="n">
        <x:v>104</x:v>
      </x:c>
      <x:c r="L159" s="20" t="n">
        <x:v>10.4</x:v>
      </x:c>
      <x:c r="M159" s="20" t="n">
        <x:v>48</x:v>
      </x:c>
      <x:c r="N159" s="20" t="n">
        <x:f>IF(J159=1,0,K159-L159)</x:f>
        <x:v>93.6</x:v>
      </x:c>
      <x:c r="O159" s="20" t="n">
        <x:f>N159-M159</x:f>
        <x:v>45.599999999999994</x:v>
      </x:c>
    </x:row>
    <x:row r="160" ht="22" customHeight="1">
      <x:c r="A160" s="11" t="n">
        <x:v>156</x:v>
      </x:c>
      <x:c r="B160" s="11" t="n">
        <x:v>75</x:v>
      </x:c>
      <x:c r="C160" s="18" t="n">
        <x:v>45345</x:v>
      </x:c>
      <x:c r="D160" s="11" t="str">
        <x:v>2024-02</x:v>
      </x:c>
      <x:c r="E160" s="11" t="str">
        <x:v>South</x:v>
      </x:c>
      <x:c r="F160" s="11" t="str">
        <x:v>Technology</x:v>
      </x:c>
      <x:c r="G160" s="11" t="str">
        <x:v>Monitor</x:v>
      </x:c>
      <x:c r="H160" s="11" t="n">
        <x:v>5</x:v>
      </x:c>
      <x:c r="I160" s="19" t="n">
        <x:v>0</x:v>
      </x:c>
      <x:c r="J160" s="11" t="n">
        <x:v>0</x:v>
      </x:c>
      <x:c r="K160" s="20" t="n">
        <x:v>1200</x:v>
      </x:c>
      <x:c r="L160" s="20" t="n">
        <x:v>0</x:v>
      </x:c>
      <x:c r="M160" s="20" t="n">
        <x:v>800</x:v>
      </x:c>
      <x:c r="N160" s="20" t="n">
        <x:f>IF(J160=1,0,K160-L160)</x:f>
        <x:v>1200</x:v>
      </x:c>
      <x:c r="O160" s="20" t="n">
        <x:f>N160-M160</x:f>
        <x:v>400</x:v>
      </x:c>
    </x:row>
    <x:row r="161" ht="22" customHeight="1">
      <x:c r="A161" s="11" t="n">
        <x:v>157</x:v>
      </x:c>
      <x:c r="B161" s="11" t="n">
        <x:v>76</x:v>
      </x:c>
      <x:c r="C161" s="18" t="n">
        <x:v>45405</x:v>
      </x:c>
      <x:c r="D161" s="11" t="str">
        <x:v>2024-04</x:v>
      </x:c>
      <x:c r="E161" s="11" t="str">
        <x:v>South</x:v>
      </x:c>
      <x:c r="F161" s="11" t="str">
        <x:v>Office Supplies</x:v>
      </x:c>
      <x:c r="G161" s="11" t="str">
        <x:v>Storage box</x:v>
      </x:c>
      <x:c r="H161" s="11" t="n">
        <x:v>2</x:v>
      </x:c>
      <x:c r="I161" s="19" t="n">
        <x:v>0.1</x:v>
      </x:c>
      <x:c r="J161" s="11" t="n">
        <x:v>0</x:v>
      </x:c>
      <x:c r="K161" s="20" t="n">
        <x:v>52</x:v>
      </x:c>
      <x:c r="L161" s="20" t="n">
        <x:v>5.2</x:v>
      </x:c>
      <x:c r="M161" s="20" t="n">
        <x:v>24</x:v>
      </x:c>
      <x:c r="N161" s="20" t="n">
        <x:f>IF(J161=1,0,K161-L161)</x:f>
        <x:v>46.8</x:v>
      </x:c>
      <x:c r="O161" s="20" t="n">
        <x:f>N161-M161</x:f>
        <x:v>22.799999999999997</x:v>
      </x:c>
    </x:row>
    <x:row r="162" ht="22" customHeight="1">
      <x:c r="A162" s="11" t="n">
        <x:v>158</x:v>
      </x:c>
      <x:c r="B162" s="11" t="n">
        <x:v>76</x:v>
      </x:c>
      <x:c r="C162" s="18" t="n">
        <x:v>45405</x:v>
      </x:c>
      <x:c r="D162" s="11" t="str">
        <x:v>2024-04</x:v>
      </x:c>
      <x:c r="E162" s="11" t="str">
        <x:v>South</x:v>
      </x:c>
      <x:c r="F162" s="11" t="str">
        <x:v>Technology</x:v>
      </x:c>
      <x:c r="G162" s="11" t="str">
        <x:v>Monitor</x:v>
      </x:c>
      <x:c r="H162" s="11" t="n">
        <x:v>1</x:v>
      </x:c>
      <x:c r="I162" s="19" t="n">
        <x:v>0</x:v>
      </x:c>
      <x:c r="J162" s="11" t="n">
        <x:v>0</x:v>
      </x:c>
      <x:c r="K162" s="20" t="n">
        <x:v>240</x:v>
      </x:c>
      <x:c r="L162" s="20" t="n">
        <x:v>0</x:v>
      </x:c>
      <x:c r="M162" s="20" t="n">
        <x:v>160</x:v>
      </x:c>
      <x:c r="N162" s="20" t="n">
        <x:f>IF(J162=1,0,K162-L162)</x:f>
        <x:v>240</x:v>
      </x:c>
      <x:c r="O162" s="20" t="n">
        <x:f>N162-M162</x:f>
        <x:v>80</x:v>
      </x:c>
    </x:row>
    <x:row r="163" ht="22" customHeight="1">
      <x:c r="A163" s="11" t="n">
        <x:v>159</x:v>
      </x:c>
      <x:c r="B163" s="11" t="n">
        <x:v>76</x:v>
      </x:c>
      <x:c r="C163" s="18" t="n">
        <x:v>45405</x:v>
      </x:c>
      <x:c r="D163" s="11" t="str">
        <x:v>2024-04</x:v>
      </x:c>
      <x:c r="E163" s="11" t="str">
        <x:v>South</x:v>
      </x:c>
      <x:c r="F163" s="11" t="str">
        <x:v>Furniture</x:v>
      </x:c>
      <x:c r="G163" s="11" t="str">
        <x:v>Desk</x:v>
      </x:c>
      <x:c r="H163" s="11" t="n">
        <x:v>2</x:v>
      </x:c>
      <x:c r="I163" s="19" t="n">
        <x:v>0</x:v>
      </x:c>
      <x:c r="J163" s="11" t="n">
        <x:v>0</x:v>
      </x:c>
      <x:c r="K163" s="20" t="n">
        <x:v>560</x:v>
      </x:c>
      <x:c r="L163" s="20" t="n">
        <x:v>0</x:v>
      </x:c>
      <x:c r="M163" s="20" t="n">
        <x:v>380</x:v>
      </x:c>
      <x:c r="N163" s="20" t="n">
        <x:f>IF(J163=1,0,K163-L163)</x:f>
        <x:v>560</x:v>
      </x:c>
      <x:c r="O163" s="20" t="n">
        <x:f>N163-M163</x:f>
        <x:v>180</x:v>
      </x:c>
    </x:row>
    <x:row r="164" ht="22" customHeight="1">
      <x:c r="A164" s="11" t="n">
        <x:v>160</x:v>
      </x:c>
      <x:c r="B164" s="11" t="n">
        <x:v>77</x:v>
      </x:c>
      <x:c r="C164" s="18" t="n">
        <x:v>45588</x:v>
      </x:c>
      <x:c r="D164" s="11" t="str">
        <x:v>2024-10</x:v>
      </x:c>
      <x:c r="E164" s="11" t="str">
        <x:v>South</x:v>
      </x:c>
      <x:c r="F164" s="11" t="str">
        <x:v>Technology</x:v>
      </x:c>
      <x:c r="G164" s="11" t="str">
        <x:v>Keyboard</x:v>
      </x:c>
      <x:c r="H164" s="11" t="n">
        <x:v>4</x:v>
      </x:c>
      <x:c r="I164" s="19" t="n">
        <x:v>0</x:v>
      </x:c>
      <x:c r="J164" s="11" t="n">
        <x:v>0</x:v>
      </x:c>
      <x:c r="K164" s="20" t="n">
        <x:v>260</x:v>
      </x:c>
      <x:c r="L164" s="20" t="n">
        <x:v>0</x:v>
      </x:c>
      <x:c r="M164" s="20" t="n">
        <x:v>128</x:v>
      </x:c>
      <x:c r="N164" s="20" t="n">
        <x:f>IF(J164=1,0,K164-L164)</x:f>
        <x:v>260</x:v>
      </x:c>
      <x:c r="O164" s="20" t="n">
        <x:f>N164-M164</x:f>
        <x:v>132</x:v>
      </x:c>
    </x:row>
    <x:row r="165" ht="22" customHeight="1">
      <x:c r="A165" s="11" t="n">
        <x:v>161</x:v>
      </x:c>
      <x:c r="B165" s="11" t="n">
        <x:v>78</x:v>
      </x:c>
      <x:c r="C165" s="18" t="n">
        <x:v>45837</x:v>
      </x:c>
      <x:c r="D165" s="11" t="str">
        <x:v>2025-06</x:v>
      </x:c>
      <x:c r="E165" s="11" t="str">
        <x:v>South</x:v>
      </x:c>
      <x:c r="F165" s="11" t="str">
        <x:v>Office Supplies</x:v>
      </x:c>
      <x:c r="G165" s="11" t="str">
        <x:v>Notebook pack</x:v>
      </x:c>
      <x:c r="H165" s="11" t="n">
        <x:v>4</x:v>
      </x:c>
      <x:c r="I165" s="19" t="n">
        <x:v>0</x:v>
      </x:c>
      <x:c r="J165" s="11" t="n">
        <x:v>0</x:v>
      </x:c>
      <x:c r="K165" s="20" t="n">
        <x:v>72</x:v>
      </x:c>
      <x:c r="L165" s="20" t="n">
        <x:v>0</x:v>
      </x:c>
      <x:c r="M165" s="20" t="n">
        <x:v>28</x:v>
      </x:c>
      <x:c r="N165" s="20" t="n">
        <x:f>IF(J165=1,0,K165-L165)</x:f>
        <x:v>72</x:v>
      </x:c>
      <x:c r="O165" s="20" t="n">
        <x:f>N165-M165</x:f>
        <x:v>44</x:v>
      </x:c>
    </x:row>
    <x:row r="166" ht="22" customHeight="1">
      <x:c r="A166" s="11" t="n">
        <x:v>162</x:v>
      </x:c>
      <x:c r="B166" s="11" t="n">
        <x:v>78</x:v>
      </x:c>
      <x:c r="C166" s="18" t="n">
        <x:v>45837</x:v>
      </x:c>
      <x:c r="D166" s="11" t="str">
        <x:v>2025-06</x:v>
      </x:c>
      <x:c r="E166" s="11" t="str">
        <x:v>South</x:v>
      </x:c>
      <x:c r="F166" s="11" t="str">
        <x:v>Technology</x:v>
      </x:c>
      <x:c r="G166" s="11" t="str">
        <x:v>Monitor</x:v>
      </x:c>
      <x:c r="H166" s="11" t="n">
        <x:v>4</x:v>
      </x:c>
      <x:c r="I166" s="19" t="n">
        <x:v>0</x:v>
      </x:c>
      <x:c r="J166" s="11" t="n">
        <x:v>0</x:v>
      </x:c>
      <x:c r="K166" s="20" t="n">
        <x:v>960</x:v>
      </x:c>
      <x:c r="L166" s="20" t="n">
        <x:v>0</x:v>
      </x:c>
      <x:c r="M166" s="20" t="n">
        <x:v>640</x:v>
      </x:c>
      <x:c r="N166" s="20" t="n">
        <x:f>IF(J166=1,0,K166-L166)</x:f>
        <x:v>960</x:v>
      </x:c>
      <x:c r="O166" s="20" t="n">
        <x:f>N166-M166</x:f>
        <x:v>320</x:v>
      </x:c>
    </x:row>
    <x:row r="167" ht="22" customHeight="1">
      <x:c r="A167" s="11" t="n">
        <x:v>163</x:v>
      </x:c>
      <x:c r="B167" s="11" t="n">
        <x:v>78</x:v>
      </x:c>
      <x:c r="C167" s="18" t="n">
        <x:v>45837</x:v>
      </x:c>
      <x:c r="D167" s="11" t="str">
        <x:v>2025-06</x:v>
      </x:c>
      <x:c r="E167" s="11" t="str">
        <x:v>South</x:v>
      </x:c>
      <x:c r="F167" s="11" t="str">
        <x:v>Furniture</x:v>
      </x:c>
      <x:c r="G167" s="11" t="str">
        <x:v>Desk</x:v>
      </x:c>
      <x:c r="H167" s="11" t="n">
        <x:v>5</x:v>
      </x:c>
      <x:c r="I167" s="19" t="n">
        <x:v>0.25</x:v>
      </x:c>
      <x:c r="J167" s="11" t="n">
        <x:v>0</x:v>
      </x:c>
      <x:c r="K167" s="20" t="n">
        <x:v>1400</x:v>
      </x:c>
      <x:c r="L167" s="20" t="n">
        <x:v>350</x:v>
      </x:c>
      <x:c r="M167" s="20" t="n">
        <x:v>950</x:v>
      </x:c>
      <x:c r="N167" s="20" t="n">
        <x:f>IF(J167=1,0,K167-L167)</x:f>
        <x:v>1050</x:v>
      </x:c>
      <x:c r="O167" s="20" t="n">
        <x:f>N167-M167</x:f>
        <x:v>100</x:v>
      </x:c>
    </x:row>
    <x:row r="168" ht="22" customHeight="1">
      <x:c r="A168" s="11" t="n">
        <x:v>164</x:v>
      </x:c>
      <x:c r="B168" s="11" t="n">
        <x:v>79</x:v>
      </x:c>
      <x:c r="C168" s="18" t="n">
        <x:v>46018</x:v>
      </x:c>
      <x:c r="D168" s="11" t="str">
        <x:v>2025-12</x:v>
      </x:c>
      <x:c r="E168" s="11" t="str">
        <x:v>West</x:v>
      </x:c>
      <x:c r="F168" s="11" t="str">
        <x:v>Furniture</x:v>
      </x:c>
      <x:c r="G168" s="11" t="str">
        <x:v>Desk</x:v>
      </x:c>
      <x:c r="H168" s="11" t="n">
        <x:v>1</x:v>
      </x:c>
      <x:c r="I168" s="19" t="n">
        <x:v>0.15</x:v>
      </x:c>
      <x:c r="J168" s="11" t="n">
        <x:v>0</x:v>
      </x:c>
      <x:c r="K168" s="20" t="n">
        <x:v>280</x:v>
      </x:c>
      <x:c r="L168" s="20" t="n">
        <x:v>42</x:v>
      </x:c>
      <x:c r="M168" s="20" t="n">
        <x:v>190</x:v>
      </x:c>
      <x:c r="N168" s="20" t="n">
        <x:f>IF(J168=1,0,K168-L168)</x:f>
        <x:v>238</x:v>
      </x:c>
      <x:c r="O168" s="20" t="n">
        <x:f>N168-M168</x:f>
        <x:v>48</x:v>
      </x:c>
    </x:row>
    <x:row r="169" ht="22" customHeight="1">
      <x:c r="A169" s="11" t="n">
        <x:v>165</x:v>
      </x:c>
      <x:c r="B169" s="11" t="n">
        <x:v>79</x:v>
      </x:c>
      <x:c r="C169" s="18" t="n">
        <x:v>46018</x:v>
      </x:c>
      <x:c r="D169" s="11" t="str">
        <x:v>2025-12</x:v>
      </x:c>
      <x:c r="E169" s="11" t="str">
        <x:v>West</x:v>
      </x:c>
      <x:c r="F169" s="11" t="str">
        <x:v>Technology</x:v>
      </x:c>
      <x:c r="G169" s="11" t="str">
        <x:v>Keyboard</x:v>
      </x:c>
      <x:c r="H169" s="11" t="n">
        <x:v>5</x:v>
      </x:c>
      <x:c r="I169" s="19" t="n">
        <x:v>0.1</x:v>
      </x:c>
      <x:c r="J169" s="11" t="n">
        <x:v>0</x:v>
      </x:c>
      <x:c r="K169" s="20" t="n">
        <x:v>325</x:v>
      </x:c>
      <x:c r="L169" s="20" t="n">
        <x:v>32.5</x:v>
      </x:c>
      <x:c r="M169" s="20" t="n">
        <x:v>160</x:v>
      </x:c>
      <x:c r="N169" s="20" t="n">
        <x:f>IF(J169=1,0,K169-L169)</x:f>
        <x:v>292.5</x:v>
      </x:c>
      <x:c r="O169" s="20" t="n">
        <x:f>N169-M169</x:f>
        <x:v>132.5</x:v>
      </x:c>
    </x:row>
    <x:row r="170" ht="22" customHeight="1">
      <x:c r="A170" s="11" t="n">
        <x:v>166</x:v>
      </x:c>
      <x:c r="B170" s="11" t="n">
        <x:v>80</x:v>
      </x:c>
      <x:c r="C170" s="18" t="n">
        <x:v>45662</x:v>
      </x:c>
      <x:c r="D170" s="11" t="str">
        <x:v>2025-01</x:v>
      </x:c>
      <x:c r="E170" s="11" t="str">
        <x:v>East</x:v>
      </x:c>
      <x:c r="F170" s="11" t="str">
        <x:v>Furniture</x:v>
      </x:c>
      <x:c r="G170" s="11" t="str">
        <x:v>Chair</x:v>
      </x:c>
      <x:c r="H170" s="11" t="n">
        <x:v>4</x:v>
      </x:c>
      <x:c r="I170" s="19" t="n">
        <x:v>0.25</x:v>
      </x:c>
      <x:c r="J170" s="11" t="n">
        <x:v>0</x:v>
      </x:c>
      <x:c r="K170" s="20" t="n">
        <x:v>680</x:v>
      </x:c>
      <x:c r="L170" s="20" t="n">
        <x:v>170</x:v>
      </x:c>
      <x:c r="M170" s="20" t="n">
        <x:v>440</x:v>
      </x:c>
      <x:c r="N170" s="20" t="n">
        <x:f>IF(J170=1,0,K170-L170)</x:f>
        <x:v>510</x:v>
      </x:c>
      <x:c r="O170" s="20" t="n">
        <x:f>N170-M170</x:f>
        <x:v>70</x:v>
      </x:c>
    </x:row>
    <x:row r="171" ht="22" customHeight="1">
      <x:c r="A171" s="11" t="n">
        <x:v>167</x:v>
      </x:c>
      <x:c r="B171" s="11" t="n">
        <x:v>81</x:v>
      </x:c>
      <x:c r="C171" s="18" t="n">
        <x:v>45697</x:v>
      </x:c>
      <x:c r="D171" s="11" t="str">
        <x:v>2025-02</x:v>
      </x:c>
      <x:c r="E171" s="11" t="str">
        <x:v>East</x:v>
      </x:c>
      <x:c r="F171" s="11" t="str">
        <x:v>Technology</x:v>
      </x:c>
      <x:c r="G171" s="11" t="str">
        <x:v>Monitor</x:v>
      </x:c>
      <x:c r="H171" s="11" t="n">
        <x:v>2</x:v>
      </x:c>
      <x:c r="I171" s="19" t="n">
        <x:v>0</x:v>
      </x:c>
      <x:c r="J171" s="11" t="n">
        <x:v>0</x:v>
      </x:c>
      <x:c r="K171" s="20" t="n">
        <x:v>480</x:v>
      </x:c>
      <x:c r="L171" s="20" t="n">
        <x:v>0</x:v>
      </x:c>
      <x:c r="M171" s="20" t="n">
        <x:v>320</x:v>
      </x:c>
      <x:c r="N171" s="20" t="n">
        <x:f>IF(J171=1,0,K171-L171)</x:f>
        <x:v>480</x:v>
      </x:c>
      <x:c r="O171" s="20" t="n">
        <x:f>N171-M171</x:f>
        <x:v>160</x:v>
      </x:c>
    </x:row>
    <x:row r="172" ht="22" customHeight="1">
      <x:c r="A172" s="11" t="n">
        <x:v>168</x:v>
      </x:c>
      <x:c r="B172" s="11" t="n">
        <x:v>82</x:v>
      </x:c>
      <x:c r="C172" s="18" t="n">
        <x:v>45408</x:v>
      </x:c>
      <x:c r="D172" s="11" t="str">
        <x:v>2024-04</x:v>
      </x:c>
      <x:c r="E172" s="11" t="str">
        <x:v>East</x:v>
      </x:c>
      <x:c r="F172" s="11" t="str">
        <x:v>Technology</x:v>
      </x:c>
      <x:c r="G172" s="11" t="str">
        <x:v>Monitor</x:v>
      </x:c>
      <x:c r="H172" s="11" t="n">
        <x:v>2</x:v>
      </x:c>
      <x:c r="I172" s="19" t="n">
        <x:v>0</x:v>
      </x:c>
      <x:c r="J172" s="11" t="n">
        <x:v>0</x:v>
      </x:c>
      <x:c r="K172" s="20" t="n">
        <x:v>480</x:v>
      </x:c>
      <x:c r="L172" s="20" t="n">
        <x:v>0</x:v>
      </x:c>
      <x:c r="M172" s="20" t="n">
        <x:v>320</x:v>
      </x:c>
      <x:c r="N172" s="20" t="n">
        <x:f>IF(J172=1,0,K172-L172)</x:f>
        <x:v>480</x:v>
      </x:c>
      <x:c r="O172" s="20" t="n">
        <x:f>N172-M172</x:f>
        <x:v>160</x:v>
      </x:c>
    </x:row>
    <x:row r="173" ht="22" customHeight="1">
      <x:c r="A173" s="11" t="n">
        <x:v>169</x:v>
      </x:c>
      <x:c r="B173" s="11" t="n">
        <x:v>82</x:v>
      </x:c>
      <x:c r="C173" s="18" t="n">
        <x:v>45408</x:v>
      </x:c>
      <x:c r="D173" s="11" t="str">
        <x:v>2024-04</x:v>
      </x:c>
      <x:c r="E173" s="11" t="str">
        <x:v>East</x:v>
      </x:c>
      <x:c r="F173" s="11" t="str">
        <x:v>Furniture</x:v>
      </x:c>
      <x:c r="G173" s="11" t="str">
        <x:v>Chair</x:v>
      </x:c>
      <x:c r="H173" s="11" t="n">
        <x:v>2</x:v>
      </x:c>
      <x:c r="I173" s="19" t="n">
        <x:v>0</x:v>
      </x:c>
      <x:c r="J173" s="11" t="n">
        <x:v>0</x:v>
      </x:c>
      <x:c r="K173" s="20" t="n">
        <x:v>340</x:v>
      </x:c>
      <x:c r="L173" s="20" t="n">
        <x:v>0</x:v>
      </x:c>
      <x:c r="M173" s="20" t="n">
        <x:v>220</x:v>
      </x:c>
      <x:c r="N173" s="20" t="n">
        <x:f>IF(J173=1,0,K173-L173)</x:f>
        <x:v>340</x:v>
      </x:c>
      <x:c r="O173" s="20" t="n">
        <x:f>N173-M173</x:f>
        <x:v>120</x:v>
      </x:c>
    </x:row>
    <x:row r="174" ht="22" customHeight="1">
      <x:c r="A174" s="11" t="n">
        <x:v>170</x:v>
      </x:c>
      <x:c r="B174" s="11" t="n">
        <x:v>83</x:v>
      </x:c>
      <x:c r="C174" s="18" t="n">
        <x:v>45963</x:v>
      </x:c>
      <x:c r="D174" s="11" t="str">
        <x:v>2025-11</x:v>
      </x:c>
      <x:c r="E174" s="11" t="str">
        <x:v>South</x:v>
      </x:c>
      <x:c r="F174" s="11" t="str">
        <x:v>Technology</x:v>
      </x:c>
      <x:c r="G174" s="11" t="str">
        <x:v>Keyboard</x:v>
      </x:c>
      <x:c r="H174" s="11" t="n">
        <x:v>5</x:v>
      </x:c>
      <x:c r="I174" s="19" t="n">
        <x:v>0.15</x:v>
      </x:c>
      <x:c r="J174" s="11" t="n">
        <x:v>0</x:v>
      </x:c>
      <x:c r="K174" s="20" t="n">
        <x:v>325</x:v>
      </x:c>
      <x:c r="L174" s="20" t="n">
        <x:v>48.75</x:v>
      </x:c>
      <x:c r="M174" s="20" t="n">
        <x:v>160</x:v>
      </x:c>
      <x:c r="N174" s="20" t="n">
        <x:f>IF(J174=1,0,K174-L174)</x:f>
        <x:v>276.25</x:v>
      </x:c>
      <x:c r="O174" s="20" t="n">
        <x:f>N174-M174</x:f>
        <x:v>116.25</x:v>
      </x:c>
    </x:row>
    <x:row r="175" ht="22" customHeight="1">
      <x:c r="A175" s="11" t="n">
        <x:v>171</x:v>
      </x:c>
      <x:c r="B175" s="11" t="n">
        <x:v>83</x:v>
      </x:c>
      <x:c r="C175" s="18" t="n">
        <x:v>45963</x:v>
      </x:c>
      <x:c r="D175" s="11" t="str">
        <x:v>2025-11</x:v>
      </x:c>
      <x:c r="E175" s="11" t="str">
        <x:v>South</x:v>
      </x:c>
      <x:c r="F175" s="11" t="str">
        <x:v>Office Supplies</x:v>
      </x:c>
      <x:c r="G175" s="11" t="str">
        <x:v>Storage box</x:v>
      </x:c>
      <x:c r="H175" s="11" t="n">
        <x:v>3</x:v>
      </x:c>
      <x:c r="I175" s="19" t="n">
        <x:v>0</x:v>
      </x:c>
      <x:c r="J175" s="11" t="n">
        <x:v>0</x:v>
      </x:c>
      <x:c r="K175" s="20" t="n">
        <x:v>78</x:v>
      </x:c>
      <x:c r="L175" s="20" t="n">
        <x:v>0</x:v>
      </x:c>
      <x:c r="M175" s="20" t="n">
        <x:v>36</x:v>
      </x:c>
      <x:c r="N175" s="20" t="n">
        <x:f>IF(J175=1,0,K175-L175)</x:f>
        <x:v>78</x:v>
      </x:c>
      <x:c r="O175" s="20" t="n">
        <x:f>N175-M175</x:f>
        <x:v>42</x:v>
      </x:c>
    </x:row>
    <x:row r="176" ht="22" customHeight="1">
      <x:c r="A176" s="11" t="n">
        <x:v>172</x:v>
      </x:c>
      <x:c r="B176" s="11" t="n">
        <x:v>83</x:v>
      </x:c>
      <x:c r="C176" s="18" t="n">
        <x:v>45963</x:v>
      </x:c>
      <x:c r="D176" s="11" t="str">
        <x:v>2025-11</x:v>
      </x:c>
      <x:c r="E176" s="11" t="str">
        <x:v>South</x:v>
      </x:c>
      <x:c r="F176" s="11" t="str">
        <x:v>Office Supplies</x:v>
      </x:c>
      <x:c r="G176" s="11" t="str">
        <x:v>Notebook pack</x:v>
      </x:c>
      <x:c r="H176" s="11" t="n">
        <x:v>4</x:v>
      </x:c>
      <x:c r="I176" s="19" t="n">
        <x:v>0.1</x:v>
      </x:c>
      <x:c r="J176" s="11" t="n">
        <x:v>0</x:v>
      </x:c>
      <x:c r="K176" s="20" t="n">
        <x:v>72</x:v>
      </x:c>
      <x:c r="L176" s="20" t="n">
        <x:v>7.2</x:v>
      </x:c>
      <x:c r="M176" s="20" t="n">
        <x:v>28</x:v>
      </x:c>
      <x:c r="N176" s="20" t="n">
        <x:f>IF(J176=1,0,K176-L176)</x:f>
        <x:v>64.8</x:v>
      </x:c>
      <x:c r="O176" s="20" t="n">
        <x:f>N176-M176</x:f>
        <x:v>36.8</x:v>
      </x:c>
    </x:row>
    <x:row r="177" ht="22" customHeight="1">
      <x:c r="A177" s="11" t="n">
        <x:v>173</x:v>
      </x:c>
      <x:c r="B177" s="11" t="n">
        <x:v>84</x:v>
      </x:c>
      <x:c r="C177" s="18" t="n">
        <x:v>45573</x:v>
      </x:c>
      <x:c r="D177" s="11" t="str">
        <x:v>2024-10</x:v>
      </x:c>
      <x:c r="E177" s="11" t="str">
        <x:v>East</x:v>
      </x:c>
      <x:c r="F177" s="11" t="str">
        <x:v>Office Supplies</x:v>
      </x:c>
      <x:c r="G177" s="11" t="str">
        <x:v>Notebook pack</x:v>
      </x:c>
      <x:c r="H177" s="11" t="n">
        <x:v>3</x:v>
      </x:c>
      <x:c r="I177" s="19" t="n">
        <x:v>0.1</x:v>
      </x:c>
      <x:c r="J177" s="11" t="n">
        <x:v>0</x:v>
      </x:c>
      <x:c r="K177" s="20" t="n">
        <x:v>54</x:v>
      </x:c>
      <x:c r="L177" s="20" t="n">
        <x:v>5.4</x:v>
      </x:c>
      <x:c r="M177" s="20" t="n">
        <x:v>21</x:v>
      </x:c>
      <x:c r="N177" s="20" t="n">
        <x:f>IF(J177=1,0,K177-L177)</x:f>
        <x:v>48.6</x:v>
      </x:c>
      <x:c r="O177" s="20" t="n">
        <x:f>N177-M177</x:f>
        <x:v>27.6</x:v>
      </x:c>
    </x:row>
    <x:row r="178" ht="22" customHeight="1">
      <x:c r="A178" s="11" t="n">
        <x:v>174</x:v>
      </x:c>
      <x:c r="B178" s="11" t="n">
        <x:v>84</x:v>
      </x:c>
      <x:c r="C178" s="18" t="n">
        <x:v>45573</x:v>
      </x:c>
      <x:c r="D178" s="11" t="str">
        <x:v>2024-10</x:v>
      </x:c>
      <x:c r="E178" s="11" t="str">
        <x:v>East</x:v>
      </x:c>
      <x:c r="F178" s="11" t="str">
        <x:v>Furniture</x:v>
      </x:c>
      <x:c r="G178" s="11" t="str">
        <x:v>Desk</x:v>
      </x:c>
      <x:c r="H178" s="11" t="n">
        <x:v>1</x:v>
      </x:c>
      <x:c r="I178" s="19" t="n">
        <x:v>0.15</x:v>
      </x:c>
      <x:c r="J178" s="11" t="n">
        <x:v>0</x:v>
      </x:c>
      <x:c r="K178" s="20" t="n">
        <x:v>280</x:v>
      </x:c>
      <x:c r="L178" s="20" t="n">
        <x:v>42</x:v>
      </x:c>
      <x:c r="M178" s="20" t="n">
        <x:v>190</x:v>
      </x:c>
      <x:c r="N178" s="20" t="n">
        <x:f>IF(J178=1,0,K178-L178)</x:f>
        <x:v>238</x:v>
      </x:c>
      <x:c r="O178" s="20" t="n">
        <x:f>N178-M178</x:f>
        <x:v>48</x:v>
      </x:c>
    </x:row>
    <x:row r="179" ht="22" customHeight="1">
      <x:c r="A179" s="11" t="n">
        <x:v>175</x:v>
      </x:c>
      <x:c r="B179" s="11" t="n">
        <x:v>85</x:v>
      </x:c>
      <x:c r="C179" s="18" t="n">
        <x:v>45370</x:v>
      </x:c>
      <x:c r="D179" s="11" t="str">
        <x:v>2024-03</x:v>
      </x:c>
      <x:c r="E179" s="11" t="str">
        <x:v>South</x:v>
      </x:c>
      <x:c r="F179" s="11" t="str">
        <x:v>Office Supplies</x:v>
      </x:c>
      <x:c r="G179" s="11" t="str">
        <x:v>Notebook pack</x:v>
      </x:c>
      <x:c r="H179" s="11" t="n">
        <x:v>4</x:v>
      </x:c>
      <x:c r="I179" s="19" t="n">
        <x:v>0.15</x:v>
      </x:c>
      <x:c r="J179" s="11" t="n">
        <x:v>0</x:v>
      </x:c>
      <x:c r="K179" s="20" t="n">
        <x:v>72</x:v>
      </x:c>
      <x:c r="L179" s="20" t="n">
        <x:v>10.8</x:v>
      </x:c>
      <x:c r="M179" s="20" t="n">
        <x:v>28</x:v>
      </x:c>
      <x:c r="N179" s="20" t="n">
        <x:f>IF(J179=1,0,K179-L179)</x:f>
        <x:v>61.2</x:v>
      </x:c>
      <x:c r="O179" s="20" t="n">
        <x:f>N179-M179</x:f>
        <x:v>33.2</x:v>
      </x:c>
    </x:row>
    <x:row r="180" ht="22" customHeight="1">
      <x:c r="A180" s="11" t="n">
        <x:v>176</x:v>
      </x:c>
      <x:c r="B180" s="11" t="n">
        <x:v>85</x:v>
      </x:c>
      <x:c r="C180" s="18" t="n">
        <x:v>45370</x:v>
      </x:c>
      <x:c r="D180" s="11" t="str">
        <x:v>2024-03</x:v>
      </x:c>
      <x:c r="E180" s="11" t="str">
        <x:v>South</x:v>
      </x:c>
      <x:c r="F180" s="11" t="str">
        <x:v>Office Supplies</x:v>
      </x:c>
      <x:c r="G180" s="11" t="str">
        <x:v>Storage box</x:v>
      </x:c>
      <x:c r="H180" s="11" t="n">
        <x:v>1</x:v>
      </x:c>
      <x:c r="I180" s="19" t="n">
        <x:v>0.1</x:v>
      </x:c>
      <x:c r="J180" s="11" t="n">
        <x:v>0</x:v>
      </x:c>
      <x:c r="K180" s="20" t="n">
        <x:v>26</x:v>
      </x:c>
      <x:c r="L180" s="20" t="n">
        <x:v>2.6</x:v>
      </x:c>
      <x:c r="M180" s="20" t="n">
        <x:v>12</x:v>
      </x:c>
      <x:c r="N180" s="20" t="n">
        <x:f>IF(J180=1,0,K180-L180)</x:f>
        <x:v>23.4</x:v>
      </x:c>
      <x:c r="O180" s="20" t="n">
        <x:f>N180-M180</x:f>
        <x:v>11.399999999999999</x:v>
      </x:c>
    </x:row>
    <x:row r="181" ht="22" customHeight="1">
      <x:c r="A181" s="11" t="n">
        <x:v>177</x:v>
      </x:c>
      <x:c r="B181" s="11" t="n">
        <x:v>85</x:v>
      </x:c>
      <x:c r="C181" s="18" t="n">
        <x:v>45370</x:v>
      </x:c>
      <x:c r="D181" s="11" t="str">
        <x:v>2024-03</x:v>
      </x:c>
      <x:c r="E181" s="11" t="str">
        <x:v>South</x:v>
      </x:c>
      <x:c r="F181" s="11" t="str">
        <x:v>Technology</x:v>
      </x:c>
      <x:c r="G181" s="11" t="str">
        <x:v>Keyboard</x:v>
      </x:c>
      <x:c r="H181" s="11" t="n">
        <x:v>5</x:v>
      </x:c>
      <x:c r="I181" s="19" t="n">
        <x:v>0</x:v>
      </x:c>
      <x:c r="J181" s="11" t="n">
        <x:v>0</x:v>
      </x:c>
      <x:c r="K181" s="20" t="n">
        <x:v>325</x:v>
      </x:c>
      <x:c r="L181" s="20" t="n">
        <x:v>0</x:v>
      </x:c>
      <x:c r="M181" s="20" t="n">
        <x:v>160</x:v>
      </x:c>
      <x:c r="N181" s="20" t="n">
        <x:f>IF(J181=1,0,K181-L181)</x:f>
        <x:v>325</x:v>
      </x:c>
      <x:c r="O181" s="20" t="n">
        <x:f>N181-M181</x:f>
        <x:v>165</x:v>
      </x:c>
    </x:row>
    <x:row r="182" ht="22" customHeight="1">
      <x:c r="A182" s="11" t="n">
        <x:v>178</x:v>
      </x:c>
      <x:c r="B182" s="11" t="n">
        <x:v>86</x:v>
      </x:c>
      <x:c r="C182" s="18" t="n">
        <x:v>45779</x:v>
      </x:c>
      <x:c r="D182" s="11" t="str">
        <x:v>2025-05</x:v>
      </x:c>
      <x:c r="E182" s="11" t="str">
        <x:v>South</x:v>
      </x:c>
      <x:c r="F182" s="11" t="str">
        <x:v>Technology</x:v>
      </x:c>
      <x:c r="G182" s="11" t="str">
        <x:v>Keyboard</x:v>
      </x:c>
      <x:c r="H182" s="11" t="n">
        <x:v>1</x:v>
      </x:c>
      <x:c r="I182" s="19" t="n">
        <x:v>0.05</x:v>
      </x:c>
      <x:c r="J182" s="11" t="n">
        <x:v>0</x:v>
      </x:c>
      <x:c r="K182" s="20" t="n">
        <x:v>65</x:v>
      </x:c>
      <x:c r="L182" s="20" t="n">
        <x:v>3.25</x:v>
      </x:c>
      <x:c r="M182" s="20" t="n">
        <x:v>32</x:v>
      </x:c>
      <x:c r="N182" s="20" t="n">
        <x:f>IF(J182=1,0,K182-L182)</x:f>
        <x:v>61.75</x:v>
      </x:c>
      <x:c r="O182" s="20" t="n">
        <x:f>N182-M182</x:f>
        <x:v>29.75</x:v>
      </x:c>
    </x:row>
    <x:row r="183" ht="22" customHeight="1">
      <x:c r="A183" s="11" t="n">
        <x:v>179</x:v>
      </x:c>
      <x:c r="B183" s="11" t="n">
        <x:v>87</x:v>
      </x:c>
      <x:c r="C183" s="18" t="n">
        <x:v>45378</x:v>
      </x:c>
      <x:c r="D183" s="11" t="str">
        <x:v>2024-03</x:v>
      </x:c>
      <x:c r="E183" s="11" t="str">
        <x:v>East</x:v>
      </x:c>
      <x:c r="F183" s="11" t="str">
        <x:v>Furniture</x:v>
      </x:c>
      <x:c r="G183" s="11" t="str">
        <x:v>Chair</x:v>
      </x:c>
      <x:c r="H183" s="11" t="n">
        <x:v>4</x:v>
      </x:c>
      <x:c r="I183" s="19" t="n">
        <x:v>0.35</x:v>
      </x:c>
      <x:c r="J183" s="11" t="n">
        <x:v>0</x:v>
      </x:c>
      <x:c r="K183" s="20" t="n">
        <x:v>680</x:v>
      </x:c>
      <x:c r="L183" s="20" t="n">
        <x:v>238</x:v>
      </x:c>
      <x:c r="M183" s="20" t="n">
        <x:v>440</x:v>
      </x:c>
      <x:c r="N183" s="20" t="n">
        <x:f>IF(J183=1,0,K183-L183)</x:f>
        <x:v>442</x:v>
      </x:c>
      <x:c r="O183" s="20" t="n">
        <x:f>N183-M183</x:f>
        <x:v>2</x:v>
      </x:c>
    </x:row>
    <x:row r="184" ht="22" customHeight="1">
      <x:c r="A184" s="11" t="n">
        <x:v>180</x:v>
      </x:c>
      <x:c r="B184" s="11" t="n">
        <x:v>88</x:v>
      </x:c>
      <x:c r="C184" s="18" t="n">
        <x:v>45916</x:v>
      </x:c>
      <x:c r="D184" s="11" t="str">
        <x:v>2025-09</x:v>
      </x:c>
      <x:c r="E184" s="11" t="str">
        <x:v>South</x:v>
      </x:c>
      <x:c r="F184" s="11" t="str">
        <x:v>Technology</x:v>
      </x:c>
      <x:c r="G184" s="11" t="str">
        <x:v>Monitor</x:v>
      </x:c>
      <x:c r="H184" s="11" t="n">
        <x:v>4</x:v>
      </x:c>
      <x:c r="I184" s="19" t="n">
        <x:v>0.05</x:v>
      </x:c>
      <x:c r="J184" s="11" t="n">
        <x:v>0</x:v>
      </x:c>
      <x:c r="K184" s="20" t="n">
        <x:v>960</x:v>
      </x:c>
      <x:c r="L184" s="20" t="n">
        <x:v>48</x:v>
      </x:c>
      <x:c r="M184" s="20" t="n">
        <x:v>640</x:v>
      </x:c>
      <x:c r="N184" s="20" t="n">
        <x:f>IF(J184=1,0,K184-L184)</x:f>
        <x:v>912</x:v>
      </x:c>
      <x:c r="O184" s="20" t="n">
        <x:f>N184-M184</x:f>
        <x:v>272</x:v>
      </x:c>
    </x:row>
    <x:row r="185" ht="22" customHeight="1">
      <x:c r="A185" s="11" t="n">
        <x:v>181</x:v>
      </x:c>
      <x:c r="B185" s="11" t="n">
        <x:v>88</x:v>
      </x:c>
      <x:c r="C185" s="18" t="n">
        <x:v>45916</x:v>
      </x:c>
      <x:c r="D185" s="11" t="str">
        <x:v>2025-09</x:v>
      </x:c>
      <x:c r="E185" s="11" t="str">
        <x:v>South</x:v>
      </x:c>
      <x:c r="F185" s="11" t="str">
        <x:v>Technology</x:v>
      </x:c>
      <x:c r="G185" s="11" t="str">
        <x:v>Keyboard</x:v>
      </x:c>
      <x:c r="H185" s="11" t="n">
        <x:v>1</x:v>
      </x:c>
      <x:c r="I185" s="19" t="n">
        <x:v>0.05</x:v>
      </x:c>
      <x:c r="J185" s="11" t="n">
        <x:v>0</x:v>
      </x:c>
      <x:c r="K185" s="20" t="n">
        <x:v>65</x:v>
      </x:c>
      <x:c r="L185" s="20" t="n">
        <x:v>3.25</x:v>
      </x:c>
      <x:c r="M185" s="20" t="n">
        <x:v>32</x:v>
      </x:c>
      <x:c r="N185" s="20" t="n">
        <x:f>IF(J185=1,0,K185-L185)</x:f>
        <x:v>61.75</x:v>
      </x:c>
      <x:c r="O185" s="20" t="n">
        <x:f>N185-M185</x:f>
        <x:v>29.75</x:v>
      </x:c>
    </x:row>
    <x:row r="186" ht="22" customHeight="1">
      <x:c r="A186" s="11" t="n">
        <x:v>182</x:v>
      </x:c>
      <x:c r="B186" s="11" t="n">
        <x:v>89</x:v>
      </x:c>
      <x:c r="C186" s="18" t="n">
        <x:v>45388</x:v>
      </x:c>
      <x:c r="D186" s="11" t="str">
        <x:v>2024-04</x:v>
      </x:c>
      <x:c r="E186" s="11" t="str">
        <x:v>South</x:v>
      </x:c>
      <x:c r="F186" s="11" t="str">
        <x:v>Technology</x:v>
      </x:c>
      <x:c r="G186" s="11" t="str">
        <x:v>Monitor</x:v>
      </x:c>
      <x:c r="H186" s="11" t="n">
        <x:v>2</x:v>
      </x:c>
      <x:c r="I186" s="19" t="n">
        <x:v>0.05</x:v>
      </x:c>
      <x:c r="J186" s="11" t="n">
        <x:v>0</x:v>
      </x:c>
      <x:c r="K186" s="20" t="n">
        <x:v>480</x:v>
      </x:c>
      <x:c r="L186" s="20" t="n">
        <x:v>24</x:v>
      </x:c>
      <x:c r="M186" s="20" t="n">
        <x:v>320</x:v>
      </x:c>
      <x:c r="N186" s="20" t="n">
        <x:f>IF(J186=1,0,K186-L186)</x:f>
        <x:v>456</x:v>
      </x:c>
      <x:c r="O186" s="20" t="n">
        <x:f>N186-M186</x:f>
        <x:v>136</x:v>
      </x:c>
    </x:row>
    <x:row r="187" ht="22" customHeight="1">
      <x:c r="A187" s="11" t="n">
        <x:v>183</x:v>
      </x:c>
      <x:c r="B187" s="11" t="n">
        <x:v>89</x:v>
      </x:c>
      <x:c r="C187" s="18" t="n">
        <x:v>45388</x:v>
      </x:c>
      <x:c r="D187" s="11" t="str">
        <x:v>2024-04</x:v>
      </x:c>
      <x:c r="E187" s="11" t="str">
        <x:v>South</x:v>
      </x:c>
      <x:c r="F187" s="11" t="str">
        <x:v>Office Supplies</x:v>
      </x:c>
      <x:c r="G187" s="11" t="str">
        <x:v>Notebook pack</x:v>
      </x:c>
      <x:c r="H187" s="11" t="n">
        <x:v>2</x:v>
      </x:c>
      <x:c r="I187" s="19" t="n">
        <x:v>0.05</x:v>
      </x:c>
      <x:c r="J187" s="11" t="n">
        <x:v>0</x:v>
      </x:c>
      <x:c r="K187" s="20" t="n">
        <x:v>36</x:v>
      </x:c>
      <x:c r="L187" s="20" t="n">
        <x:v>1.8</x:v>
      </x:c>
      <x:c r="M187" s="20" t="n">
        <x:v>14</x:v>
      </x:c>
      <x:c r="N187" s="20" t="n">
        <x:f>IF(J187=1,0,K187-L187)</x:f>
        <x:v>34.2</x:v>
      </x:c>
      <x:c r="O187" s="20" t="n">
        <x:f>N187-M187</x:f>
        <x:v>20.200000000000003</x:v>
      </x:c>
    </x:row>
    <x:row r="188" ht="22" customHeight="1">
      <x:c r="A188" s="11" t="n">
        <x:v>184</x:v>
      </x:c>
      <x:c r="B188" s="11" t="n">
        <x:v>90</x:v>
      </x:c>
      <x:c r="C188" s="18" t="n">
        <x:v>45963</x:v>
      </x:c>
      <x:c r="D188" s="11" t="str">
        <x:v>2025-11</x:v>
      </x:c>
      <x:c r="E188" s="11" t="str">
        <x:v>East</x:v>
      </x:c>
      <x:c r="F188" s="11" t="str">
        <x:v>Office Supplies</x:v>
      </x:c>
      <x:c r="G188" s="11" t="str">
        <x:v>Notebook pack</x:v>
      </x:c>
      <x:c r="H188" s="11" t="n">
        <x:v>1</x:v>
      </x:c>
      <x:c r="I188" s="19" t="n">
        <x:v>0.05</x:v>
      </x:c>
      <x:c r="J188" s="11" t="n">
        <x:v>0</x:v>
      </x:c>
      <x:c r="K188" s="20" t="n">
        <x:v>18</x:v>
      </x:c>
      <x:c r="L188" s="20" t="n">
        <x:v>0.9</x:v>
      </x:c>
      <x:c r="M188" s="20" t="n">
        <x:v>7</x:v>
      </x:c>
      <x:c r="N188" s="20" t="n">
        <x:f>IF(J188=1,0,K188-L188)</x:f>
        <x:v>17.1</x:v>
      </x:c>
      <x:c r="O188" s="20" t="n">
        <x:f>N188-M188</x:f>
        <x:v>10.100000000000001</x:v>
      </x:c>
    </x:row>
    <x:row r="189" ht="22" customHeight="1">
      <x:c r="A189" s="11" t="n">
        <x:v>185</x:v>
      </x:c>
      <x:c r="B189" s="11" t="n">
        <x:v>91</x:v>
      </x:c>
      <x:c r="C189" s="18" t="n">
        <x:v>45950</x:v>
      </x:c>
      <x:c r="D189" s="11" t="str">
        <x:v>2025-10</x:v>
      </x:c>
      <x:c r="E189" s="11" t="str">
        <x:v>West</x:v>
      </x:c>
      <x:c r="F189" s="11" t="str">
        <x:v>Office Supplies</x:v>
      </x:c>
      <x:c r="G189" s="11" t="str">
        <x:v>Storage box</x:v>
      </x:c>
      <x:c r="H189" s="11" t="n">
        <x:v>4</x:v>
      </x:c>
      <x:c r="I189" s="19" t="n">
        <x:v>0.15</x:v>
      </x:c>
      <x:c r="J189" s="11" t="n">
        <x:v>0</x:v>
      </x:c>
      <x:c r="K189" s="20" t="n">
        <x:v>104</x:v>
      </x:c>
      <x:c r="L189" s="20" t="n">
        <x:v>15.6</x:v>
      </x:c>
      <x:c r="M189" s="20" t="n">
        <x:v>48</x:v>
      </x:c>
      <x:c r="N189" s="20" t="n">
        <x:f>IF(J189=1,0,K189-L189)</x:f>
        <x:v>88.4</x:v>
      </x:c>
      <x:c r="O189" s="20" t="n">
        <x:f>N189-M189</x:f>
        <x:v>40.400000000000006</x:v>
      </x:c>
    </x:row>
    <x:row r="190" ht="22" customHeight="1">
      <x:c r="A190" s="11" t="n">
        <x:v>186</x:v>
      </x:c>
      <x:c r="B190" s="11" t="n">
        <x:v>91</x:v>
      </x:c>
      <x:c r="C190" s="18" t="n">
        <x:v>45950</x:v>
      </x:c>
      <x:c r="D190" s="11" t="str">
        <x:v>2025-10</x:v>
      </x:c>
      <x:c r="E190" s="11" t="str">
        <x:v>West</x:v>
      </x:c>
      <x:c r="F190" s="11" t="str">
        <x:v>Office Supplies</x:v>
      </x:c>
      <x:c r="G190" s="11" t="str">
        <x:v>Notebook pack</x:v>
      </x:c>
      <x:c r="H190" s="11" t="n">
        <x:v>3</x:v>
      </x:c>
      <x:c r="I190" s="19" t="n">
        <x:v>0.05</x:v>
      </x:c>
      <x:c r="J190" s="11" t="n">
        <x:v>0</x:v>
      </x:c>
      <x:c r="K190" s="20" t="n">
        <x:v>54</x:v>
      </x:c>
      <x:c r="L190" s="20" t="n">
        <x:v>2.7</x:v>
      </x:c>
      <x:c r="M190" s="20" t="n">
        <x:v>21</x:v>
      </x:c>
      <x:c r="N190" s="20" t="n">
        <x:f>IF(J190=1,0,K190-L190)</x:f>
        <x:v>51.3</x:v>
      </x:c>
      <x:c r="O190" s="20" t="n">
        <x:f>N190-M190</x:f>
        <x:v>30.299999999999997</x:v>
      </x:c>
    </x:row>
    <x:row r="191" ht="22" customHeight="1">
      <x:c r="A191" s="11" t="n">
        <x:v>187</x:v>
      </x:c>
      <x:c r="B191" s="11" t="n">
        <x:v>91</x:v>
      </x:c>
      <x:c r="C191" s="18" t="n">
        <x:v>45950</x:v>
      </x:c>
      <x:c r="D191" s="11" t="str">
        <x:v>2025-10</x:v>
      </x:c>
      <x:c r="E191" s="11" t="str">
        <x:v>West</x:v>
      </x:c>
      <x:c r="F191" s="11" t="str">
        <x:v>Furniture</x:v>
      </x:c>
      <x:c r="G191" s="11" t="str">
        <x:v>Desk</x:v>
      </x:c>
      <x:c r="H191" s="11" t="n">
        <x:v>2</x:v>
      </x:c>
      <x:c r="I191" s="19" t="n">
        <x:v>0.15</x:v>
      </x:c>
      <x:c r="J191" s="11" t="n">
        <x:v>0</x:v>
      </x:c>
      <x:c r="K191" s="20" t="n">
        <x:v>560</x:v>
      </x:c>
      <x:c r="L191" s="20" t="n">
        <x:v>84</x:v>
      </x:c>
      <x:c r="M191" s="20" t="n">
        <x:v>380</x:v>
      </x:c>
      <x:c r="N191" s="20" t="n">
        <x:f>IF(J191=1,0,K191-L191)</x:f>
        <x:v>476</x:v>
      </x:c>
      <x:c r="O191" s="20" t="n">
        <x:f>N191-M191</x:f>
        <x:v>96</x:v>
      </x:c>
    </x:row>
    <x:row r="192" ht="22" customHeight="1">
      <x:c r="A192" s="11" t="n">
        <x:v>188</x:v>
      </x:c>
      <x:c r="B192" s="11" t="n">
        <x:v>92</x:v>
      </x:c>
      <x:c r="C192" s="18" t="n">
        <x:v>45789</x:v>
      </x:c>
      <x:c r="D192" s="11" t="str">
        <x:v>2025-05</x:v>
      </x:c>
      <x:c r="E192" s="11" t="str">
        <x:v>East</x:v>
      </x:c>
      <x:c r="F192" s="11" t="str">
        <x:v>Furniture</x:v>
      </x:c>
      <x:c r="G192" s="11" t="str">
        <x:v>Chair</x:v>
      </x:c>
      <x:c r="H192" s="11" t="n">
        <x:v>1</x:v>
      </x:c>
      <x:c r="I192" s="19" t="n">
        <x:v>0.1</x:v>
      </x:c>
      <x:c r="J192" s="11" t="n">
        <x:v>0</x:v>
      </x:c>
      <x:c r="K192" s="20" t="n">
        <x:v>170</x:v>
      </x:c>
      <x:c r="L192" s="20" t="n">
        <x:v>17</x:v>
      </x:c>
      <x:c r="M192" s="20" t="n">
        <x:v>110</x:v>
      </x:c>
      <x:c r="N192" s="20" t="n">
        <x:f>IF(J192=1,0,K192-L192)</x:f>
        <x:v>153</x:v>
      </x:c>
      <x:c r="O192" s="20" t="n">
        <x:f>N192-M192</x:f>
        <x:v>43</x:v>
      </x:c>
    </x:row>
    <x:row r="193" ht="22" customHeight="1">
      <x:c r="A193" s="11" t="n">
        <x:v>189</x:v>
      </x:c>
      <x:c r="B193" s="11" t="n">
        <x:v>93</x:v>
      </x:c>
      <x:c r="C193" s="18" t="n">
        <x:v>45395</x:v>
      </x:c>
      <x:c r="D193" s="11" t="str">
        <x:v>2024-04</x:v>
      </x:c>
      <x:c r="E193" s="11" t="str">
        <x:v>East</x:v>
      </x:c>
      <x:c r="F193" s="11" t="str">
        <x:v>Technology</x:v>
      </x:c>
      <x:c r="G193" s="11" t="str">
        <x:v>Monitor</x:v>
      </x:c>
      <x:c r="H193" s="11" t="n">
        <x:v>5</x:v>
      </x:c>
      <x:c r="I193" s="19" t="n">
        <x:v>0.1</x:v>
      </x:c>
      <x:c r="J193" s="11" t="n">
        <x:v>0</x:v>
      </x:c>
      <x:c r="K193" s="20" t="n">
        <x:v>1200</x:v>
      </x:c>
      <x:c r="L193" s="20" t="n">
        <x:v>120</x:v>
      </x:c>
      <x:c r="M193" s="20" t="n">
        <x:v>800</x:v>
      </x:c>
      <x:c r="N193" s="20" t="n">
        <x:f>IF(J193=1,0,K193-L193)</x:f>
        <x:v>1080</x:v>
      </x:c>
      <x:c r="O193" s="20" t="n">
        <x:f>N193-M193</x:f>
        <x:v>280</x:v>
      </x:c>
    </x:row>
    <x:row r="194" ht="22" customHeight="1">
      <x:c r="A194" s="11" t="n">
        <x:v>190</x:v>
      </x:c>
      <x:c r="B194" s="11" t="n">
        <x:v>93</x:v>
      </x:c>
      <x:c r="C194" s="18" t="n">
        <x:v>45395</x:v>
      </x:c>
      <x:c r="D194" s="11" t="str">
        <x:v>2024-04</x:v>
      </x:c>
      <x:c r="E194" s="11" t="str">
        <x:v>East</x:v>
      </x:c>
      <x:c r="F194" s="11" t="str">
        <x:v>Office Supplies</x:v>
      </x:c>
      <x:c r="G194" s="11" t="str">
        <x:v>Notebook pack</x:v>
      </x:c>
      <x:c r="H194" s="11" t="n">
        <x:v>2</x:v>
      </x:c>
      <x:c r="I194" s="19" t="n">
        <x:v>0.15</x:v>
      </x:c>
      <x:c r="J194" s="11" t="n">
        <x:v>0</x:v>
      </x:c>
      <x:c r="K194" s="20" t="n">
        <x:v>36</x:v>
      </x:c>
      <x:c r="L194" s="20" t="n">
        <x:v>5.4</x:v>
      </x:c>
      <x:c r="M194" s="20" t="n">
        <x:v>14</x:v>
      </x:c>
      <x:c r="N194" s="20" t="n">
        <x:f>IF(J194=1,0,K194-L194)</x:f>
        <x:v>30.6</x:v>
      </x:c>
      <x:c r="O194" s="20" t="n">
        <x:f>N194-M194</x:f>
        <x:v>16.6</x:v>
      </x:c>
    </x:row>
    <x:row r="195" ht="22" customHeight="1">
      <x:c r="A195" s="11" t="n">
        <x:v>191</x:v>
      </x:c>
      <x:c r="B195" s="11" t="n">
        <x:v>93</x:v>
      </x:c>
      <x:c r="C195" s="18" t="n">
        <x:v>45395</x:v>
      </x:c>
      <x:c r="D195" s="11" t="str">
        <x:v>2024-04</x:v>
      </x:c>
      <x:c r="E195" s="11" t="str">
        <x:v>East</x:v>
      </x:c>
      <x:c r="F195" s="11" t="str">
        <x:v>Furniture</x:v>
      </x:c>
      <x:c r="G195" s="11" t="str">
        <x:v>Chair</x:v>
      </x:c>
      <x:c r="H195" s="11" t="n">
        <x:v>2</x:v>
      </x:c>
      <x:c r="I195" s="19" t="n">
        <x:v>0.35</x:v>
      </x:c>
      <x:c r="J195" s="11" t="n">
        <x:v>1</x:v>
      </x:c>
      <x:c r="K195" s="20" t="n">
        <x:v>340</x:v>
      </x:c>
      <x:c r="L195" s="20" t="n">
        <x:v>119</x:v>
      </x:c>
      <x:c r="M195" s="20" t="n">
        <x:v>0</x:v>
      </x:c>
      <x:c r="N195" s="20" t="n">
        <x:f>IF(J195=1,0,K195-L195)</x:f>
        <x:v>0</x:v>
      </x:c>
      <x:c r="O195" s="20" t="n">
        <x:f>N195-M195</x:f>
        <x:v>0</x:v>
      </x:c>
    </x:row>
    <x:row r="196" ht="22" customHeight="1">
      <x:c r="A196" s="11" t="n">
        <x:v>192</x:v>
      </x:c>
      <x:c r="B196" s="11" t="n">
        <x:v>94</x:v>
      </x:c>
      <x:c r="C196" s="18" t="n">
        <x:v>45665</x:v>
      </x:c>
      <x:c r="D196" s="11" t="str">
        <x:v>2025-01</x:v>
      </x:c>
      <x:c r="E196" s="11" t="str">
        <x:v>Central</x:v>
      </x:c>
      <x:c r="F196" s="11" t="str">
        <x:v>Office Supplies</x:v>
      </x:c>
      <x:c r="G196" s="11" t="str">
        <x:v>Notebook pack</x:v>
      </x:c>
      <x:c r="H196" s="11" t="n">
        <x:v>4</x:v>
      </x:c>
      <x:c r="I196" s="19" t="n">
        <x:v>0</x:v>
      </x:c>
      <x:c r="J196" s="11" t="n">
        <x:v>0</x:v>
      </x:c>
      <x:c r="K196" s="20" t="n">
        <x:v>72</x:v>
      </x:c>
      <x:c r="L196" s="20" t="n">
        <x:v>0</x:v>
      </x:c>
      <x:c r="M196" s="20" t="n">
        <x:v>28</x:v>
      </x:c>
      <x:c r="N196" s="20" t="n">
        <x:f>IF(J196=1,0,K196-L196)</x:f>
        <x:v>72</x:v>
      </x:c>
      <x:c r="O196" s="20" t="n">
        <x:f>N196-M196</x:f>
        <x:v>44</x:v>
      </x:c>
    </x:row>
    <x:row r="197" ht="22" customHeight="1">
      <x:c r="A197" s="11" t="n">
        <x:v>193</x:v>
      </x:c>
      <x:c r="B197" s="11" t="n">
        <x:v>94</x:v>
      </x:c>
      <x:c r="C197" s="18" t="n">
        <x:v>45665</x:v>
      </x:c>
      <x:c r="D197" s="11" t="str">
        <x:v>2025-01</x:v>
      </x:c>
      <x:c r="E197" s="11" t="str">
        <x:v>Central</x:v>
      </x:c>
      <x:c r="F197" s="11" t="str">
        <x:v>Technology</x:v>
      </x:c>
      <x:c r="G197" s="11" t="str">
        <x:v>Monitor</x:v>
      </x:c>
      <x:c r="H197" s="11" t="n">
        <x:v>3</x:v>
      </x:c>
      <x:c r="I197" s="19" t="n">
        <x:v>0.1</x:v>
      </x:c>
      <x:c r="J197" s="11" t="n">
        <x:v>0</x:v>
      </x:c>
      <x:c r="K197" s="20" t="n">
        <x:v>720</x:v>
      </x:c>
      <x:c r="L197" s="20" t="n">
        <x:v>72</x:v>
      </x:c>
      <x:c r="M197" s="20" t="n">
        <x:v>480</x:v>
      </x:c>
      <x:c r="N197" s="20" t="n">
        <x:f>IF(J197=1,0,K197-L197)</x:f>
        <x:v>648</x:v>
      </x:c>
      <x:c r="O197" s="20" t="n">
        <x:f>N197-M197</x:f>
        <x:v>168</x:v>
      </x:c>
    </x:row>
    <x:row r="198" ht="22" customHeight="1">
      <x:c r="A198" s="11" t="n">
        <x:v>194</x:v>
      </x:c>
      <x:c r="B198" s="11" t="n">
        <x:v>95</x:v>
      </x:c>
      <x:c r="C198" s="18" t="n">
        <x:v>45490</x:v>
      </x:c>
      <x:c r="D198" s="11" t="str">
        <x:v>2024-07</x:v>
      </x:c>
      <x:c r="E198" s="11" t="str">
        <x:v>West</x:v>
      </x:c>
      <x:c r="F198" s="11" t="str">
        <x:v>Technology</x:v>
      </x:c>
      <x:c r="G198" s="11" t="str">
        <x:v>Monitor</x:v>
      </x:c>
      <x:c r="H198" s="11" t="n">
        <x:v>5</x:v>
      </x:c>
      <x:c r="I198" s="19" t="n">
        <x:v>0.15</x:v>
      </x:c>
      <x:c r="J198" s="11" t="n">
        <x:v>0</x:v>
      </x:c>
      <x:c r="K198" s="20" t="n">
        <x:v>1200</x:v>
      </x:c>
      <x:c r="L198" s="20" t="n">
        <x:v>180</x:v>
      </x:c>
      <x:c r="M198" s="20" t="n">
        <x:v>800</x:v>
      </x:c>
      <x:c r="N198" s="20" t="n">
        <x:f>IF(J198=1,0,K198-L198)</x:f>
        <x:v>1020</x:v>
      </x:c>
      <x:c r="O198" s="20" t="n">
        <x:f>N198-M198</x:f>
        <x:v>220</x:v>
      </x:c>
    </x:row>
    <x:row r="199" ht="22" customHeight="1">
      <x:c r="A199" s="11" t="n">
        <x:v>195</x:v>
      </x:c>
      <x:c r="B199" s="11" t="n">
        <x:v>95</x:v>
      </x:c>
      <x:c r="C199" s="18" t="n">
        <x:v>45490</x:v>
      </x:c>
      <x:c r="D199" s="11" t="str">
        <x:v>2024-07</x:v>
      </x:c>
      <x:c r="E199" s="11" t="str">
        <x:v>West</x:v>
      </x:c>
      <x:c r="F199" s="11" t="str">
        <x:v>Technology</x:v>
      </x:c>
      <x:c r="G199" s="11" t="str">
        <x:v>Keyboard</x:v>
      </x:c>
      <x:c r="H199" s="11" t="n">
        <x:v>2</x:v>
      </x:c>
      <x:c r="I199" s="19" t="n">
        <x:v>0</x:v>
      </x:c>
      <x:c r="J199" s="11" t="n">
        <x:v>0</x:v>
      </x:c>
      <x:c r="K199" s="20" t="n">
        <x:v>130</x:v>
      </x:c>
      <x:c r="L199" s="20" t="n">
        <x:v>0</x:v>
      </x:c>
      <x:c r="M199" s="20" t="n">
        <x:v>64</x:v>
      </x:c>
      <x:c r="N199" s="20" t="n">
        <x:f>IF(J199=1,0,K199-L199)</x:f>
        <x:v>130</x:v>
      </x:c>
      <x:c r="O199" s="20" t="n">
        <x:f>N199-M199</x:f>
        <x:v>66</x:v>
      </x:c>
    </x:row>
    <x:row r="200" ht="22" customHeight="1">
      <x:c r="A200" s="11" t="n">
        <x:v>196</x:v>
      </x:c>
      <x:c r="B200" s="11" t="n">
        <x:v>96</x:v>
      </x:c>
      <x:c r="C200" s="18" t="n">
        <x:v>45433</x:v>
      </x:c>
      <x:c r="D200" s="11" t="str">
        <x:v>2024-05</x:v>
      </x:c>
      <x:c r="E200" s="11" t="str">
        <x:v>West</x:v>
      </x:c>
      <x:c r="F200" s="11" t="str">
        <x:v>Technology</x:v>
      </x:c>
      <x:c r="G200" s="11" t="str">
        <x:v>Keyboard</x:v>
      </x:c>
      <x:c r="H200" s="11" t="n">
        <x:v>5</x:v>
      </x:c>
      <x:c r="I200" s="19" t="n">
        <x:v>0</x:v>
      </x:c>
      <x:c r="J200" s="11" t="n">
        <x:v>0</x:v>
      </x:c>
      <x:c r="K200" s="20" t="n">
        <x:v>325</x:v>
      </x:c>
      <x:c r="L200" s="20" t="n">
        <x:v>0</x:v>
      </x:c>
      <x:c r="M200" s="20" t="n">
        <x:v>160</x:v>
      </x:c>
      <x:c r="N200" s="20" t="n">
        <x:f>IF(J200=1,0,K200-L200)</x:f>
        <x:v>325</x:v>
      </x:c>
      <x:c r="O200" s="20" t="n">
        <x:f>N200-M200</x:f>
        <x:v>165</x:v>
      </x:c>
    </x:row>
    <x:row r="201" ht="22" customHeight="1">
      <x:c r="A201" s="11" t="n">
        <x:v>197</x:v>
      </x:c>
      <x:c r="B201" s="11" t="n">
        <x:v>96</x:v>
      </x:c>
      <x:c r="C201" s="18" t="n">
        <x:v>45433</x:v>
      </x:c>
      <x:c r="D201" s="11" t="str">
        <x:v>2024-05</x:v>
      </x:c>
      <x:c r="E201" s="11" t="str">
        <x:v>West</x:v>
      </x:c>
      <x:c r="F201" s="11" t="str">
        <x:v>Technology</x:v>
      </x:c>
      <x:c r="G201" s="11" t="str">
        <x:v>Monitor</x:v>
      </x:c>
      <x:c r="H201" s="11" t="n">
        <x:v>2</x:v>
      </x:c>
      <x:c r="I201" s="19" t="n">
        <x:v>0.05</x:v>
      </x:c>
      <x:c r="J201" s="11" t="n">
        <x:v>0</x:v>
      </x:c>
      <x:c r="K201" s="20" t="n">
        <x:v>480</x:v>
      </x:c>
      <x:c r="L201" s="20" t="n">
        <x:v>24</x:v>
      </x:c>
      <x:c r="M201" s="20" t="n">
        <x:v>320</x:v>
      </x:c>
      <x:c r="N201" s="20" t="n">
        <x:f>IF(J201=1,0,K201-L201)</x:f>
        <x:v>456</x:v>
      </x:c>
      <x:c r="O201" s="20" t="n">
        <x:f>N201-M201</x:f>
        <x:v>136</x:v>
      </x:c>
    </x:row>
    <x:row r="202" ht="22" customHeight="1">
      <x:c r="A202" s="11" t="n">
        <x:v>198</x:v>
      </x:c>
      <x:c r="B202" s="11" t="n">
        <x:v>96</x:v>
      </x:c>
      <x:c r="C202" s="18" t="n">
        <x:v>45433</x:v>
      </x:c>
      <x:c r="D202" s="11" t="str">
        <x:v>2024-05</x:v>
      </x:c>
      <x:c r="E202" s="11" t="str">
        <x:v>West</x:v>
      </x:c>
      <x:c r="F202" s="11" t="str">
        <x:v>Furniture</x:v>
      </x:c>
      <x:c r="G202" s="11" t="str">
        <x:v>Desk</x:v>
      </x:c>
      <x:c r="H202" s="11" t="n">
        <x:v>5</x:v>
      </x:c>
      <x:c r="I202" s="19" t="n">
        <x:v>0</x:v>
      </x:c>
      <x:c r="J202" s="11" t="n">
        <x:v>0</x:v>
      </x:c>
      <x:c r="K202" s="20" t="n">
        <x:v>1400</x:v>
      </x:c>
      <x:c r="L202" s="20" t="n">
        <x:v>0</x:v>
      </x:c>
      <x:c r="M202" s="20" t="n">
        <x:v>950</x:v>
      </x:c>
      <x:c r="N202" s="20" t="n">
        <x:f>IF(J202=1,0,K202-L202)</x:f>
        <x:v>1400</x:v>
      </x:c>
      <x:c r="O202" s="20" t="n">
        <x:f>N202-M202</x:f>
        <x:v>450</x:v>
      </x:c>
    </x:row>
    <x:row r="203" ht="22" customHeight="1">
      <x:c r="A203" s="11" t="n">
        <x:v>199</x:v>
      </x:c>
      <x:c r="B203" s="11" t="n">
        <x:v>97</x:v>
      </x:c>
      <x:c r="C203" s="18" t="n">
        <x:v>45385</x:v>
      </x:c>
      <x:c r="D203" s="11" t="str">
        <x:v>2024-04</x:v>
      </x:c>
      <x:c r="E203" s="11" t="str">
        <x:v>East</x:v>
      </x:c>
      <x:c r="F203" s="11" t="str">
        <x:v>Furniture</x:v>
      </x:c>
      <x:c r="G203" s="11" t="str">
        <x:v>Desk</x:v>
      </x:c>
      <x:c r="H203" s="11" t="n">
        <x:v>1</x:v>
      </x:c>
      <x:c r="I203" s="19" t="n">
        <x:v>0.25</x:v>
      </x:c>
      <x:c r="J203" s="11" t="n">
        <x:v>0</x:v>
      </x:c>
      <x:c r="K203" s="20" t="n">
        <x:v>280</x:v>
      </x:c>
      <x:c r="L203" s="20" t="n">
        <x:v>70</x:v>
      </x:c>
      <x:c r="M203" s="20" t="n">
        <x:v>190</x:v>
      </x:c>
      <x:c r="N203" s="20" t="n">
        <x:f>IF(J203=1,0,K203-L203)</x:f>
        <x:v>210</x:v>
      </x:c>
      <x:c r="O203" s="20" t="n">
        <x:f>N203-M203</x:f>
        <x:v>20</x:v>
      </x:c>
    </x:row>
    <x:row r="204" ht="22" customHeight="1">
      <x:c r="A204" s="11" t="n">
        <x:v>200</x:v>
      </x:c>
      <x:c r="B204" s="11" t="n">
        <x:v>97</x:v>
      </x:c>
      <x:c r="C204" s="18" t="n">
        <x:v>45385</x:v>
      </x:c>
      <x:c r="D204" s="11" t="str">
        <x:v>2024-04</x:v>
      </x:c>
      <x:c r="E204" s="11" t="str">
        <x:v>East</x:v>
      </x:c>
      <x:c r="F204" s="11" t="str">
        <x:v>Technology</x:v>
      </x:c>
      <x:c r="G204" s="11" t="str">
        <x:v>Keyboard</x:v>
      </x:c>
      <x:c r="H204" s="11" t="n">
        <x:v>2</x:v>
      </x:c>
      <x:c r="I204" s="19" t="n">
        <x:v>0.1</x:v>
      </x:c>
      <x:c r="J204" s="11" t="n">
        <x:v>0</x:v>
      </x:c>
      <x:c r="K204" s="20" t="n">
        <x:v>130</x:v>
      </x:c>
      <x:c r="L204" s="20" t="n">
        <x:v>13</x:v>
      </x:c>
      <x:c r="M204" s="20" t="n">
        <x:v>64</x:v>
      </x:c>
      <x:c r="N204" s="20" t="n">
        <x:f>IF(J204=1,0,K204-L204)</x:f>
        <x:v>117</x:v>
      </x:c>
      <x:c r="O204" s="20" t="n">
        <x:f>N204-M204</x:f>
        <x:v>53</x:v>
      </x:c>
    </x:row>
    <x:row r="205" ht="22" customHeight="1">
      <x:c r="A205" s="11" t="n">
        <x:v>201</x:v>
      </x:c>
      <x:c r="B205" s="11" t="n">
        <x:v>98</x:v>
      </x:c>
      <x:c r="C205" s="18" t="n">
        <x:v>45675</x:v>
      </x:c>
      <x:c r="D205" s="11" t="str">
        <x:v>2025-01</x:v>
      </x:c>
      <x:c r="E205" s="11" t="str">
        <x:v>West</x:v>
      </x:c>
      <x:c r="F205" s="11" t="str">
        <x:v>Furniture</x:v>
      </x:c>
      <x:c r="G205" s="11" t="str">
        <x:v>Desk</x:v>
      </x:c>
      <x:c r="H205" s="11" t="n">
        <x:v>2</x:v>
      </x:c>
      <x:c r="I205" s="19" t="n">
        <x:v>0</x:v>
      </x:c>
      <x:c r="J205" s="11" t="n">
        <x:v>1</x:v>
      </x:c>
      <x:c r="K205" s="20" t="n">
        <x:v>560</x:v>
      </x:c>
      <x:c r="L205" s="20" t="n">
        <x:v>0</x:v>
      </x:c>
      <x:c r="M205" s="20" t="n">
        <x:v>0</x:v>
      </x:c>
      <x:c r="N205" s="20" t="n">
        <x:f>IF(J205=1,0,K205-L205)</x:f>
        <x:v>0</x:v>
      </x:c>
      <x:c r="O205" s="20" t="n">
        <x:f>N205-M205</x:f>
        <x:v>0</x:v>
      </x:c>
    </x:row>
    <x:row r="206" ht="22" customHeight="1">
      <x:c r="A206" s="11" t="n">
        <x:v>202</x:v>
      </x:c>
      <x:c r="B206" s="11" t="n">
        <x:v>98</x:v>
      </x:c>
      <x:c r="C206" s="18" t="n">
        <x:v>45675</x:v>
      </x:c>
      <x:c r="D206" s="11" t="str">
        <x:v>2025-01</x:v>
      </x:c>
      <x:c r="E206" s="11" t="str">
        <x:v>West</x:v>
      </x:c>
      <x:c r="F206" s="11" t="str">
        <x:v>Technology</x:v>
      </x:c>
      <x:c r="G206" s="11" t="str">
        <x:v>Monitor</x:v>
      </x:c>
      <x:c r="H206" s="11" t="n">
        <x:v>4</x:v>
      </x:c>
      <x:c r="I206" s="19" t="n">
        <x:v>0</x:v>
      </x:c>
      <x:c r="J206" s="11" t="n">
        <x:v>0</x:v>
      </x:c>
      <x:c r="K206" s="20" t="n">
        <x:v>960</x:v>
      </x:c>
      <x:c r="L206" s="20" t="n">
        <x:v>0</x:v>
      </x:c>
      <x:c r="M206" s="20" t="n">
        <x:v>640</x:v>
      </x:c>
      <x:c r="N206" s="20" t="n">
        <x:f>IF(J206=1,0,K206-L206)</x:f>
        <x:v>960</x:v>
      </x:c>
      <x:c r="O206" s="20" t="n">
        <x:f>N206-M206</x:f>
        <x:v>320</x:v>
      </x:c>
    </x:row>
    <x:row r="207" ht="22" customHeight="1">
      <x:c r="A207" s="11" t="n">
        <x:v>203</x:v>
      </x:c>
      <x:c r="B207" s="11" t="n">
        <x:v>99</x:v>
      </x:c>
      <x:c r="C207" s="18" t="n">
        <x:v>45772</x:v>
      </x:c>
      <x:c r="D207" s="11" t="str">
        <x:v>2025-04</x:v>
      </x:c>
      <x:c r="E207" s="11" t="str">
        <x:v>East</x:v>
      </x:c>
      <x:c r="F207" s="11" t="str">
        <x:v>Furniture</x:v>
      </x:c>
      <x:c r="G207" s="11" t="str">
        <x:v>Desk</x:v>
      </x:c>
      <x:c r="H207" s="11" t="n">
        <x:v>3</x:v>
      </x:c>
      <x:c r="I207" s="19" t="n">
        <x:v>0.05</x:v>
      </x:c>
      <x:c r="J207" s="11" t="n">
        <x:v>0</x:v>
      </x:c>
      <x:c r="K207" s="20" t="n">
        <x:v>840</x:v>
      </x:c>
      <x:c r="L207" s="20" t="n">
        <x:v>42</x:v>
      </x:c>
      <x:c r="M207" s="20" t="n">
        <x:v>570</x:v>
      </x:c>
      <x:c r="N207" s="20" t="n">
        <x:f>IF(J207=1,0,K207-L207)</x:f>
        <x:v>798</x:v>
      </x:c>
      <x:c r="O207" s="20" t="n">
        <x:f>N207-M207</x:f>
        <x:v>228</x:v>
      </x:c>
    </x:row>
    <x:row r="208" ht="22" customHeight="1">
      <x:c r="A208" s="11" t="n">
        <x:v>204</x:v>
      </x:c>
      <x:c r="B208" s="11" t="n">
        <x:v>100</x:v>
      </x:c>
      <x:c r="C208" s="18" t="n">
        <x:v>45853</x:v>
      </x:c>
      <x:c r="D208" s="11" t="str">
        <x:v>2025-07</x:v>
      </x:c>
      <x:c r="E208" s="11" t="str">
        <x:v>Central</x:v>
      </x:c>
      <x:c r="F208" s="11" t="str">
        <x:v>Technology</x:v>
      </x:c>
      <x:c r="G208" s="11" t="str">
        <x:v>Monitor</x:v>
      </x:c>
      <x:c r="H208" s="11" t="n">
        <x:v>2</x:v>
      </x:c>
      <x:c r="I208" s="19" t="n">
        <x:v>0.05</x:v>
      </x:c>
      <x:c r="J208" s="11" t="n">
        <x:v>0</x:v>
      </x:c>
      <x:c r="K208" s="20" t="n">
        <x:v>480</x:v>
      </x:c>
      <x:c r="L208" s="20" t="n">
        <x:v>24</x:v>
      </x:c>
      <x:c r="M208" s="20" t="n">
        <x:v>320</x:v>
      </x:c>
      <x:c r="N208" s="20" t="n">
        <x:f>IF(J208=1,0,K208-L208)</x:f>
        <x:v>456</x:v>
      </x:c>
      <x:c r="O208" s="20" t="n">
        <x:f>N208-M208</x:f>
        <x:v>136</x:v>
      </x:c>
    </x:row>
    <x:row r="209" ht="22" customHeight="1">
      <x:c r="A209" s="11" t="n">
        <x:v>205</x:v>
      </x:c>
      <x:c r="B209" s="11" t="n">
        <x:v>101</x:v>
      </x:c>
      <x:c r="C209" s="18" t="n">
        <x:v>45536</x:v>
      </x:c>
      <x:c r="D209" s="11" t="str">
        <x:v>2024-09</x:v>
      </x:c>
      <x:c r="E209" s="11" t="str">
        <x:v>South</x:v>
      </x:c>
      <x:c r="F209" s="11" t="str">
        <x:v>Furniture</x:v>
      </x:c>
      <x:c r="G209" s="11" t="str">
        <x:v>Desk</x:v>
      </x:c>
      <x:c r="H209" s="11" t="n">
        <x:v>4</x:v>
      </x:c>
      <x:c r="I209" s="19" t="n">
        <x:v>0</x:v>
      </x:c>
      <x:c r="J209" s="11" t="n">
        <x:v>0</x:v>
      </x:c>
      <x:c r="K209" s="20" t="n">
        <x:v>1120</x:v>
      </x:c>
      <x:c r="L209" s="20" t="n">
        <x:v>0</x:v>
      </x:c>
      <x:c r="M209" s="20" t="n">
        <x:v>760</x:v>
      </x:c>
      <x:c r="N209" s="20" t="n">
        <x:f>IF(J209=1,0,K209-L209)</x:f>
        <x:v>1120</x:v>
      </x:c>
      <x:c r="O209" s="20" t="n">
        <x:f>N209-M209</x:f>
        <x:v>360</x:v>
      </x:c>
    </x:row>
    <x:row r="210" ht="22" customHeight="1">
      <x:c r="A210" s="11" t="n">
        <x:v>206</x:v>
      </x:c>
      <x:c r="B210" s="11" t="n">
        <x:v>102</x:v>
      </x:c>
      <x:c r="C210" s="18" t="n">
        <x:v>45880</x:v>
      </x:c>
      <x:c r="D210" s="11" t="str">
        <x:v>2025-08</x:v>
      </x:c>
      <x:c r="E210" s="11" t="str">
        <x:v>Central</x:v>
      </x:c>
      <x:c r="F210" s="11" t="str">
        <x:v>Technology</x:v>
      </x:c>
      <x:c r="G210" s="11" t="str">
        <x:v>Keyboard</x:v>
      </x:c>
      <x:c r="H210" s="11" t="n">
        <x:v>5</x:v>
      </x:c>
      <x:c r="I210" s="19" t="n">
        <x:v>0.05</x:v>
      </x:c>
      <x:c r="J210" s="11" t="n">
        <x:v>0</x:v>
      </x:c>
      <x:c r="K210" s="20" t="n">
        <x:v>325</x:v>
      </x:c>
      <x:c r="L210" s="20" t="n">
        <x:v>16.25</x:v>
      </x:c>
      <x:c r="M210" s="20" t="n">
        <x:v>160</x:v>
      </x:c>
      <x:c r="N210" s="20" t="n">
        <x:f>IF(J210=1,0,K210-L210)</x:f>
        <x:v>308.75</x:v>
      </x:c>
      <x:c r="O210" s="20" t="n">
        <x:f>N210-M210</x:f>
        <x:v>148.75</x:v>
      </x:c>
    </x:row>
    <x:row r="211" ht="22" customHeight="1">
      <x:c r="A211" s="11" t="n">
        <x:v>207</x:v>
      </x:c>
      <x:c r="B211" s="11" t="n">
        <x:v>102</x:v>
      </x:c>
      <x:c r="C211" s="18" t="n">
        <x:v>45880</x:v>
      </x:c>
      <x:c r="D211" s="11" t="str">
        <x:v>2025-08</x:v>
      </x:c>
      <x:c r="E211" s="11" t="str">
        <x:v>Central</x:v>
      </x:c>
      <x:c r="F211" s="11" t="str">
        <x:v>Furniture</x:v>
      </x:c>
      <x:c r="G211" s="11" t="str">
        <x:v>Desk</x:v>
      </x:c>
      <x:c r="H211" s="11" t="n">
        <x:v>4</x:v>
      </x:c>
      <x:c r="I211" s="19" t="n">
        <x:v>0</x:v>
      </x:c>
      <x:c r="J211" s="11" t="n">
        <x:v>0</x:v>
      </x:c>
      <x:c r="K211" s="20" t="n">
        <x:v>1120</x:v>
      </x:c>
      <x:c r="L211" s="20" t="n">
        <x:v>0</x:v>
      </x:c>
      <x:c r="M211" s="20" t="n">
        <x:v>760</x:v>
      </x:c>
      <x:c r="N211" s="20" t="n">
        <x:f>IF(J211=1,0,K211-L211)</x:f>
        <x:v>1120</x:v>
      </x:c>
      <x:c r="O211" s="20" t="n">
        <x:f>N211-M211</x:f>
        <x:v>360</x:v>
      </x:c>
    </x:row>
    <x:row r="212" ht="22" customHeight="1">
      <x:c r="A212" s="11" t="n">
        <x:v>208</x:v>
      </x:c>
      <x:c r="B212" s="11" t="n">
        <x:v>103</x:v>
      </x:c>
      <x:c r="C212" s="18" t="n">
        <x:v>45379</x:v>
      </x:c>
      <x:c r="D212" s="11" t="str">
        <x:v>2024-03</x:v>
      </x:c>
      <x:c r="E212" s="11" t="str">
        <x:v>South</x:v>
      </x:c>
      <x:c r="F212" s="11" t="str">
        <x:v>Office Supplies</x:v>
      </x:c>
      <x:c r="G212" s="11" t="str">
        <x:v>Notebook pack</x:v>
      </x:c>
      <x:c r="H212" s="11" t="n">
        <x:v>5</x:v>
      </x:c>
      <x:c r="I212" s="19" t="n">
        <x:v>0.15</x:v>
      </x:c>
      <x:c r="J212" s="11" t="n">
        <x:v>0</x:v>
      </x:c>
      <x:c r="K212" s="20" t="n">
        <x:v>90</x:v>
      </x:c>
      <x:c r="L212" s="20" t="n">
        <x:v>13.5</x:v>
      </x:c>
      <x:c r="M212" s="20" t="n">
        <x:v>35</x:v>
      </x:c>
      <x:c r="N212" s="20" t="n">
        <x:f>IF(J212=1,0,K212-L212)</x:f>
        <x:v>76.5</x:v>
      </x:c>
      <x:c r="O212" s="20" t="n">
        <x:f>N212-M212</x:f>
        <x:v>41.5</x:v>
      </x:c>
    </x:row>
    <x:row r="213" ht="22" customHeight="1">
      <x:c r="A213" s="11" t="n">
        <x:v>209</x:v>
      </x:c>
      <x:c r="B213" s="11" t="n">
        <x:v>104</x:v>
      </x:c>
      <x:c r="C213" s="18" t="n">
        <x:v>45811</x:v>
      </x:c>
      <x:c r="D213" s="11" t="str">
        <x:v>2025-06</x:v>
      </x:c>
      <x:c r="E213" s="11" t="str">
        <x:v>West</x:v>
      </x:c>
      <x:c r="F213" s="11" t="str">
        <x:v>Technology</x:v>
      </x:c>
      <x:c r="G213" s="11" t="str">
        <x:v>Keyboard</x:v>
      </x:c>
      <x:c r="H213" s="11" t="n">
        <x:v>4</x:v>
      </x:c>
      <x:c r="I213" s="19" t="n">
        <x:v>0.05</x:v>
      </x:c>
      <x:c r="J213" s="11" t="n">
        <x:v>0</x:v>
      </x:c>
      <x:c r="K213" s="20" t="n">
        <x:v>260</x:v>
      </x:c>
      <x:c r="L213" s="20" t="n">
        <x:v>13</x:v>
      </x:c>
      <x:c r="M213" s="20" t="n">
        <x:v>128</x:v>
      </x:c>
      <x:c r="N213" s="20" t="n">
        <x:f>IF(J213=1,0,K213-L213)</x:f>
        <x:v>247</x:v>
      </x:c>
      <x:c r="O213" s="20" t="n">
        <x:f>N213-M213</x:f>
        <x:v>119</x:v>
      </x:c>
    </x:row>
    <x:row r="214" ht="22" customHeight="1">
      <x:c r="A214" s="11" t="n">
        <x:v>210</x:v>
      </x:c>
      <x:c r="B214" s="11" t="n">
        <x:v>104</x:v>
      </x:c>
      <x:c r="C214" s="18" t="n">
        <x:v>45811</x:v>
      </x:c>
      <x:c r="D214" s="11" t="str">
        <x:v>2025-06</x:v>
      </x:c>
      <x:c r="E214" s="11" t="str">
        <x:v>West</x:v>
      </x:c>
      <x:c r="F214" s="11" t="str">
        <x:v>Furniture</x:v>
      </x:c>
      <x:c r="G214" s="11" t="str">
        <x:v>Desk</x:v>
      </x:c>
      <x:c r="H214" s="11" t="n">
        <x:v>1</x:v>
      </x:c>
      <x:c r="I214" s="19" t="n">
        <x:v>0.15</x:v>
      </x:c>
      <x:c r="J214" s="11" t="n">
        <x:v>0</x:v>
      </x:c>
      <x:c r="K214" s="20" t="n">
        <x:v>280</x:v>
      </x:c>
      <x:c r="L214" s="20" t="n">
        <x:v>42</x:v>
      </x:c>
      <x:c r="M214" s="20" t="n">
        <x:v>190</x:v>
      </x:c>
      <x:c r="N214" s="20" t="n">
        <x:f>IF(J214=1,0,K214-L214)</x:f>
        <x:v>238</x:v>
      </x:c>
      <x:c r="O214" s="20" t="n">
        <x:f>N214-M214</x:f>
        <x:v>48</x:v>
      </x:c>
    </x:row>
    <x:row r="215" ht="22" customHeight="1">
      <x:c r="A215" s="11" t="n">
        <x:v>211</x:v>
      </x:c>
      <x:c r="B215" s="11" t="n">
        <x:v>105</x:v>
      </x:c>
      <x:c r="C215" s="18" t="n">
        <x:v>45645</x:v>
      </x:c>
      <x:c r="D215" s="11" t="str">
        <x:v>2024-12</x:v>
      </x:c>
      <x:c r="E215" s="11" t="str">
        <x:v>Central</x:v>
      </x:c>
      <x:c r="F215" s="11" t="str">
        <x:v>Office Supplies</x:v>
      </x:c>
      <x:c r="G215" s="11" t="str">
        <x:v>Storage box</x:v>
      </x:c>
      <x:c r="H215" s="11" t="n">
        <x:v>1</x:v>
      </x:c>
      <x:c r="I215" s="19" t="n">
        <x:v>0.05</x:v>
      </x:c>
      <x:c r="J215" s="11" t="n">
        <x:v>0</x:v>
      </x:c>
      <x:c r="K215" s="20" t="n">
        <x:v>26</x:v>
      </x:c>
      <x:c r="L215" s="20" t="n">
        <x:v>1.3</x:v>
      </x:c>
      <x:c r="M215" s="20" t="n">
        <x:v>12</x:v>
      </x:c>
      <x:c r="N215" s="20" t="n">
        <x:f>IF(J215=1,0,K215-L215)</x:f>
        <x:v>24.7</x:v>
      </x:c>
      <x:c r="O215" s="20" t="n">
        <x:f>N215-M215</x:f>
        <x:v>12.7</x:v>
      </x:c>
    </x:row>
    <x:row r="216" ht="22" customHeight="1">
      <x:c r="A216" s="11" t="n">
        <x:v>212</x:v>
      </x:c>
      <x:c r="B216" s="11" t="n">
        <x:v>105</x:v>
      </x:c>
      <x:c r="C216" s="18" t="n">
        <x:v>45645</x:v>
      </x:c>
      <x:c r="D216" s="11" t="str">
        <x:v>2024-12</x:v>
      </x:c>
      <x:c r="E216" s="11" t="str">
        <x:v>Central</x:v>
      </x:c>
      <x:c r="F216" s="11" t="str">
        <x:v>Technology</x:v>
      </x:c>
      <x:c r="G216" s="11" t="str">
        <x:v>Monitor</x:v>
      </x:c>
      <x:c r="H216" s="11" t="n">
        <x:v>2</x:v>
      </x:c>
      <x:c r="I216" s="19" t="n">
        <x:v>0.1</x:v>
      </x:c>
      <x:c r="J216" s="11" t="n">
        <x:v>0</x:v>
      </x:c>
      <x:c r="K216" s="20" t="n">
        <x:v>480</x:v>
      </x:c>
      <x:c r="L216" s="20" t="n">
        <x:v>48</x:v>
      </x:c>
      <x:c r="M216" s="20" t="n">
        <x:v>320</x:v>
      </x:c>
      <x:c r="N216" s="20" t="n">
        <x:f>IF(J216=1,0,K216-L216)</x:f>
        <x:v>432</x:v>
      </x:c>
      <x:c r="O216" s="20" t="n">
        <x:f>N216-M216</x:f>
        <x:v>112</x:v>
      </x:c>
    </x:row>
    <x:row r="217" ht="22" customHeight="1">
      <x:c r="A217" s="11" t="n">
        <x:v>213</x:v>
      </x:c>
      <x:c r="B217" s="11" t="n">
        <x:v>105</x:v>
      </x:c>
      <x:c r="C217" s="18" t="n">
        <x:v>45645</x:v>
      </x:c>
      <x:c r="D217" s="11" t="str">
        <x:v>2024-12</x:v>
      </x:c>
      <x:c r="E217" s="11" t="str">
        <x:v>Central</x:v>
      </x:c>
      <x:c r="F217" s="11" t="str">
        <x:v>Furniture</x:v>
      </x:c>
      <x:c r="G217" s="11" t="str">
        <x:v>Chair</x:v>
      </x:c>
      <x:c r="H217" s="11" t="n">
        <x:v>4</x:v>
      </x:c>
      <x:c r="I217" s="19" t="n">
        <x:v>0</x:v>
      </x:c>
      <x:c r="J217" s="11" t="n">
        <x:v>0</x:v>
      </x:c>
      <x:c r="K217" s="20" t="n">
        <x:v>680</x:v>
      </x:c>
      <x:c r="L217" s="20" t="n">
        <x:v>0</x:v>
      </x:c>
      <x:c r="M217" s="20" t="n">
        <x:v>440</x:v>
      </x:c>
      <x:c r="N217" s="20" t="n">
        <x:f>IF(J217=1,0,K217-L217)</x:f>
        <x:v>680</x:v>
      </x:c>
      <x:c r="O217" s="20" t="n">
        <x:f>N217-M217</x:f>
        <x:v>240</x:v>
      </x:c>
    </x:row>
    <x:row r="218" ht="22" customHeight="1">
      <x:c r="A218" s="11" t="n">
        <x:v>214</x:v>
      </x:c>
      <x:c r="B218" s="11" t="n">
        <x:v>106</x:v>
      </x:c>
      <x:c r="C218" s="18" t="n">
        <x:v>45356</x:v>
      </x:c>
      <x:c r="D218" s="11" t="str">
        <x:v>2024-03</x:v>
      </x:c>
      <x:c r="E218" s="11" t="str">
        <x:v>South</x:v>
      </x:c>
      <x:c r="F218" s="11" t="str">
        <x:v>Technology</x:v>
      </x:c>
      <x:c r="G218" s="11" t="str">
        <x:v>Monitor</x:v>
      </x:c>
      <x:c r="H218" s="11" t="n">
        <x:v>2</x:v>
      </x:c>
      <x:c r="I218" s="19" t="n">
        <x:v>0</x:v>
      </x:c>
      <x:c r="J218" s="11" t="n">
        <x:v>0</x:v>
      </x:c>
      <x:c r="K218" s="20" t="n">
        <x:v>480</x:v>
      </x:c>
      <x:c r="L218" s="20" t="n">
        <x:v>0</x:v>
      </x:c>
      <x:c r="M218" s="20" t="n">
        <x:v>320</x:v>
      </x:c>
      <x:c r="N218" s="20" t="n">
        <x:f>IF(J218=1,0,K218-L218)</x:f>
        <x:v>480</x:v>
      </x:c>
      <x:c r="O218" s="20" t="n">
        <x:f>N218-M218</x:f>
        <x:v>160</x:v>
      </x:c>
    </x:row>
    <x:row r="219" ht="22" customHeight="1">
      <x:c r="A219" s="11" t="n">
        <x:v>215</x:v>
      </x:c>
      <x:c r="B219" s="11" t="n">
        <x:v>107</x:v>
      </x:c>
      <x:c r="C219" s="18" t="n">
        <x:v>45334</x:v>
      </x:c>
      <x:c r="D219" s="11" t="str">
        <x:v>2024-02</x:v>
      </x:c>
      <x:c r="E219" s="11" t="str">
        <x:v>East</x:v>
      </x:c>
      <x:c r="F219" s="11" t="str">
        <x:v>Technology</x:v>
      </x:c>
      <x:c r="G219" s="11" t="str">
        <x:v>Keyboard</x:v>
      </x:c>
      <x:c r="H219" s="11" t="n">
        <x:v>3</x:v>
      </x:c>
      <x:c r="I219" s="19" t="n">
        <x:v>0</x:v>
      </x:c>
      <x:c r="J219" s="11" t="n">
        <x:v>0</x:v>
      </x:c>
      <x:c r="K219" s="20" t="n">
        <x:v>195</x:v>
      </x:c>
      <x:c r="L219" s="20" t="n">
        <x:v>0</x:v>
      </x:c>
      <x:c r="M219" s="20" t="n">
        <x:v>96</x:v>
      </x:c>
      <x:c r="N219" s="20" t="n">
        <x:f>IF(J219=1,0,K219-L219)</x:f>
        <x:v>195</x:v>
      </x:c>
      <x:c r="O219" s="20" t="n">
        <x:f>N219-M219</x:f>
        <x:v>99</x:v>
      </x:c>
    </x:row>
    <x:row r="220" ht="22" customHeight="1">
      <x:c r="A220" s="11" t="n">
        <x:v>216</x:v>
      </x:c>
      <x:c r="B220" s="11" t="n">
        <x:v>107</x:v>
      </x:c>
      <x:c r="C220" s="18" t="n">
        <x:v>45334</x:v>
      </x:c>
      <x:c r="D220" s="11" t="str">
        <x:v>2024-02</x:v>
      </x:c>
      <x:c r="E220" s="11" t="str">
        <x:v>East</x:v>
      </x:c>
      <x:c r="F220" s="11" t="str">
        <x:v>Office Supplies</x:v>
      </x:c>
      <x:c r="G220" s="11" t="str">
        <x:v>Notebook pack</x:v>
      </x:c>
      <x:c r="H220" s="11" t="n">
        <x:v>2</x:v>
      </x:c>
      <x:c r="I220" s="19" t="n">
        <x:v>0.05</x:v>
      </x:c>
      <x:c r="J220" s="11" t="n">
        <x:v>0</x:v>
      </x:c>
      <x:c r="K220" s="20" t="n">
        <x:v>36</x:v>
      </x:c>
      <x:c r="L220" s="20" t="n">
        <x:v>1.8</x:v>
      </x:c>
      <x:c r="M220" s="20" t="n">
        <x:v>14</x:v>
      </x:c>
      <x:c r="N220" s="20" t="n">
        <x:f>IF(J220=1,0,K220-L220)</x:f>
        <x:v>34.2</x:v>
      </x:c>
      <x:c r="O220" s="20" t="n">
        <x:f>N220-M220</x:f>
        <x:v>20.200000000000003</x:v>
      </x:c>
    </x:row>
    <x:row r="221" ht="22" customHeight="1">
      <x:c r="A221" s="11" t="n">
        <x:v>217</x:v>
      </x:c>
      <x:c r="B221" s="11" t="n">
        <x:v>107</x:v>
      </x:c>
      <x:c r="C221" s="18" t="n">
        <x:v>45334</x:v>
      </x:c>
      <x:c r="D221" s="11" t="str">
        <x:v>2024-02</x:v>
      </x:c>
      <x:c r="E221" s="11" t="str">
        <x:v>East</x:v>
      </x:c>
      <x:c r="F221" s="11" t="str">
        <x:v>Office Supplies</x:v>
      </x:c>
      <x:c r="G221" s="11" t="str">
        <x:v>Storage box</x:v>
      </x:c>
      <x:c r="H221" s="11" t="n">
        <x:v>1</x:v>
      </x:c>
      <x:c r="I221" s="19" t="n">
        <x:v>0.05</x:v>
      </x:c>
      <x:c r="J221" s="11" t="n">
        <x:v>0</x:v>
      </x:c>
      <x:c r="K221" s="20" t="n">
        <x:v>26</x:v>
      </x:c>
      <x:c r="L221" s="20" t="n">
        <x:v>1.3</x:v>
      </x:c>
      <x:c r="M221" s="20" t="n">
        <x:v>12</x:v>
      </x:c>
      <x:c r="N221" s="20" t="n">
        <x:f>IF(J221=1,0,K221-L221)</x:f>
        <x:v>24.7</x:v>
      </x:c>
      <x:c r="O221" s="20" t="n">
        <x:f>N221-M221</x:f>
        <x:v>12.7</x:v>
      </x:c>
    </x:row>
    <x:row r="222" ht="22" customHeight="1">
      <x:c r="A222" s="11" t="n">
        <x:v>218</x:v>
      </x:c>
      <x:c r="B222" s="11" t="n">
        <x:v>108</x:v>
      </x:c>
      <x:c r="C222" s="18" t="n">
        <x:v>45668</x:v>
      </x:c>
      <x:c r="D222" s="11" t="str">
        <x:v>2025-01</x:v>
      </x:c>
      <x:c r="E222" s="11" t="str">
        <x:v>Central</x:v>
      </x:c>
      <x:c r="F222" s="11" t="str">
        <x:v>Technology</x:v>
      </x:c>
      <x:c r="G222" s="11" t="str">
        <x:v>Keyboard</x:v>
      </x:c>
      <x:c r="H222" s="11" t="n">
        <x:v>2</x:v>
      </x:c>
      <x:c r="I222" s="19" t="n">
        <x:v>0.1</x:v>
      </x:c>
      <x:c r="J222" s="11" t="n">
        <x:v>0</x:v>
      </x:c>
      <x:c r="K222" s="20" t="n">
        <x:v>130</x:v>
      </x:c>
      <x:c r="L222" s="20" t="n">
        <x:v>13</x:v>
      </x:c>
      <x:c r="M222" s="20" t="n">
        <x:v>64</x:v>
      </x:c>
      <x:c r="N222" s="20" t="n">
        <x:f>IF(J222=1,0,K222-L222)</x:f>
        <x:v>117</x:v>
      </x:c>
      <x:c r="O222" s="20" t="n">
        <x:f>N222-M222</x:f>
        <x:v>53</x:v>
      </x:c>
    </x:row>
    <x:row r="223" ht="22" customHeight="1">
      <x:c r="A223" s="11" t="n">
        <x:v>219</x:v>
      </x:c>
      <x:c r="B223" s="11" t="n">
        <x:v>108</x:v>
      </x:c>
      <x:c r="C223" s="18" t="n">
        <x:v>45668</x:v>
      </x:c>
      <x:c r="D223" s="11" t="str">
        <x:v>2025-01</x:v>
      </x:c>
      <x:c r="E223" s="11" t="str">
        <x:v>Central</x:v>
      </x:c>
      <x:c r="F223" s="11" t="str">
        <x:v>Office Supplies</x:v>
      </x:c>
      <x:c r="G223" s="11" t="str">
        <x:v>Storage box</x:v>
      </x:c>
      <x:c r="H223" s="11" t="n">
        <x:v>3</x:v>
      </x:c>
      <x:c r="I223" s="19" t="n">
        <x:v>0.15</x:v>
      </x:c>
      <x:c r="J223" s="11" t="n">
        <x:v>0</x:v>
      </x:c>
      <x:c r="K223" s="20" t="n">
        <x:v>78</x:v>
      </x:c>
      <x:c r="L223" s="20" t="n">
        <x:v>11.7</x:v>
      </x:c>
      <x:c r="M223" s="20" t="n">
        <x:v>36</x:v>
      </x:c>
      <x:c r="N223" s="20" t="n">
        <x:f>IF(J223=1,0,K223-L223)</x:f>
        <x:v>66.3</x:v>
      </x:c>
      <x:c r="O223" s="20" t="n">
        <x:f>N223-M223</x:f>
        <x:v>30.299999999999997</x:v>
      </x:c>
    </x:row>
    <x:row r="224" ht="22" customHeight="1">
      <x:c r="A224" s="11" t="n">
        <x:v>220</x:v>
      </x:c>
      <x:c r="B224" s="11" t="n">
        <x:v>108</x:v>
      </x:c>
      <x:c r="C224" s="18" t="n">
        <x:v>45668</x:v>
      </x:c>
      <x:c r="D224" s="11" t="str">
        <x:v>2025-01</x:v>
      </x:c>
      <x:c r="E224" s="11" t="str">
        <x:v>Central</x:v>
      </x:c>
      <x:c r="F224" s="11" t="str">
        <x:v>Technology</x:v>
      </x:c>
      <x:c r="G224" s="11" t="str">
        <x:v>Monitor</x:v>
      </x:c>
      <x:c r="H224" s="11" t="n">
        <x:v>1</x:v>
      </x:c>
      <x:c r="I224" s="19" t="n">
        <x:v>0.1</x:v>
      </x:c>
      <x:c r="J224" s="11" t="n">
        <x:v>0</x:v>
      </x:c>
      <x:c r="K224" s="20" t="n">
        <x:v>240</x:v>
      </x:c>
      <x:c r="L224" s="20" t="n">
        <x:v>24</x:v>
      </x:c>
      <x:c r="M224" s="20" t="n">
        <x:v>160</x:v>
      </x:c>
      <x:c r="N224" s="20" t="n">
        <x:f>IF(J224=1,0,K224-L224)</x:f>
        <x:v>216</x:v>
      </x:c>
      <x:c r="O224" s="20" t="n">
        <x:f>N224-M224</x:f>
        <x:v>56</x:v>
      </x:c>
    </x:row>
    <x:row r="225" ht="22" customHeight="1">
      <x:c r="A225" s="11" t="n">
        <x:v>221</x:v>
      </x:c>
      <x:c r="B225" s="11" t="n">
        <x:v>109</x:v>
      </x:c>
      <x:c r="C225" s="18" t="n">
        <x:v>45908</x:v>
      </x:c>
      <x:c r="D225" s="11" t="str">
        <x:v>2025-09</x:v>
      </x:c>
      <x:c r="E225" s="11" t="str">
        <x:v>East</x:v>
      </x:c>
      <x:c r="F225" s="11" t="str">
        <x:v>Furniture</x:v>
      </x:c>
      <x:c r="G225" s="11" t="str">
        <x:v>Desk</x:v>
      </x:c>
      <x:c r="H225" s="11" t="n">
        <x:v>3</x:v>
      </x:c>
      <x:c r="I225" s="19" t="n">
        <x:v>0.1</x:v>
      </x:c>
      <x:c r="J225" s="11" t="n">
        <x:v>0</x:v>
      </x:c>
      <x:c r="K225" s="20" t="n">
        <x:v>840</x:v>
      </x:c>
      <x:c r="L225" s="20" t="n">
        <x:v>84</x:v>
      </x:c>
      <x:c r="M225" s="20" t="n">
        <x:v>570</x:v>
      </x:c>
      <x:c r="N225" s="20" t="n">
        <x:f>IF(J225=1,0,K225-L225)</x:f>
        <x:v>756</x:v>
      </x:c>
      <x:c r="O225" s="20" t="n">
        <x:f>N225-M225</x:f>
        <x:v>186</x:v>
      </x:c>
    </x:row>
    <x:row r="226" ht="22" customHeight="1">
      <x:c r="A226" s="11" t="n">
        <x:v>222</x:v>
      </x:c>
      <x:c r="B226" s="11" t="n">
        <x:v>109</x:v>
      </x:c>
      <x:c r="C226" s="18" t="n">
        <x:v>45908</x:v>
      </x:c>
      <x:c r="D226" s="11" t="str">
        <x:v>2025-09</x:v>
      </x:c>
      <x:c r="E226" s="11" t="str">
        <x:v>East</x:v>
      </x:c>
      <x:c r="F226" s="11" t="str">
        <x:v>Office Supplies</x:v>
      </x:c>
      <x:c r="G226" s="11" t="str">
        <x:v>Storage box</x:v>
      </x:c>
      <x:c r="H226" s="11" t="n">
        <x:v>5</x:v>
      </x:c>
      <x:c r="I226" s="19" t="n">
        <x:v>0.1</x:v>
      </x:c>
      <x:c r="J226" s="11" t="n">
        <x:v>0</x:v>
      </x:c>
      <x:c r="K226" s="20" t="n">
        <x:v>130</x:v>
      </x:c>
      <x:c r="L226" s="20" t="n">
        <x:v>13</x:v>
      </x:c>
      <x:c r="M226" s="20" t="n">
        <x:v>60</x:v>
      </x:c>
      <x:c r="N226" s="20" t="n">
        <x:f>IF(J226=1,0,K226-L226)</x:f>
        <x:v>117</x:v>
      </x:c>
      <x:c r="O226" s="20" t="n">
        <x:f>N226-M226</x:f>
        <x:v>57</x:v>
      </x:c>
    </x:row>
    <x:row r="227" ht="22" customHeight="1">
      <x:c r="A227" s="11" t="n">
        <x:v>223</x:v>
      </x:c>
      <x:c r="B227" s="11" t="n">
        <x:v>110</x:v>
      </x:c>
      <x:c r="C227" s="18" t="n">
        <x:v>45746</x:v>
      </x:c>
      <x:c r="D227" s="11" t="str">
        <x:v>2025-03</x:v>
      </x:c>
      <x:c r="E227" s="11" t="str">
        <x:v>South</x:v>
      </x:c>
      <x:c r="F227" s="11" t="str">
        <x:v>Office Supplies</x:v>
      </x:c>
      <x:c r="G227" s="11" t="str">
        <x:v>Storage box</x:v>
      </x:c>
      <x:c r="H227" s="11" t="n">
        <x:v>3</x:v>
      </x:c>
      <x:c r="I227" s="19" t="n">
        <x:v>0.15</x:v>
      </x:c>
      <x:c r="J227" s="11" t="n">
        <x:v>0</x:v>
      </x:c>
      <x:c r="K227" s="20" t="n">
        <x:v>78</x:v>
      </x:c>
      <x:c r="L227" s="20" t="n">
        <x:v>11.7</x:v>
      </x:c>
      <x:c r="M227" s="20" t="n">
        <x:v>36</x:v>
      </x:c>
      <x:c r="N227" s="20" t="n">
        <x:f>IF(J227=1,0,K227-L227)</x:f>
        <x:v>66.3</x:v>
      </x:c>
      <x:c r="O227" s="20" t="n">
        <x:f>N227-M227</x:f>
        <x:v>30.299999999999997</x:v>
      </x:c>
    </x:row>
    <x:row r="228" ht="22" customHeight="1">
      <x:c r="A228" s="11" t="n">
        <x:v>224</x:v>
      </x:c>
      <x:c r="B228" s="11" t="n">
        <x:v>111</x:v>
      </x:c>
      <x:c r="C228" s="18" t="n">
        <x:v>45573</x:v>
      </x:c>
      <x:c r="D228" s="11" t="str">
        <x:v>2024-10</x:v>
      </x:c>
      <x:c r="E228" s="11" t="str">
        <x:v>West</x:v>
      </x:c>
      <x:c r="F228" s="11" t="str">
        <x:v>Office Supplies</x:v>
      </x:c>
      <x:c r="G228" s="11" t="str">
        <x:v>Storage box</x:v>
      </x:c>
      <x:c r="H228" s="11" t="n">
        <x:v>4</x:v>
      </x:c>
      <x:c r="I228" s="19" t="n">
        <x:v>0.05</x:v>
      </x:c>
      <x:c r="J228" s="11" t="n">
        <x:v>0</x:v>
      </x:c>
      <x:c r="K228" s="20" t="n">
        <x:v>104</x:v>
      </x:c>
      <x:c r="L228" s="20" t="n">
        <x:v>5.2</x:v>
      </x:c>
      <x:c r="M228" s="20" t="n">
        <x:v>48</x:v>
      </x:c>
      <x:c r="N228" s="20" t="n">
        <x:f>IF(J228=1,0,K228-L228)</x:f>
        <x:v>98.8</x:v>
      </x:c>
      <x:c r="O228" s="20" t="n">
        <x:f>N228-M228</x:f>
        <x:v>50.8</x:v>
      </x:c>
    </x:row>
    <x:row r="229" ht="22" customHeight="1">
      <x:c r="A229" s="11" t="n">
        <x:v>225</x:v>
      </x:c>
      <x:c r="B229" s="11" t="n">
        <x:v>112</x:v>
      </x:c>
      <x:c r="C229" s="18" t="n">
        <x:v>45987</x:v>
      </x:c>
      <x:c r="D229" s="11" t="str">
        <x:v>2025-11</x:v>
      </x:c>
      <x:c r="E229" s="11" t="str">
        <x:v>South</x:v>
      </x:c>
      <x:c r="F229" s="11" t="str">
        <x:v>Office Supplies</x:v>
      </x:c>
      <x:c r="G229" s="11" t="str">
        <x:v>Notebook pack</x:v>
      </x:c>
      <x:c r="H229" s="11" t="n">
        <x:v>4</x:v>
      </x:c>
      <x:c r="I229" s="19" t="n">
        <x:v>0</x:v>
      </x:c>
      <x:c r="J229" s="11" t="n">
        <x:v>0</x:v>
      </x:c>
      <x:c r="K229" s="20" t="n">
        <x:v>72</x:v>
      </x:c>
      <x:c r="L229" s="20" t="n">
        <x:v>0</x:v>
      </x:c>
      <x:c r="M229" s="20" t="n">
        <x:v>28</x:v>
      </x:c>
      <x:c r="N229" s="20" t="n">
        <x:f>IF(J229=1,0,K229-L229)</x:f>
        <x:v>72</x:v>
      </x:c>
      <x:c r="O229" s="20" t="n">
        <x:f>N229-M229</x:f>
        <x:v>44</x:v>
      </x:c>
    </x:row>
    <x:row r="230" ht="22" customHeight="1">
      <x:c r="A230" s="11" t="n">
        <x:v>226</x:v>
      </x:c>
      <x:c r="B230" s="11" t="n">
        <x:v>113</x:v>
      </x:c>
      <x:c r="C230" s="18" t="n">
        <x:v>45533</x:v>
      </x:c>
      <x:c r="D230" s="11" t="str">
        <x:v>2024-08</x:v>
      </x:c>
      <x:c r="E230" s="11" t="str">
        <x:v>South</x:v>
      </x:c>
      <x:c r="F230" s="11" t="str">
        <x:v>Technology</x:v>
      </x:c>
      <x:c r="G230" s="11" t="str">
        <x:v>Keyboard</x:v>
      </x:c>
      <x:c r="H230" s="11" t="n">
        <x:v>1</x:v>
      </x:c>
      <x:c r="I230" s="19" t="n">
        <x:v>0.15</x:v>
      </x:c>
      <x:c r="J230" s="11" t="n">
        <x:v>0</x:v>
      </x:c>
      <x:c r="K230" s="20" t="n">
        <x:v>65</x:v>
      </x:c>
      <x:c r="L230" s="20" t="n">
        <x:v>9.75</x:v>
      </x:c>
      <x:c r="M230" s="20" t="n">
        <x:v>32</x:v>
      </x:c>
      <x:c r="N230" s="20" t="n">
        <x:f>IF(J230=1,0,K230-L230)</x:f>
        <x:v>55.25</x:v>
      </x:c>
      <x:c r="O230" s="20" t="n">
        <x:f>N230-M230</x:f>
        <x:v>23.25</x:v>
      </x:c>
    </x:row>
    <x:row r="231" ht="22" customHeight="1">
      <x:c r="A231" s="11" t="n">
        <x:v>227</x:v>
      </x:c>
      <x:c r="B231" s="11" t="n">
        <x:v>113</x:v>
      </x:c>
      <x:c r="C231" s="18" t="n">
        <x:v>45533</x:v>
      </x:c>
      <x:c r="D231" s="11" t="str">
        <x:v>2024-08</x:v>
      </x:c>
      <x:c r="E231" s="11" t="str">
        <x:v>South</x:v>
      </x:c>
      <x:c r="F231" s="11" t="str">
        <x:v>Office Supplies</x:v>
      </x:c>
      <x:c r="G231" s="11" t="str">
        <x:v>Notebook pack</x:v>
      </x:c>
      <x:c r="H231" s="11" t="n">
        <x:v>4</x:v>
      </x:c>
      <x:c r="I231" s="19" t="n">
        <x:v>0.05</x:v>
      </x:c>
      <x:c r="J231" s="11" t="n">
        <x:v>0</x:v>
      </x:c>
      <x:c r="K231" s="20" t="n">
        <x:v>72</x:v>
      </x:c>
      <x:c r="L231" s="20" t="n">
        <x:v>3.6</x:v>
      </x:c>
      <x:c r="M231" s="20" t="n">
        <x:v>28</x:v>
      </x:c>
      <x:c r="N231" s="20" t="n">
        <x:f>IF(J231=1,0,K231-L231)</x:f>
        <x:v>68.4</x:v>
      </x:c>
      <x:c r="O231" s="20" t="n">
        <x:f>N231-M231</x:f>
        <x:v>40.400000000000006</x:v>
      </x:c>
    </x:row>
    <x:row r="232" ht="22" customHeight="1">
      <x:c r="A232" s="11" t="n">
        <x:v>228</x:v>
      </x:c>
      <x:c r="B232" s="11" t="n">
        <x:v>114</x:v>
      </x:c>
      <x:c r="C232" s="18" t="n">
        <x:v>45370</x:v>
      </x:c>
      <x:c r="D232" s="11" t="str">
        <x:v>2024-03</x:v>
      </x:c>
      <x:c r="E232" s="11" t="str">
        <x:v>Central</x:v>
      </x:c>
      <x:c r="F232" s="11" t="str">
        <x:v>Technology</x:v>
      </x:c>
      <x:c r="G232" s="11" t="str">
        <x:v>Monitor</x:v>
      </x:c>
      <x:c r="H232" s="11" t="n">
        <x:v>3</x:v>
      </x:c>
      <x:c r="I232" s="19" t="n">
        <x:v>0</x:v>
      </x:c>
      <x:c r="J232" s="11" t="n">
        <x:v>0</x:v>
      </x:c>
      <x:c r="K232" s="20" t="n">
        <x:v>720</x:v>
      </x:c>
      <x:c r="L232" s="20" t="n">
        <x:v>0</x:v>
      </x:c>
      <x:c r="M232" s="20" t="n">
        <x:v>480</x:v>
      </x:c>
      <x:c r="N232" s="20" t="n">
        <x:f>IF(J232=1,0,K232-L232)</x:f>
        <x:v>720</x:v>
      </x:c>
      <x:c r="O232" s="20" t="n">
        <x:f>N232-M232</x:f>
        <x:v>240</x:v>
      </x:c>
    </x:row>
    <x:row r="233" ht="22" customHeight="1">
      <x:c r="A233" s="11" t="n">
        <x:v>229</x:v>
      </x:c>
      <x:c r="B233" s="11" t="n">
        <x:v>114</x:v>
      </x:c>
      <x:c r="C233" s="18" t="n">
        <x:v>45370</x:v>
      </x:c>
      <x:c r="D233" s="11" t="str">
        <x:v>2024-03</x:v>
      </x:c>
      <x:c r="E233" s="11" t="str">
        <x:v>Central</x:v>
      </x:c>
      <x:c r="F233" s="11" t="str">
        <x:v>Technology</x:v>
      </x:c>
      <x:c r="G233" s="11" t="str">
        <x:v>Keyboard</x:v>
      </x:c>
      <x:c r="H233" s="11" t="n">
        <x:v>1</x:v>
      </x:c>
      <x:c r="I233" s="19" t="n">
        <x:v>0</x:v>
      </x:c>
      <x:c r="J233" s="11" t="n">
        <x:v>0</x:v>
      </x:c>
      <x:c r="K233" s="20" t="n">
        <x:v>65</x:v>
      </x:c>
      <x:c r="L233" s="20" t="n">
        <x:v>0</x:v>
      </x:c>
      <x:c r="M233" s="20" t="n">
        <x:v>32</x:v>
      </x:c>
      <x:c r="N233" s="20" t="n">
        <x:f>IF(J233=1,0,K233-L233)</x:f>
        <x:v>65</x:v>
      </x:c>
      <x:c r="O233" s="20" t="n">
        <x:f>N233-M233</x:f>
        <x:v>33</x:v>
      </x:c>
    </x:row>
    <x:row r="234" ht="22" customHeight="1">
      <x:c r="A234" s="11" t="n">
        <x:v>230</x:v>
      </x:c>
      <x:c r="B234" s="11" t="n">
        <x:v>114</x:v>
      </x:c>
      <x:c r="C234" s="18" t="n">
        <x:v>45370</x:v>
      </x:c>
      <x:c r="D234" s="11" t="str">
        <x:v>2024-03</x:v>
      </x:c>
      <x:c r="E234" s="11" t="str">
        <x:v>Central</x:v>
      </x:c>
      <x:c r="F234" s="11" t="str">
        <x:v>Office Supplies</x:v>
      </x:c>
      <x:c r="G234" s="11" t="str">
        <x:v>Storage box</x:v>
      </x:c>
      <x:c r="H234" s="11" t="n">
        <x:v>4</x:v>
      </x:c>
      <x:c r="I234" s="19" t="n">
        <x:v>0.15</x:v>
      </x:c>
      <x:c r="J234" s="11" t="n">
        <x:v>0</x:v>
      </x:c>
      <x:c r="K234" s="20" t="n">
        <x:v>104</x:v>
      </x:c>
      <x:c r="L234" s="20" t="n">
        <x:v>15.6</x:v>
      </x:c>
      <x:c r="M234" s="20" t="n">
        <x:v>48</x:v>
      </x:c>
      <x:c r="N234" s="20" t="n">
        <x:f>IF(J234=1,0,K234-L234)</x:f>
        <x:v>88.4</x:v>
      </x:c>
      <x:c r="O234" s="20" t="n">
        <x:f>N234-M234</x:f>
        <x:v>40.400000000000006</x:v>
      </x:c>
    </x:row>
    <x:row r="235" ht="22" customHeight="1">
      <x:c r="A235" s="11" t="n">
        <x:v>231</x:v>
      </x:c>
      <x:c r="B235" s="11" t="n">
        <x:v>115</x:v>
      </x:c>
      <x:c r="C235" s="18" t="n">
        <x:v>45558</x:v>
      </x:c>
      <x:c r="D235" s="11" t="str">
        <x:v>2024-09</x:v>
      </x:c>
      <x:c r="E235" s="11" t="str">
        <x:v>South</x:v>
      </x:c>
      <x:c r="F235" s="11" t="str">
        <x:v>Office Supplies</x:v>
      </x:c>
      <x:c r="G235" s="11" t="str">
        <x:v>Notebook pack</x:v>
      </x:c>
      <x:c r="H235" s="11" t="n">
        <x:v>3</x:v>
      </x:c>
      <x:c r="I235" s="19" t="n">
        <x:v>0.1</x:v>
      </x:c>
      <x:c r="J235" s="11" t="n">
        <x:v>0</x:v>
      </x:c>
      <x:c r="K235" s="20" t="n">
        <x:v>54</x:v>
      </x:c>
      <x:c r="L235" s="20" t="n">
        <x:v>5.4</x:v>
      </x:c>
      <x:c r="M235" s="20" t="n">
        <x:v>21</x:v>
      </x:c>
      <x:c r="N235" s="20" t="n">
        <x:f>IF(J235=1,0,K235-L235)</x:f>
        <x:v>48.6</x:v>
      </x:c>
      <x:c r="O235" s="20" t="n">
        <x:f>N235-M235</x:f>
        <x:v>27.6</x:v>
      </x:c>
    </x:row>
    <x:row r="236" ht="22" customHeight="1">
      <x:c r="A236" s="11" t="n">
        <x:v>232</x:v>
      </x:c>
      <x:c r="B236" s="11" t="n">
        <x:v>116</x:v>
      </x:c>
      <x:c r="C236" s="18" t="n">
        <x:v>45430</x:v>
      </x:c>
      <x:c r="D236" s="11" t="str">
        <x:v>2024-05</x:v>
      </x:c>
      <x:c r="E236" s="11" t="str">
        <x:v>South</x:v>
      </x:c>
      <x:c r="F236" s="11" t="str">
        <x:v>Office Supplies</x:v>
      </x:c>
      <x:c r="G236" s="11" t="str">
        <x:v>Storage box</x:v>
      </x:c>
      <x:c r="H236" s="11" t="n">
        <x:v>4</x:v>
      </x:c>
      <x:c r="I236" s="19" t="n">
        <x:v>0</x:v>
      </x:c>
      <x:c r="J236" s="11" t="n">
        <x:v>0</x:v>
      </x:c>
      <x:c r="K236" s="20" t="n">
        <x:v>104</x:v>
      </x:c>
      <x:c r="L236" s="20" t="n">
        <x:v>0</x:v>
      </x:c>
      <x:c r="M236" s="20" t="n">
        <x:v>48</x:v>
      </x:c>
      <x:c r="N236" s="20" t="n">
        <x:f>IF(J236=1,0,K236-L236)</x:f>
        <x:v>104</x:v>
      </x:c>
      <x:c r="O236" s="20" t="n">
        <x:f>N236-M236</x:f>
        <x:v>56</x:v>
      </x:c>
    </x:row>
    <x:row r="237" ht="22" customHeight="1">
      <x:c r="A237" s="11" t="n">
        <x:v>233</x:v>
      </x:c>
      <x:c r="B237" s="11" t="n">
        <x:v>117</x:v>
      </x:c>
      <x:c r="C237" s="18" t="n">
        <x:v>45619</x:v>
      </x:c>
      <x:c r="D237" s="11" t="str">
        <x:v>2024-11</x:v>
      </x:c>
      <x:c r="E237" s="11" t="str">
        <x:v>East</x:v>
      </x:c>
      <x:c r="F237" s="11" t="str">
        <x:v>Furniture</x:v>
      </x:c>
      <x:c r="G237" s="11" t="str">
        <x:v>Desk</x:v>
      </x:c>
      <x:c r="H237" s="11" t="n">
        <x:v>3</x:v>
      </x:c>
      <x:c r="I237" s="19" t="n">
        <x:v>0</x:v>
      </x:c>
      <x:c r="J237" s="11" t="n">
        <x:v>0</x:v>
      </x:c>
      <x:c r="K237" s="20" t="n">
        <x:v>840</x:v>
      </x:c>
      <x:c r="L237" s="20" t="n">
        <x:v>0</x:v>
      </x:c>
      <x:c r="M237" s="20" t="n">
        <x:v>570</x:v>
      </x:c>
      <x:c r="N237" s="20" t="n">
        <x:f>IF(J237=1,0,K237-L237)</x:f>
        <x:v>840</x:v>
      </x:c>
      <x:c r="O237" s="20" t="n">
        <x:f>N237-M237</x:f>
        <x:v>270</x:v>
      </x:c>
    </x:row>
    <x:row r="238" ht="22" customHeight="1">
      <x:c r="A238" s="11" t="n">
        <x:v>234</x:v>
      </x:c>
      <x:c r="B238" s="11" t="n">
        <x:v>117</x:v>
      </x:c>
      <x:c r="C238" s="18" t="n">
        <x:v>45619</x:v>
      </x:c>
      <x:c r="D238" s="11" t="str">
        <x:v>2024-11</x:v>
      </x:c>
      <x:c r="E238" s="11" t="str">
        <x:v>East</x:v>
      </x:c>
      <x:c r="F238" s="11" t="str">
        <x:v>Office Supplies</x:v>
      </x:c>
      <x:c r="G238" s="11" t="str">
        <x:v>Notebook pack</x:v>
      </x:c>
      <x:c r="H238" s="11" t="n">
        <x:v>2</x:v>
      </x:c>
      <x:c r="I238" s="19" t="n">
        <x:v>0.05</x:v>
      </x:c>
      <x:c r="J238" s="11" t="n">
        <x:v>0</x:v>
      </x:c>
      <x:c r="K238" s="20" t="n">
        <x:v>36</x:v>
      </x:c>
      <x:c r="L238" s="20" t="n">
        <x:v>1.8</x:v>
      </x:c>
      <x:c r="M238" s="20" t="n">
        <x:v>14</x:v>
      </x:c>
      <x:c r="N238" s="20" t="n">
        <x:f>IF(J238=1,0,K238-L238)</x:f>
        <x:v>34.2</x:v>
      </x:c>
      <x:c r="O238" s="20" t="n">
        <x:f>N238-M238</x:f>
        <x:v>20.200000000000003</x:v>
      </x:c>
    </x:row>
    <x:row r="239" ht="22" customHeight="1">
      <x:c r="A239" s="11" t="n">
        <x:v>235</x:v>
      </x:c>
      <x:c r="B239" s="11" t="n">
        <x:v>117</x:v>
      </x:c>
      <x:c r="C239" s="18" t="n">
        <x:v>45619</x:v>
      </x:c>
      <x:c r="D239" s="11" t="str">
        <x:v>2024-11</x:v>
      </x:c>
      <x:c r="E239" s="11" t="str">
        <x:v>East</x:v>
      </x:c>
      <x:c r="F239" s="11" t="str">
        <x:v>Technology</x:v>
      </x:c>
      <x:c r="G239" s="11" t="str">
        <x:v>Monitor</x:v>
      </x:c>
      <x:c r="H239" s="11" t="n">
        <x:v>1</x:v>
      </x:c>
      <x:c r="I239" s="19" t="n">
        <x:v>0</x:v>
      </x:c>
      <x:c r="J239" s="11" t="n">
        <x:v>0</x:v>
      </x:c>
      <x:c r="K239" s="20" t="n">
        <x:v>240</x:v>
      </x:c>
      <x:c r="L239" s="20" t="n">
        <x:v>0</x:v>
      </x:c>
      <x:c r="M239" s="20" t="n">
        <x:v>160</x:v>
      </x:c>
      <x:c r="N239" s="20" t="n">
        <x:f>IF(J239=1,0,K239-L239)</x:f>
        <x:v>240</x:v>
      </x:c>
      <x:c r="O239" s="20" t="n">
        <x:f>N239-M239</x:f>
        <x:v>80</x:v>
      </x:c>
    </x:row>
    <x:row r="240" ht="22" customHeight="1">
      <x:c r="A240" s="11" t="n">
        <x:v>236</x:v>
      </x:c>
      <x:c r="B240" s="11" t="n">
        <x:v>118</x:v>
      </x:c>
      <x:c r="C240" s="18" t="n">
        <x:v>45534</x:v>
      </x:c>
      <x:c r="D240" s="11" t="str">
        <x:v>2024-08</x:v>
      </x:c>
      <x:c r="E240" s="11" t="str">
        <x:v>South</x:v>
      </x:c>
      <x:c r="F240" s="11" t="str">
        <x:v>Office Supplies</x:v>
      </x:c>
      <x:c r="G240" s="11" t="str">
        <x:v>Notebook pack</x:v>
      </x:c>
      <x:c r="H240" s="11" t="n">
        <x:v>3</x:v>
      </x:c>
      <x:c r="I240" s="19" t="n">
        <x:v>0.1</x:v>
      </x:c>
      <x:c r="J240" s="11" t="n">
        <x:v>0</x:v>
      </x:c>
      <x:c r="K240" s="20" t="n">
        <x:v>54</x:v>
      </x:c>
      <x:c r="L240" s="20" t="n">
        <x:v>5.4</x:v>
      </x:c>
      <x:c r="M240" s="20" t="n">
        <x:v>21</x:v>
      </x:c>
      <x:c r="N240" s="20" t="n">
        <x:f>IF(J240=1,0,K240-L240)</x:f>
        <x:v>48.6</x:v>
      </x:c>
      <x:c r="O240" s="20" t="n">
        <x:f>N240-M240</x:f>
        <x:v>27.6</x:v>
      </x:c>
    </x:row>
    <x:row r="241" ht="22" customHeight="1">
      <x:c r="A241" s="11" t="n">
        <x:v>237</x:v>
      </x:c>
      <x:c r="B241" s="11" t="n">
        <x:v>118</x:v>
      </x:c>
      <x:c r="C241" s="18" t="n">
        <x:v>45534</x:v>
      </x:c>
      <x:c r="D241" s="11" t="str">
        <x:v>2024-08</x:v>
      </x:c>
      <x:c r="E241" s="11" t="str">
        <x:v>South</x:v>
      </x:c>
      <x:c r="F241" s="11" t="str">
        <x:v>Office Supplies</x:v>
      </x:c>
      <x:c r="G241" s="11" t="str">
        <x:v>Storage box</x:v>
      </x:c>
      <x:c r="H241" s="11" t="n">
        <x:v>5</x:v>
      </x:c>
      <x:c r="I241" s="19" t="n">
        <x:v>0</x:v>
      </x:c>
      <x:c r="J241" s="11" t="n">
        <x:v>0</x:v>
      </x:c>
      <x:c r="K241" s="20" t="n">
        <x:v>130</x:v>
      </x:c>
      <x:c r="L241" s="20" t="n">
        <x:v>0</x:v>
      </x:c>
      <x:c r="M241" s="20" t="n">
        <x:v>60</x:v>
      </x:c>
      <x:c r="N241" s="20" t="n">
        <x:f>IF(J241=1,0,K241-L241)</x:f>
        <x:v>130</x:v>
      </x:c>
      <x:c r="O241" s="20" t="n">
        <x:f>N241-M241</x:f>
        <x:v>70</x:v>
      </x:c>
    </x:row>
    <x:row r="242" ht="22" customHeight="1">
      <x:c r="A242" s="11" t="n">
        <x:v>238</x:v>
      </x:c>
      <x:c r="B242" s="11" t="n">
        <x:v>119</x:v>
      </x:c>
      <x:c r="C242" s="18" t="n">
        <x:v>45380</x:v>
      </x:c>
      <x:c r="D242" s="11" t="str">
        <x:v>2024-03</x:v>
      </x:c>
      <x:c r="E242" s="11" t="str">
        <x:v>Central</x:v>
      </x:c>
      <x:c r="F242" s="11" t="str">
        <x:v>Office Supplies</x:v>
      </x:c>
      <x:c r="G242" s="11" t="str">
        <x:v>Storage box</x:v>
      </x:c>
      <x:c r="H242" s="11" t="n">
        <x:v>5</x:v>
      </x:c>
      <x:c r="I242" s="19" t="n">
        <x:v>0.1</x:v>
      </x:c>
      <x:c r="J242" s="11" t="n">
        <x:v>0</x:v>
      </x:c>
      <x:c r="K242" s="20" t="n">
        <x:v>130</x:v>
      </x:c>
      <x:c r="L242" s="20" t="n">
        <x:v>13</x:v>
      </x:c>
      <x:c r="M242" s="20" t="n">
        <x:v>60</x:v>
      </x:c>
      <x:c r="N242" s="20" t="n">
        <x:f>IF(J242=1,0,K242-L242)</x:f>
        <x:v>117</x:v>
      </x:c>
      <x:c r="O242" s="20" t="n">
        <x:f>N242-M242</x:f>
        <x:v>57</x:v>
      </x:c>
    </x:row>
    <x:row r="243" ht="22" customHeight="1">
      <x:c r="A243" s="11" t="n">
        <x:v>239</x:v>
      </x:c>
      <x:c r="B243" s="11" t="n">
        <x:v>119</x:v>
      </x:c>
      <x:c r="C243" s="18" t="n">
        <x:v>45380</x:v>
      </x:c>
      <x:c r="D243" s="11" t="str">
        <x:v>2024-03</x:v>
      </x:c>
      <x:c r="E243" s="11" t="str">
        <x:v>Central</x:v>
      </x:c>
      <x:c r="F243" s="11" t="str">
        <x:v>Technology</x:v>
      </x:c>
      <x:c r="G243" s="11" t="str">
        <x:v>Keyboard</x:v>
      </x:c>
      <x:c r="H243" s="11" t="n">
        <x:v>5</x:v>
      </x:c>
      <x:c r="I243" s="19" t="n">
        <x:v>0</x:v>
      </x:c>
      <x:c r="J243" s="11" t="n">
        <x:v>0</x:v>
      </x:c>
      <x:c r="K243" s="20" t="n">
        <x:v>325</x:v>
      </x:c>
      <x:c r="L243" s="20" t="n">
        <x:v>0</x:v>
      </x:c>
      <x:c r="M243" s="20" t="n">
        <x:v>160</x:v>
      </x:c>
      <x:c r="N243" s="20" t="n">
        <x:f>IF(J243=1,0,K243-L243)</x:f>
        <x:v>325</x:v>
      </x:c>
      <x:c r="O243" s="20" t="n">
        <x:f>N243-M243</x:f>
        <x:v>165</x:v>
      </x:c>
    </x:row>
    <x:row r="244" ht="22" customHeight="1">
      <x:c r="A244" s="11" t="n">
        <x:v>240</x:v>
      </x:c>
      <x:c r="B244" s="11" t="n">
        <x:v>120</x:v>
      </x:c>
      <x:c r="C244" s="18" t="n">
        <x:v>45616</x:v>
      </x:c>
      <x:c r="D244" s="11" t="str">
        <x:v>2024-11</x:v>
      </x:c>
      <x:c r="E244" s="11" t="str">
        <x:v>West</x:v>
      </x:c>
      <x:c r="F244" s="11" t="str">
        <x:v>Technology</x:v>
      </x:c>
      <x:c r="G244" s="11" t="str">
        <x:v>Keyboard</x:v>
      </x:c>
      <x:c r="H244" s="11" t="n">
        <x:v>3</x:v>
      </x:c>
      <x:c r="I244" s="19" t="n">
        <x:v>0</x:v>
      </x:c>
      <x:c r="J244" s="11" t="n">
        <x:v>0</x:v>
      </x:c>
      <x:c r="K244" s="20" t="n">
        <x:v>195</x:v>
      </x:c>
      <x:c r="L244" s="20" t="n">
        <x:v>0</x:v>
      </x:c>
      <x:c r="M244" s="20" t="n">
        <x:v>96</x:v>
      </x:c>
      <x:c r="N244" s="20" t="n">
        <x:f>IF(J244=1,0,K244-L244)</x:f>
        <x:v>195</x:v>
      </x:c>
      <x:c r="O244" s="20" t="n">
        <x:f>N244-M244</x:f>
        <x:v>99</x:v>
      </x:c>
    </x:row>
    <x:row r="245" ht="22" customHeight="1">
      <x:c r="A245" s="11" t="n">
        <x:v>241</x:v>
      </x:c>
      <x:c r="B245" s="11" t="n">
        <x:v>120</x:v>
      </x:c>
      <x:c r="C245" s="18" t="n">
        <x:v>45616</x:v>
      </x:c>
      <x:c r="D245" s="11" t="str">
        <x:v>2024-11</x:v>
      </x:c>
      <x:c r="E245" s="11" t="str">
        <x:v>West</x:v>
      </x:c>
      <x:c r="F245" s="11" t="str">
        <x:v>Office Supplies</x:v>
      </x:c>
      <x:c r="G245" s="11" t="str">
        <x:v>Notebook pack</x:v>
      </x:c>
      <x:c r="H245" s="11" t="n">
        <x:v>5</x:v>
      </x:c>
      <x:c r="I245" s="19" t="n">
        <x:v>0.15</x:v>
      </x:c>
      <x:c r="J245" s="11" t="n">
        <x:v>0</x:v>
      </x:c>
      <x:c r="K245" s="20" t="n">
        <x:v>90</x:v>
      </x:c>
      <x:c r="L245" s="20" t="n">
        <x:v>13.5</x:v>
      </x:c>
      <x:c r="M245" s="20" t="n">
        <x:v>35</x:v>
      </x:c>
      <x:c r="N245" s="20" t="n">
        <x:f>IF(J245=1,0,K245-L245)</x:f>
        <x:v>76.5</x:v>
      </x:c>
      <x:c r="O245" s="20" t="n">
        <x:f>N245-M245</x:f>
        <x:v>41.5</x:v>
      </x:c>
    </x:row>
    <x:row r="246" ht="22" customHeight="1">
      <x:c r="A246" s="11" t="n">
        <x:v>242</x:v>
      </x:c>
      <x:c r="B246" s="11" t="n">
        <x:v>121</x:v>
      </x:c>
      <x:c r="C246" s="18" t="n">
        <x:v>45424</x:v>
      </x:c>
      <x:c r="D246" s="11" t="str">
        <x:v>2024-05</x:v>
      </x:c>
      <x:c r="E246" s="11" t="str">
        <x:v>West</x:v>
      </x:c>
      <x:c r="F246" s="11" t="str">
        <x:v>Office Supplies</x:v>
      </x:c>
      <x:c r="G246" s="11" t="str">
        <x:v>Notebook pack</x:v>
      </x:c>
      <x:c r="H246" s="11" t="n">
        <x:v>2</x:v>
      </x:c>
      <x:c r="I246" s="19" t="n">
        <x:v>0.05</x:v>
      </x:c>
      <x:c r="J246" s="11" t="n">
        <x:v>0</x:v>
      </x:c>
      <x:c r="K246" s="20" t="n">
        <x:v>36</x:v>
      </x:c>
      <x:c r="L246" s="20" t="n">
        <x:v>1.8</x:v>
      </x:c>
      <x:c r="M246" s="20" t="n">
        <x:v>14</x:v>
      </x:c>
      <x:c r="N246" s="20" t="n">
        <x:f>IF(J246=1,0,K246-L246)</x:f>
        <x:v>34.2</x:v>
      </x:c>
      <x:c r="O246" s="20" t="n">
        <x:f>N246-M246</x:f>
        <x:v>20.200000000000003</x:v>
      </x:c>
    </x:row>
    <x:row r="247" ht="22" customHeight="1">
      <x:c r="A247" s="11" t="n">
        <x:v>243</x:v>
      </x:c>
      <x:c r="B247" s="11" t="n">
        <x:v>122</x:v>
      </x:c>
      <x:c r="C247" s="18" t="n">
        <x:v>45622</x:v>
      </x:c>
      <x:c r="D247" s="11" t="str">
        <x:v>2024-11</x:v>
      </x:c>
      <x:c r="E247" s="11" t="str">
        <x:v>South</x:v>
      </x:c>
      <x:c r="F247" s="11" t="str">
        <x:v>Office Supplies</x:v>
      </x:c>
      <x:c r="G247" s="11" t="str">
        <x:v>Notebook pack</x:v>
      </x:c>
      <x:c r="H247" s="11" t="n">
        <x:v>1</x:v>
      </x:c>
      <x:c r="I247" s="19" t="n">
        <x:v>0.05</x:v>
      </x:c>
      <x:c r="J247" s="11" t="n">
        <x:v>0</x:v>
      </x:c>
      <x:c r="K247" s="20" t="n">
        <x:v>18</x:v>
      </x:c>
      <x:c r="L247" s="20" t="n">
        <x:v>0.9</x:v>
      </x:c>
      <x:c r="M247" s="20" t="n">
        <x:v>7</x:v>
      </x:c>
      <x:c r="N247" s="20" t="n">
        <x:f>IF(J247=1,0,K247-L247)</x:f>
        <x:v>17.1</x:v>
      </x:c>
      <x:c r="O247" s="20" t="n">
        <x:f>N247-M247</x:f>
        <x:v>10.100000000000001</x:v>
      </x:c>
    </x:row>
    <x:row r="248" ht="22" customHeight="1">
      <x:c r="A248" s="11" t="n">
        <x:v>244</x:v>
      </x:c>
      <x:c r="B248" s="11" t="n">
        <x:v>122</x:v>
      </x:c>
      <x:c r="C248" s="18" t="n">
        <x:v>45622</x:v>
      </x:c>
      <x:c r="D248" s="11" t="str">
        <x:v>2024-11</x:v>
      </x:c>
      <x:c r="E248" s="11" t="str">
        <x:v>South</x:v>
      </x:c>
      <x:c r="F248" s="11" t="str">
        <x:v>Technology</x:v>
      </x:c>
      <x:c r="G248" s="11" t="str">
        <x:v>Monitor</x:v>
      </x:c>
      <x:c r="H248" s="11" t="n">
        <x:v>5</x:v>
      </x:c>
      <x:c r="I248" s="19" t="n">
        <x:v>0.05</x:v>
      </x:c>
      <x:c r="J248" s="11" t="n">
        <x:v>0</x:v>
      </x:c>
      <x:c r="K248" s="20" t="n">
        <x:v>1200</x:v>
      </x:c>
      <x:c r="L248" s="20" t="n">
        <x:v>60</x:v>
      </x:c>
      <x:c r="M248" s="20" t="n">
        <x:v>800</x:v>
      </x:c>
      <x:c r="N248" s="20" t="n">
        <x:f>IF(J248=1,0,K248-L248)</x:f>
        <x:v>1140</x:v>
      </x:c>
      <x:c r="O248" s="20" t="n">
        <x:f>N248-M248</x:f>
        <x:v>340</x:v>
      </x:c>
    </x:row>
    <x:row r="249" ht="22" customHeight="1">
      <x:c r="A249" s="11" t="n">
        <x:v>245</x:v>
      </x:c>
      <x:c r="B249" s="11" t="n">
        <x:v>123</x:v>
      </x:c>
      <x:c r="C249" s="18" t="n">
        <x:v>45602</x:v>
      </x:c>
      <x:c r="D249" s="11" t="str">
        <x:v>2024-11</x:v>
      </x:c>
      <x:c r="E249" s="11" t="str">
        <x:v>East</x:v>
      </x:c>
      <x:c r="F249" s="11" t="str">
        <x:v>Office Supplies</x:v>
      </x:c>
      <x:c r="G249" s="11" t="str">
        <x:v>Storage box</x:v>
      </x:c>
      <x:c r="H249" s="11" t="n">
        <x:v>2</x:v>
      </x:c>
      <x:c r="I249" s="19" t="n">
        <x:v>0.15</x:v>
      </x:c>
      <x:c r="J249" s="11" t="n">
        <x:v>0</x:v>
      </x:c>
      <x:c r="K249" s="20" t="n">
        <x:v>52</x:v>
      </x:c>
      <x:c r="L249" s="20" t="n">
        <x:v>7.8</x:v>
      </x:c>
      <x:c r="M249" s="20" t="n">
        <x:v>24</x:v>
      </x:c>
      <x:c r="N249" s="20" t="n">
        <x:f>IF(J249=1,0,K249-L249)</x:f>
        <x:v>44.2</x:v>
      </x:c>
      <x:c r="O249" s="20" t="n">
        <x:f>N249-M249</x:f>
        <x:v>20.200000000000003</x:v>
      </x:c>
    </x:row>
    <x:row r="250" ht="22" customHeight="1">
      <x:c r="A250" s="11" t="n">
        <x:v>246</x:v>
      </x:c>
      <x:c r="B250" s="11" t="n">
        <x:v>123</x:v>
      </x:c>
      <x:c r="C250" s="18" t="n">
        <x:v>45602</x:v>
      </x:c>
      <x:c r="D250" s="11" t="str">
        <x:v>2024-11</x:v>
      </x:c>
      <x:c r="E250" s="11" t="str">
        <x:v>East</x:v>
      </x:c>
      <x:c r="F250" s="11" t="str">
        <x:v>Furniture</x:v>
      </x:c>
      <x:c r="G250" s="11" t="str">
        <x:v>Chair</x:v>
      </x:c>
      <x:c r="H250" s="11" t="n">
        <x:v>5</x:v>
      </x:c>
      <x:c r="I250" s="19" t="n">
        <x:v>0.15</x:v>
      </x:c>
      <x:c r="J250" s="11" t="n">
        <x:v>0</x:v>
      </x:c>
      <x:c r="K250" s="20" t="n">
        <x:v>850</x:v>
      </x:c>
      <x:c r="L250" s="20" t="n">
        <x:v>127.5</x:v>
      </x:c>
      <x:c r="M250" s="20" t="n">
        <x:v>550</x:v>
      </x:c>
      <x:c r="N250" s="20" t="n">
        <x:f>IF(J250=1,0,K250-L250)</x:f>
        <x:v>722.5</x:v>
      </x:c>
      <x:c r="O250" s="20" t="n">
        <x:f>N250-M250</x:f>
        <x:v>172.5</x:v>
      </x:c>
    </x:row>
    <x:row r="251" ht="22" customHeight="1">
      <x:c r="A251" s="11" t="n">
        <x:v>247</x:v>
      </x:c>
      <x:c r="B251" s="11" t="n">
        <x:v>123</x:v>
      </x:c>
      <x:c r="C251" s="18" t="n">
        <x:v>45602</x:v>
      </x:c>
      <x:c r="D251" s="11" t="str">
        <x:v>2024-11</x:v>
      </x:c>
      <x:c r="E251" s="11" t="str">
        <x:v>East</x:v>
      </x:c>
      <x:c r="F251" s="11" t="str">
        <x:v>Office Supplies</x:v>
      </x:c>
      <x:c r="G251" s="11" t="str">
        <x:v>Notebook pack</x:v>
      </x:c>
      <x:c r="H251" s="11" t="n">
        <x:v>5</x:v>
      </x:c>
      <x:c r="I251" s="19" t="n">
        <x:v>0</x:v>
      </x:c>
      <x:c r="J251" s="11" t="n">
        <x:v>0</x:v>
      </x:c>
      <x:c r="K251" s="20" t="n">
        <x:v>90</x:v>
      </x:c>
      <x:c r="L251" s="20" t="n">
        <x:v>0</x:v>
      </x:c>
      <x:c r="M251" s="20" t="n">
        <x:v>35</x:v>
      </x:c>
      <x:c r="N251" s="20" t="n">
        <x:f>IF(J251=1,0,K251-L251)</x:f>
        <x:v>90</x:v>
      </x:c>
      <x:c r="O251" s="20" t="n">
        <x:f>N251-M251</x:f>
        <x:v>55</x:v>
      </x:c>
    </x:row>
    <x:row r="252" ht="22" customHeight="1">
      <x:c r="A252" s="11" t="n">
        <x:v>248</x:v>
      </x:c>
      <x:c r="B252" s="11" t="n">
        <x:v>124</x:v>
      </x:c>
      <x:c r="C252" s="18" t="n">
        <x:v>45321</x:v>
      </x:c>
      <x:c r="D252" s="11" t="str">
        <x:v>2024-01</x:v>
      </x:c>
      <x:c r="E252" s="11" t="str">
        <x:v>Central</x:v>
      </x:c>
      <x:c r="F252" s="11" t="str">
        <x:v>Office Supplies</x:v>
      </x:c>
      <x:c r="G252" s="11" t="str">
        <x:v>Notebook pack</x:v>
      </x:c>
      <x:c r="H252" s="11" t="n">
        <x:v>5</x:v>
      </x:c>
      <x:c r="I252" s="19" t="n">
        <x:v>0.1</x:v>
      </x:c>
      <x:c r="J252" s="11" t="n">
        <x:v>0</x:v>
      </x:c>
      <x:c r="K252" s="20" t="n">
        <x:v>90</x:v>
      </x:c>
      <x:c r="L252" s="20" t="n">
        <x:v>9</x:v>
      </x:c>
      <x:c r="M252" s="20" t="n">
        <x:v>35</x:v>
      </x:c>
      <x:c r="N252" s="20" t="n">
        <x:f>IF(J252=1,0,K252-L252)</x:f>
        <x:v>81</x:v>
      </x:c>
      <x:c r="O252" s="20" t="n">
        <x:f>N252-M252</x:f>
        <x:v>46</x:v>
      </x:c>
    </x:row>
    <x:row r="253" ht="22" customHeight="1">
      <x:c r="A253" s="11" t="n">
        <x:v>249</x:v>
      </x:c>
      <x:c r="B253" s="11" t="n">
        <x:v>124</x:v>
      </x:c>
      <x:c r="C253" s="18" t="n">
        <x:v>45321</x:v>
      </x:c>
      <x:c r="D253" s="11" t="str">
        <x:v>2024-01</x:v>
      </x:c>
      <x:c r="E253" s="11" t="str">
        <x:v>Central</x:v>
      </x:c>
      <x:c r="F253" s="11" t="str">
        <x:v>Technology</x:v>
      </x:c>
      <x:c r="G253" s="11" t="str">
        <x:v>Monitor</x:v>
      </x:c>
      <x:c r="H253" s="11" t="n">
        <x:v>1</x:v>
      </x:c>
      <x:c r="I253" s="19" t="n">
        <x:v>0.1</x:v>
      </x:c>
      <x:c r="J253" s="11" t="n">
        <x:v>0</x:v>
      </x:c>
      <x:c r="K253" s="20" t="n">
        <x:v>240</x:v>
      </x:c>
      <x:c r="L253" s="20" t="n">
        <x:v>24</x:v>
      </x:c>
      <x:c r="M253" s="20" t="n">
        <x:v>160</x:v>
      </x:c>
      <x:c r="N253" s="20" t="n">
        <x:f>IF(J253=1,0,K253-L253)</x:f>
        <x:v>216</x:v>
      </x:c>
      <x:c r="O253" s="20" t="n">
        <x:f>N253-M253</x:f>
        <x:v>56</x:v>
      </x:c>
    </x:row>
    <x:row r="254" ht="22" customHeight="1">
      <x:c r="A254" s="11" t="n">
        <x:v>250</x:v>
      </x:c>
      <x:c r="B254" s="11" t="n">
        <x:v>124</x:v>
      </x:c>
      <x:c r="C254" s="18" t="n">
        <x:v>45321</x:v>
      </x:c>
      <x:c r="D254" s="11" t="str">
        <x:v>2024-01</x:v>
      </x:c>
      <x:c r="E254" s="11" t="str">
        <x:v>Central</x:v>
      </x:c>
      <x:c r="F254" s="11" t="str">
        <x:v>Furniture</x:v>
      </x:c>
      <x:c r="G254" s="11" t="str">
        <x:v>Chair</x:v>
      </x:c>
      <x:c r="H254" s="11" t="n">
        <x:v>5</x:v>
      </x:c>
      <x:c r="I254" s="19" t="n">
        <x:v>0.1</x:v>
      </x:c>
      <x:c r="J254" s="11" t="n">
        <x:v>0</x:v>
      </x:c>
      <x:c r="K254" s="20" t="n">
        <x:v>850</x:v>
      </x:c>
      <x:c r="L254" s="20" t="n">
        <x:v>85</x:v>
      </x:c>
      <x:c r="M254" s="20" t="n">
        <x:v>550</x:v>
      </x:c>
      <x:c r="N254" s="20" t="n">
        <x:f>IF(J254=1,0,K254-L254)</x:f>
        <x:v>765</x:v>
      </x:c>
      <x:c r="O254" s="20" t="n">
        <x:f>N254-M254</x:f>
        <x:v>215</x:v>
      </x:c>
    </x:row>
    <x:row r="255" ht="22" customHeight="1">
      <x:c r="A255" s="11" t="n">
        <x:v>251</x:v>
      </x:c>
      <x:c r="B255" s="11" t="n">
        <x:v>125</x:v>
      </x:c>
      <x:c r="C255" s="18" t="n">
        <x:v>45601</x:v>
      </x:c>
      <x:c r="D255" s="11" t="str">
        <x:v>2024-11</x:v>
      </x:c>
      <x:c r="E255" s="11" t="str">
        <x:v>Central</x:v>
      </x:c>
      <x:c r="F255" s="11" t="str">
        <x:v>Technology</x:v>
      </x:c>
      <x:c r="G255" s="11" t="str">
        <x:v>Keyboard</x:v>
      </x:c>
      <x:c r="H255" s="11" t="n">
        <x:v>1</x:v>
      </x:c>
      <x:c r="I255" s="19" t="n">
        <x:v>0</x:v>
      </x:c>
      <x:c r="J255" s="11" t="n">
        <x:v>0</x:v>
      </x:c>
      <x:c r="K255" s="20" t="n">
        <x:v>65</x:v>
      </x:c>
      <x:c r="L255" s="20" t="n">
        <x:v>0</x:v>
      </x:c>
      <x:c r="M255" s="20" t="n">
        <x:v>32</x:v>
      </x:c>
      <x:c r="N255" s="20" t="n">
        <x:f>IF(J255=1,0,K255-L255)</x:f>
        <x:v>65</x:v>
      </x:c>
      <x:c r="O255" s="20" t="n">
        <x:f>N255-M255</x:f>
        <x:v>33</x:v>
      </x:c>
    </x:row>
    <x:row r="256" ht="22" customHeight="1">
      <x:c r="A256" s="11" t="n">
        <x:v>252</x:v>
      </x:c>
      <x:c r="B256" s="11" t="n">
        <x:v>125</x:v>
      </x:c>
      <x:c r="C256" s="18" t="n">
        <x:v>45601</x:v>
      </x:c>
      <x:c r="D256" s="11" t="str">
        <x:v>2024-11</x:v>
      </x:c>
      <x:c r="E256" s="11" t="str">
        <x:v>Central</x:v>
      </x:c>
      <x:c r="F256" s="11" t="str">
        <x:v>Technology</x:v>
      </x:c>
      <x:c r="G256" s="11" t="str">
        <x:v>Monitor</x:v>
      </x:c>
      <x:c r="H256" s="11" t="n">
        <x:v>4</x:v>
      </x:c>
      <x:c r="I256" s="19" t="n">
        <x:v>0.1</x:v>
      </x:c>
      <x:c r="J256" s="11" t="n">
        <x:v>0</x:v>
      </x:c>
      <x:c r="K256" s="20" t="n">
        <x:v>960</x:v>
      </x:c>
      <x:c r="L256" s="20" t="n">
        <x:v>96</x:v>
      </x:c>
      <x:c r="M256" s="20" t="n">
        <x:v>640</x:v>
      </x:c>
      <x:c r="N256" s="20" t="n">
        <x:f>IF(J256=1,0,K256-L256)</x:f>
        <x:v>864</x:v>
      </x:c>
      <x:c r="O256" s="20" t="n">
        <x:f>N256-M256</x:f>
        <x:v>224</x:v>
      </x:c>
    </x:row>
    <x:row r="257" ht="22" customHeight="1">
      <x:c r="A257" s="11" t="n">
        <x:v>253</x:v>
      </x:c>
      <x:c r="B257" s="11" t="n">
        <x:v>125</x:v>
      </x:c>
      <x:c r="C257" s="18" t="n">
        <x:v>45601</x:v>
      </x:c>
      <x:c r="D257" s="11" t="str">
        <x:v>2024-11</x:v>
      </x:c>
      <x:c r="E257" s="11" t="str">
        <x:v>Central</x:v>
      </x:c>
      <x:c r="F257" s="11" t="str">
        <x:v>Office Supplies</x:v>
      </x:c>
      <x:c r="G257" s="11" t="str">
        <x:v>Storage box</x:v>
      </x:c>
      <x:c r="H257" s="11" t="n">
        <x:v>3</x:v>
      </x:c>
      <x:c r="I257" s="19" t="n">
        <x:v>0.15</x:v>
      </x:c>
      <x:c r="J257" s="11" t="n">
        <x:v>0</x:v>
      </x:c>
      <x:c r="K257" s="20" t="n">
        <x:v>78</x:v>
      </x:c>
      <x:c r="L257" s="20" t="n">
        <x:v>11.7</x:v>
      </x:c>
      <x:c r="M257" s="20" t="n">
        <x:v>36</x:v>
      </x:c>
      <x:c r="N257" s="20" t="n">
        <x:f>IF(J257=1,0,K257-L257)</x:f>
        <x:v>66.3</x:v>
      </x:c>
      <x:c r="O257" s="20" t="n">
        <x:f>N257-M257</x:f>
        <x:v>30.299999999999997</x:v>
      </x:c>
    </x:row>
    <x:row r="258" ht="22" customHeight="1">
      <x:c r="A258" s="11" t="n">
        <x:v>254</x:v>
      </x:c>
      <x:c r="B258" s="11" t="n">
        <x:v>126</x:v>
      </x:c>
      <x:c r="C258" s="18" t="n">
        <x:v>45618</x:v>
      </x:c>
      <x:c r="D258" s="11" t="str">
        <x:v>2024-11</x:v>
      </x:c>
      <x:c r="E258" s="11" t="str">
        <x:v>East</x:v>
      </x:c>
      <x:c r="F258" s="11" t="str">
        <x:v>Furniture</x:v>
      </x:c>
      <x:c r="G258" s="11" t="str">
        <x:v>Chair</x:v>
      </x:c>
      <x:c r="H258" s="11" t="n">
        <x:v>5</x:v>
      </x:c>
      <x:c r="I258" s="19" t="n">
        <x:v>0</x:v>
      </x:c>
      <x:c r="J258" s="11" t="n">
        <x:v>0</x:v>
      </x:c>
      <x:c r="K258" s="20" t="n">
        <x:v>850</x:v>
      </x:c>
      <x:c r="L258" s="20" t="n">
        <x:v>0</x:v>
      </x:c>
      <x:c r="M258" s="20" t="n">
        <x:v>550</x:v>
      </x:c>
      <x:c r="N258" s="20" t="n">
        <x:f>IF(J258=1,0,K258-L258)</x:f>
        <x:v>850</x:v>
      </x:c>
      <x:c r="O258" s="20" t="n">
        <x:f>N258-M258</x:f>
        <x:v>300</x:v>
      </x:c>
    </x:row>
    <x:row r="259" ht="22" customHeight="1">
      <x:c r="A259" s="11" t="n">
        <x:v>255</x:v>
      </x:c>
      <x:c r="B259" s="11" t="n">
        <x:v>126</x:v>
      </x:c>
      <x:c r="C259" s="18" t="n">
        <x:v>45618</x:v>
      </x:c>
      <x:c r="D259" s="11" t="str">
        <x:v>2024-11</x:v>
      </x:c>
      <x:c r="E259" s="11" t="str">
        <x:v>East</x:v>
      </x:c>
      <x:c r="F259" s="11" t="str">
        <x:v>Technology</x:v>
      </x:c>
      <x:c r="G259" s="11" t="str">
        <x:v>Monitor</x:v>
      </x:c>
      <x:c r="H259" s="11" t="n">
        <x:v>4</x:v>
      </x:c>
      <x:c r="I259" s="19" t="n">
        <x:v>0</x:v>
      </x:c>
      <x:c r="J259" s="11" t="n">
        <x:v>0</x:v>
      </x:c>
      <x:c r="K259" s="20" t="n">
        <x:v>960</x:v>
      </x:c>
      <x:c r="L259" s="20" t="n">
        <x:v>0</x:v>
      </x:c>
      <x:c r="M259" s="20" t="n">
        <x:v>640</x:v>
      </x:c>
      <x:c r="N259" s="20" t="n">
        <x:f>IF(J259=1,0,K259-L259)</x:f>
        <x:v>960</x:v>
      </x:c>
      <x:c r="O259" s="20" t="n">
        <x:f>N259-M259</x:f>
        <x:v>320</x:v>
      </x:c>
    </x:row>
    <x:row r="260" ht="22" customHeight="1">
      <x:c r="A260" s="11" t="n">
        <x:v>256</x:v>
      </x:c>
      <x:c r="B260" s="11" t="n">
        <x:v>127</x:v>
      </x:c>
      <x:c r="C260" s="18" t="n">
        <x:v>45545</x:v>
      </x:c>
      <x:c r="D260" s="11" t="str">
        <x:v>2024-09</x:v>
      </x:c>
      <x:c r="E260" s="11" t="str">
        <x:v>South</x:v>
      </x:c>
      <x:c r="F260" s="11" t="str">
        <x:v>Technology</x:v>
      </x:c>
      <x:c r="G260" s="11" t="str">
        <x:v>Monitor</x:v>
      </x:c>
      <x:c r="H260" s="11" t="n">
        <x:v>4</x:v>
      </x:c>
      <x:c r="I260" s="19" t="n">
        <x:v>0.15</x:v>
      </x:c>
      <x:c r="J260" s="11" t="n">
        <x:v>0</x:v>
      </x:c>
      <x:c r="K260" s="20" t="n">
        <x:v>960</x:v>
      </x:c>
      <x:c r="L260" s="20" t="n">
        <x:v>144</x:v>
      </x:c>
      <x:c r="M260" s="20" t="n">
        <x:v>640</x:v>
      </x:c>
      <x:c r="N260" s="20" t="n">
        <x:f>IF(J260=1,0,K260-L260)</x:f>
        <x:v>816</x:v>
      </x:c>
      <x:c r="O260" s="20" t="n">
        <x:f>N260-M260</x:f>
        <x:v>176</x:v>
      </x:c>
    </x:row>
    <x:row r="261" ht="22" customHeight="1">
      <x:c r="A261" s="11" t="n">
        <x:v>257</x:v>
      </x:c>
      <x:c r="B261" s="11" t="n">
        <x:v>128</x:v>
      </x:c>
      <x:c r="C261" s="18" t="n">
        <x:v>45455</x:v>
      </x:c>
      <x:c r="D261" s="11" t="str">
        <x:v>2024-06</x:v>
      </x:c>
      <x:c r="E261" s="11" t="str">
        <x:v>South</x:v>
      </x:c>
      <x:c r="F261" s="11" t="str">
        <x:v>Furniture</x:v>
      </x:c>
      <x:c r="G261" s="11" t="str">
        <x:v>Chair</x:v>
      </x:c>
      <x:c r="H261" s="11" t="n">
        <x:v>4</x:v>
      </x:c>
      <x:c r="I261" s="19" t="n">
        <x:v>0.35</x:v>
      </x:c>
      <x:c r="J261" s="11" t="n">
        <x:v>0</x:v>
      </x:c>
      <x:c r="K261" s="20" t="n">
        <x:v>680</x:v>
      </x:c>
      <x:c r="L261" s="20" t="n">
        <x:v>238</x:v>
      </x:c>
      <x:c r="M261" s="20" t="n">
        <x:v>440</x:v>
      </x:c>
      <x:c r="N261" s="20" t="n">
        <x:f>IF(J261=1,0,K261-L261)</x:f>
        <x:v>442</x:v>
      </x:c>
      <x:c r="O261" s="20" t="n">
        <x:f>N261-M261</x:f>
        <x:v>2</x:v>
      </x:c>
    </x:row>
    <x:row r="262" ht="22" customHeight="1">
      <x:c r="A262" s="11" t="n">
        <x:v>258</x:v>
      </x:c>
      <x:c r="B262" s="11" t="n">
        <x:v>129</x:v>
      </x:c>
      <x:c r="C262" s="18" t="n">
        <x:v>45607</x:v>
      </x:c>
      <x:c r="D262" s="11" t="str">
        <x:v>2024-11</x:v>
      </x:c>
      <x:c r="E262" s="11" t="str">
        <x:v>East</x:v>
      </x:c>
      <x:c r="F262" s="11" t="str">
        <x:v>Technology</x:v>
      </x:c>
      <x:c r="G262" s="11" t="str">
        <x:v>Keyboard</x:v>
      </x:c>
      <x:c r="H262" s="11" t="n">
        <x:v>5</x:v>
      </x:c>
      <x:c r="I262" s="19" t="n">
        <x:v>0.1</x:v>
      </x:c>
      <x:c r="J262" s="11" t="n">
        <x:v>0</x:v>
      </x:c>
      <x:c r="K262" s="20" t="n">
        <x:v>325</x:v>
      </x:c>
      <x:c r="L262" s="20" t="n">
        <x:v>32.5</x:v>
      </x:c>
      <x:c r="M262" s="20" t="n">
        <x:v>160</x:v>
      </x:c>
      <x:c r="N262" s="20" t="n">
        <x:f>IF(J262=1,0,K262-L262)</x:f>
        <x:v>292.5</x:v>
      </x:c>
      <x:c r="O262" s="20" t="n">
        <x:f>N262-M262</x:f>
        <x:v>132.5</x:v>
      </x:c>
    </x:row>
    <x:row r="263" ht="22" customHeight="1">
      <x:c r="A263" s="11" t="n">
        <x:v>259</x:v>
      </x:c>
      <x:c r="B263" s="11" t="n">
        <x:v>130</x:v>
      </x:c>
      <x:c r="C263" s="18" t="n">
        <x:v>45512</x:v>
      </x:c>
      <x:c r="D263" s="11" t="str">
        <x:v>2024-08</x:v>
      </x:c>
      <x:c r="E263" s="11" t="str">
        <x:v>East</x:v>
      </x:c>
      <x:c r="F263" s="11" t="str">
        <x:v>Furniture</x:v>
      </x:c>
      <x:c r="G263" s="11" t="str">
        <x:v>Desk</x:v>
      </x:c>
      <x:c r="H263" s="11" t="n">
        <x:v>3</x:v>
      </x:c>
      <x:c r="I263" s="19" t="n">
        <x:v>0.35</x:v>
      </x:c>
      <x:c r="J263" s="11" t="n">
        <x:v>0</x:v>
      </x:c>
      <x:c r="K263" s="20" t="n">
        <x:v>840</x:v>
      </x:c>
      <x:c r="L263" s="20" t="n">
        <x:v>294</x:v>
      </x:c>
      <x:c r="M263" s="20" t="n">
        <x:v>570</x:v>
      </x:c>
      <x:c r="N263" s="20" t="n">
        <x:f>IF(J263=1,0,K263-L263)</x:f>
        <x:v>546</x:v>
      </x:c>
      <x:c r="O263" s="20" t="n">
        <x:f>N263-M263</x:f>
        <x:v>-24</x:v>
      </x:c>
    </x:row>
    <x:row r="264" ht="22" customHeight="1">
      <x:c r="A264" s="11" t="n">
        <x:v>260</x:v>
      </x:c>
      <x:c r="B264" s="11" t="n">
        <x:v>131</x:v>
      </x:c>
      <x:c r="C264" s="18" t="n">
        <x:v>45961</x:v>
      </x:c>
      <x:c r="D264" s="11" t="str">
        <x:v>2025-10</x:v>
      </x:c>
      <x:c r="E264" s="11" t="str">
        <x:v>Central</x:v>
      </x:c>
      <x:c r="F264" s="11" t="str">
        <x:v>Office Supplies</x:v>
      </x:c>
      <x:c r="G264" s="11" t="str">
        <x:v>Notebook pack</x:v>
      </x:c>
      <x:c r="H264" s="11" t="n">
        <x:v>1</x:v>
      </x:c>
      <x:c r="I264" s="19" t="n">
        <x:v>0.1</x:v>
      </x:c>
      <x:c r="J264" s="11" t="n">
        <x:v>0</x:v>
      </x:c>
      <x:c r="K264" s="20" t="n">
        <x:v>18</x:v>
      </x:c>
      <x:c r="L264" s="20" t="n">
        <x:v>1.8</x:v>
      </x:c>
      <x:c r="M264" s="20" t="n">
        <x:v>7</x:v>
      </x:c>
      <x:c r="N264" s="20" t="n">
        <x:f>IF(J264=1,0,K264-L264)</x:f>
        <x:v>16.2</x:v>
      </x:c>
      <x:c r="O264" s="20" t="n">
        <x:f>N264-M264</x:f>
        <x:v>9.2</x:v>
      </x:c>
    </x:row>
    <x:row r="265" ht="22" customHeight="1">
      <x:c r="A265" s="11" t="n">
        <x:v>261</x:v>
      </x:c>
      <x:c r="B265" s="11" t="n">
        <x:v>131</x:v>
      </x:c>
      <x:c r="C265" s="18" t="n">
        <x:v>45961</x:v>
      </x:c>
      <x:c r="D265" s="11" t="str">
        <x:v>2025-10</x:v>
      </x:c>
      <x:c r="E265" s="11" t="str">
        <x:v>Central</x:v>
      </x:c>
      <x:c r="F265" s="11" t="str">
        <x:v>Furniture</x:v>
      </x:c>
      <x:c r="G265" s="11" t="str">
        <x:v>Desk</x:v>
      </x:c>
      <x:c r="H265" s="11" t="n">
        <x:v>3</x:v>
      </x:c>
      <x:c r="I265" s="19" t="n">
        <x:v>0.15</x:v>
      </x:c>
      <x:c r="J265" s="11" t="n">
        <x:v>0</x:v>
      </x:c>
      <x:c r="K265" s="20" t="n">
        <x:v>840</x:v>
      </x:c>
      <x:c r="L265" s="20" t="n">
        <x:v>126</x:v>
      </x:c>
      <x:c r="M265" s="20" t="n">
        <x:v>570</x:v>
      </x:c>
      <x:c r="N265" s="20" t="n">
        <x:f>IF(J265=1,0,K265-L265)</x:f>
        <x:v>714</x:v>
      </x:c>
      <x:c r="O265" s="20" t="n">
        <x:f>N265-M265</x:f>
        <x:v>144</x:v>
      </x:c>
    </x:row>
    <x:row r="266" ht="22" customHeight="1">
      <x:c r="A266" s="11" t="n">
        <x:v>262</x:v>
      </x:c>
      <x:c r="B266" s="11" t="n">
        <x:v>132</x:v>
      </x:c>
      <x:c r="C266" s="18" t="n">
        <x:v>45666</x:v>
      </x:c>
      <x:c r="D266" s="11" t="str">
        <x:v>2025-01</x:v>
      </x:c>
      <x:c r="E266" s="11" t="str">
        <x:v>South</x:v>
      </x:c>
      <x:c r="F266" s="11" t="str">
        <x:v>Office Supplies</x:v>
      </x:c>
      <x:c r="G266" s="11" t="str">
        <x:v>Notebook pack</x:v>
      </x:c>
      <x:c r="H266" s="11" t="n">
        <x:v>5</x:v>
      </x:c>
      <x:c r="I266" s="19" t="n">
        <x:v>0</x:v>
      </x:c>
      <x:c r="J266" s="11" t="n">
        <x:v>0</x:v>
      </x:c>
      <x:c r="K266" s="20" t="n">
        <x:v>90</x:v>
      </x:c>
      <x:c r="L266" s="20" t="n">
        <x:v>0</x:v>
      </x:c>
      <x:c r="M266" s="20" t="n">
        <x:v>35</x:v>
      </x:c>
      <x:c r="N266" s="20" t="n">
        <x:f>IF(J266=1,0,K266-L266)</x:f>
        <x:v>90</x:v>
      </x:c>
      <x:c r="O266" s="20" t="n">
        <x:f>N266-M266</x:f>
        <x:v>55</x:v>
      </x:c>
    </x:row>
    <x:row r="267" ht="22" customHeight="1">
      <x:c r="A267" s="11" t="n">
        <x:v>263</x:v>
      </x:c>
      <x:c r="B267" s="11" t="n">
        <x:v>133</x:v>
      </x:c>
      <x:c r="C267" s="18" t="n">
        <x:v>45587</x:v>
      </x:c>
      <x:c r="D267" s="11" t="str">
        <x:v>2024-10</x:v>
      </x:c>
      <x:c r="E267" s="11" t="str">
        <x:v>South</x:v>
      </x:c>
      <x:c r="F267" s="11" t="str">
        <x:v>Technology</x:v>
      </x:c>
      <x:c r="G267" s="11" t="str">
        <x:v>Keyboard</x:v>
      </x:c>
      <x:c r="H267" s="11" t="n">
        <x:v>5</x:v>
      </x:c>
      <x:c r="I267" s="19" t="n">
        <x:v>0.15</x:v>
      </x:c>
      <x:c r="J267" s="11" t="n">
        <x:v>0</x:v>
      </x:c>
      <x:c r="K267" s="20" t="n">
        <x:v>325</x:v>
      </x:c>
      <x:c r="L267" s="20" t="n">
        <x:v>48.75</x:v>
      </x:c>
      <x:c r="M267" s="20" t="n">
        <x:v>160</x:v>
      </x:c>
      <x:c r="N267" s="20" t="n">
        <x:f>IF(J267=1,0,K267-L267)</x:f>
        <x:v>276.25</x:v>
      </x:c>
      <x:c r="O267" s="20" t="n">
        <x:f>N267-M267</x:f>
        <x:v>116.25</x:v>
      </x:c>
    </x:row>
    <x:row r="268" ht="22" customHeight="1">
      <x:c r="A268" s="11" t="n">
        <x:v>264</x:v>
      </x:c>
      <x:c r="B268" s="11" t="n">
        <x:v>133</x:v>
      </x:c>
      <x:c r="C268" s="18" t="n">
        <x:v>45587</x:v>
      </x:c>
      <x:c r="D268" s="11" t="str">
        <x:v>2024-10</x:v>
      </x:c>
      <x:c r="E268" s="11" t="str">
        <x:v>South</x:v>
      </x:c>
      <x:c r="F268" s="11" t="str">
        <x:v>Office Supplies</x:v>
      </x:c>
      <x:c r="G268" s="11" t="str">
        <x:v>Notebook pack</x:v>
      </x:c>
      <x:c r="H268" s="11" t="n">
        <x:v>1</x:v>
      </x:c>
      <x:c r="I268" s="19" t="n">
        <x:v>0.1</x:v>
      </x:c>
      <x:c r="J268" s="11" t="n">
        <x:v>0</x:v>
      </x:c>
      <x:c r="K268" s="20" t="n">
        <x:v>18</x:v>
      </x:c>
      <x:c r="L268" s="20" t="n">
        <x:v>1.8</x:v>
      </x:c>
      <x:c r="M268" s="20" t="n">
        <x:v>7</x:v>
      </x:c>
      <x:c r="N268" s="20" t="n">
        <x:f>IF(J268=1,0,K268-L268)</x:f>
        <x:v>16.2</x:v>
      </x:c>
      <x:c r="O268" s="20" t="n">
        <x:f>N268-M268</x:f>
        <x:v>9.2</x:v>
      </x:c>
    </x:row>
    <x:row r="269" ht="22" customHeight="1">
      <x:c r="A269" s="11" t="n">
        <x:v>265</x:v>
      </x:c>
      <x:c r="B269" s="11" t="n">
        <x:v>133</x:v>
      </x:c>
      <x:c r="C269" s="18" t="n">
        <x:v>45587</x:v>
      </x:c>
      <x:c r="D269" s="11" t="str">
        <x:v>2024-10</x:v>
      </x:c>
      <x:c r="E269" s="11" t="str">
        <x:v>South</x:v>
      </x:c>
      <x:c r="F269" s="11" t="str">
        <x:v>Technology</x:v>
      </x:c>
      <x:c r="G269" s="11" t="str">
        <x:v>Monitor</x:v>
      </x:c>
      <x:c r="H269" s="11" t="n">
        <x:v>3</x:v>
      </x:c>
      <x:c r="I269" s="19" t="n">
        <x:v>0.15</x:v>
      </x:c>
      <x:c r="J269" s="11" t="n">
        <x:v>0</x:v>
      </x:c>
      <x:c r="K269" s="20" t="n">
        <x:v>720</x:v>
      </x:c>
      <x:c r="L269" s="20" t="n">
        <x:v>108</x:v>
      </x:c>
      <x:c r="M269" s="20" t="n">
        <x:v>480</x:v>
      </x:c>
      <x:c r="N269" s="20" t="n">
        <x:f>IF(J269=1,0,K269-L269)</x:f>
        <x:v>612</x:v>
      </x:c>
      <x:c r="O269" s="20" t="n">
        <x:f>N269-M269</x:f>
        <x:v>132</x:v>
      </x:c>
    </x:row>
    <x:row r="270" ht="22" customHeight="1">
      <x:c r="A270" s="11" t="n">
        <x:v>266</x:v>
      </x:c>
      <x:c r="B270" s="11" t="n">
        <x:v>134</x:v>
      </x:c>
      <x:c r="C270" s="18" t="n">
        <x:v>45439</x:v>
      </x:c>
      <x:c r="D270" s="11" t="str">
        <x:v>2024-05</x:v>
      </x:c>
      <x:c r="E270" s="11" t="str">
        <x:v>South</x:v>
      </x:c>
      <x:c r="F270" s="11" t="str">
        <x:v>Furniture</x:v>
      </x:c>
      <x:c r="G270" s="11" t="str">
        <x:v>Desk</x:v>
      </x:c>
      <x:c r="H270" s="11" t="n">
        <x:v>2</x:v>
      </x:c>
      <x:c r="I270" s="19" t="n">
        <x:v>0.15</x:v>
      </x:c>
      <x:c r="J270" s="11" t="n">
        <x:v>0</x:v>
      </x:c>
      <x:c r="K270" s="20" t="n">
        <x:v>560</x:v>
      </x:c>
      <x:c r="L270" s="20" t="n">
        <x:v>84</x:v>
      </x:c>
      <x:c r="M270" s="20" t="n">
        <x:v>380</x:v>
      </x:c>
      <x:c r="N270" s="20" t="n">
        <x:f>IF(J270=1,0,K270-L270)</x:f>
        <x:v>476</x:v>
      </x:c>
      <x:c r="O270" s="20" t="n">
        <x:f>N270-M270</x:f>
        <x:v>96</x:v>
      </x:c>
    </x:row>
    <x:row r="271" ht="22" customHeight="1">
      <x:c r="A271" s="11" t="n">
        <x:v>267</x:v>
      </x:c>
      <x:c r="B271" s="11" t="n">
        <x:v>134</x:v>
      </x:c>
      <x:c r="C271" s="18" t="n">
        <x:v>45439</x:v>
      </x:c>
      <x:c r="D271" s="11" t="str">
        <x:v>2024-05</x:v>
      </x:c>
      <x:c r="E271" s="11" t="str">
        <x:v>South</x:v>
      </x:c>
      <x:c r="F271" s="11" t="str">
        <x:v>Office Supplies</x:v>
      </x:c>
      <x:c r="G271" s="11" t="str">
        <x:v>Storage box</x:v>
      </x:c>
      <x:c r="H271" s="11" t="n">
        <x:v>5</x:v>
      </x:c>
      <x:c r="I271" s="19" t="n">
        <x:v>0.1</x:v>
      </x:c>
      <x:c r="J271" s="11" t="n">
        <x:v>0</x:v>
      </x:c>
      <x:c r="K271" s="20" t="n">
        <x:v>130</x:v>
      </x:c>
      <x:c r="L271" s="20" t="n">
        <x:v>13</x:v>
      </x:c>
      <x:c r="M271" s="20" t="n">
        <x:v>60</x:v>
      </x:c>
      <x:c r="N271" s="20" t="n">
        <x:f>IF(J271=1,0,K271-L271)</x:f>
        <x:v>117</x:v>
      </x:c>
      <x:c r="O271" s="20" t="n">
        <x:f>N271-M271</x:f>
        <x:v>57</x:v>
      </x:c>
    </x:row>
    <x:row r="272" ht="22" customHeight="1">
      <x:c r="A272" s="11" t="n">
        <x:v>268</x:v>
      </x:c>
      <x:c r="B272" s="11" t="n">
        <x:v>134</x:v>
      </x:c>
      <x:c r="C272" s="18" t="n">
        <x:v>45439</x:v>
      </x:c>
      <x:c r="D272" s="11" t="str">
        <x:v>2024-05</x:v>
      </x:c>
      <x:c r="E272" s="11" t="str">
        <x:v>South</x:v>
      </x:c>
      <x:c r="F272" s="11" t="str">
        <x:v>Office Supplies</x:v>
      </x:c>
      <x:c r="G272" s="11" t="str">
        <x:v>Notebook pack</x:v>
      </x:c>
      <x:c r="H272" s="11" t="n">
        <x:v>5</x:v>
      </x:c>
      <x:c r="I272" s="19" t="n">
        <x:v>0</x:v>
      </x:c>
      <x:c r="J272" s="11" t="n">
        <x:v>0</x:v>
      </x:c>
      <x:c r="K272" s="20" t="n">
        <x:v>90</x:v>
      </x:c>
      <x:c r="L272" s="20" t="n">
        <x:v>0</x:v>
      </x:c>
      <x:c r="M272" s="20" t="n">
        <x:v>35</x:v>
      </x:c>
      <x:c r="N272" s="20" t="n">
        <x:f>IF(J272=1,0,K272-L272)</x:f>
        <x:v>90</x:v>
      </x:c>
      <x:c r="O272" s="20" t="n">
        <x:f>N272-M272</x:f>
        <x:v>55</x:v>
      </x:c>
    </x:row>
    <x:row r="273" ht="22" customHeight="1">
      <x:c r="A273" s="11" t="n">
        <x:v>269</x:v>
      </x:c>
      <x:c r="B273" s="11" t="n">
        <x:v>135</x:v>
      </x:c>
      <x:c r="C273" s="18" t="n">
        <x:v>45919</x:v>
      </x:c>
      <x:c r="D273" s="11" t="str">
        <x:v>2025-09</x:v>
      </x:c>
      <x:c r="E273" s="11" t="str">
        <x:v>Central</x:v>
      </x:c>
      <x:c r="F273" s="11" t="str">
        <x:v>Office Supplies</x:v>
      </x:c>
      <x:c r="G273" s="11" t="str">
        <x:v>Notebook pack</x:v>
      </x:c>
      <x:c r="H273" s="11" t="n">
        <x:v>5</x:v>
      </x:c>
      <x:c r="I273" s="19" t="n">
        <x:v>0.05</x:v>
      </x:c>
      <x:c r="J273" s="11" t="n">
        <x:v>0</x:v>
      </x:c>
      <x:c r="K273" s="20" t="n">
        <x:v>90</x:v>
      </x:c>
      <x:c r="L273" s="20" t="n">
        <x:v>4.5</x:v>
      </x:c>
      <x:c r="M273" s="20" t="n">
        <x:v>35</x:v>
      </x:c>
      <x:c r="N273" s="20" t="n">
        <x:f>IF(J273=1,0,K273-L273)</x:f>
        <x:v>85.5</x:v>
      </x:c>
      <x:c r="O273" s="20" t="n">
        <x:f>N273-M273</x:f>
        <x:v>50.5</x:v>
      </x:c>
    </x:row>
    <x:row r="274" ht="22" customHeight="1">
      <x:c r="A274" s="11" t="n">
        <x:v>270</x:v>
      </x:c>
      <x:c r="B274" s="11" t="n">
        <x:v>135</x:v>
      </x:c>
      <x:c r="C274" s="18" t="n">
        <x:v>45919</x:v>
      </x:c>
      <x:c r="D274" s="11" t="str">
        <x:v>2025-09</x:v>
      </x:c>
      <x:c r="E274" s="11" t="str">
        <x:v>Central</x:v>
      </x:c>
      <x:c r="F274" s="11" t="str">
        <x:v>Technology</x:v>
      </x:c>
      <x:c r="G274" s="11" t="str">
        <x:v>Monitor</x:v>
      </x:c>
      <x:c r="H274" s="11" t="n">
        <x:v>5</x:v>
      </x:c>
      <x:c r="I274" s="19" t="n">
        <x:v>0.15</x:v>
      </x:c>
      <x:c r="J274" s="11" t="n">
        <x:v>0</x:v>
      </x:c>
      <x:c r="K274" s="20" t="n">
        <x:v>1200</x:v>
      </x:c>
      <x:c r="L274" s="20" t="n">
        <x:v>180</x:v>
      </x:c>
      <x:c r="M274" s="20" t="n">
        <x:v>800</x:v>
      </x:c>
      <x:c r="N274" s="20" t="n">
        <x:f>IF(J274=1,0,K274-L274)</x:f>
        <x:v>1020</x:v>
      </x:c>
      <x:c r="O274" s="20" t="n">
        <x:f>N274-M274</x:f>
        <x:v>220</x:v>
      </x:c>
    </x:row>
    <x:row r="275" ht="22" customHeight="1">
      <x:c r="A275" s="11" t="n">
        <x:v>271</x:v>
      </x:c>
      <x:c r="B275" s="11" t="n">
        <x:v>136</x:v>
      </x:c>
      <x:c r="C275" s="18" t="n">
        <x:v>45868</x:v>
      </x:c>
      <x:c r="D275" s="11" t="str">
        <x:v>2025-07</x:v>
      </x:c>
      <x:c r="E275" s="11" t="str">
        <x:v>Central</x:v>
      </x:c>
      <x:c r="F275" s="11" t="str">
        <x:v>Technology</x:v>
      </x:c>
      <x:c r="G275" s="11" t="str">
        <x:v>Monitor</x:v>
      </x:c>
      <x:c r="H275" s="11" t="n">
        <x:v>3</x:v>
      </x:c>
      <x:c r="I275" s="19" t="n">
        <x:v>0</x:v>
      </x:c>
      <x:c r="J275" s="11" t="n">
        <x:v>0</x:v>
      </x:c>
      <x:c r="K275" s="20" t="n">
        <x:v>720</x:v>
      </x:c>
      <x:c r="L275" s="20" t="n">
        <x:v>0</x:v>
      </x:c>
      <x:c r="M275" s="20" t="n">
        <x:v>480</x:v>
      </x:c>
      <x:c r="N275" s="20" t="n">
        <x:f>IF(J275=1,0,K275-L275)</x:f>
        <x:v>720</x:v>
      </x:c>
      <x:c r="O275" s="20" t="n">
        <x:f>N275-M275</x:f>
        <x:v>240</x:v>
      </x:c>
    </x:row>
    <x:row r="276" ht="22" customHeight="1">
      <x:c r="A276" s="11" t="n">
        <x:v>272</x:v>
      </x:c>
      <x:c r="B276" s="11" t="n">
        <x:v>137</x:v>
      </x:c>
      <x:c r="C276" s="18" t="n">
        <x:v>45889</x:v>
      </x:c>
      <x:c r="D276" s="11" t="str">
        <x:v>2025-08</x:v>
      </x:c>
      <x:c r="E276" s="11" t="str">
        <x:v>East</x:v>
      </x:c>
      <x:c r="F276" s="11" t="str">
        <x:v>Technology</x:v>
      </x:c>
      <x:c r="G276" s="11" t="str">
        <x:v>Keyboard</x:v>
      </x:c>
      <x:c r="H276" s="11" t="n">
        <x:v>1</x:v>
      </x:c>
      <x:c r="I276" s="19" t="n">
        <x:v>0.15</x:v>
      </x:c>
      <x:c r="J276" s="11" t="n">
        <x:v>0</x:v>
      </x:c>
      <x:c r="K276" s="20" t="n">
        <x:v>65</x:v>
      </x:c>
      <x:c r="L276" s="20" t="n">
        <x:v>9.75</x:v>
      </x:c>
      <x:c r="M276" s="20" t="n">
        <x:v>32</x:v>
      </x:c>
      <x:c r="N276" s="20" t="n">
        <x:f>IF(J276=1,0,K276-L276)</x:f>
        <x:v>55.25</x:v>
      </x:c>
      <x:c r="O276" s="20" t="n">
        <x:f>N276-M276</x:f>
        <x:v>23.25</x:v>
      </x:c>
    </x:row>
    <x:row r="277" ht="22" customHeight="1">
      <x:c r="A277" s="11" t="n">
        <x:v>273</x:v>
      </x:c>
      <x:c r="B277" s="11" t="n">
        <x:v>137</x:v>
      </x:c>
      <x:c r="C277" s="18" t="n">
        <x:v>45889</x:v>
      </x:c>
      <x:c r="D277" s="11" t="str">
        <x:v>2025-08</x:v>
      </x:c>
      <x:c r="E277" s="11" t="str">
        <x:v>East</x:v>
      </x:c>
      <x:c r="F277" s="11" t="str">
        <x:v>Technology</x:v>
      </x:c>
      <x:c r="G277" s="11" t="str">
        <x:v>Monitor</x:v>
      </x:c>
      <x:c r="H277" s="11" t="n">
        <x:v>5</x:v>
      </x:c>
      <x:c r="I277" s="19" t="n">
        <x:v>0.15</x:v>
      </x:c>
      <x:c r="J277" s="11" t="n">
        <x:v>0</x:v>
      </x:c>
      <x:c r="K277" s="20" t="n">
        <x:v>1200</x:v>
      </x:c>
      <x:c r="L277" s="20" t="n">
        <x:v>180</x:v>
      </x:c>
      <x:c r="M277" s="20" t="n">
        <x:v>800</x:v>
      </x:c>
      <x:c r="N277" s="20" t="n">
        <x:f>IF(J277=1,0,K277-L277)</x:f>
        <x:v>1020</x:v>
      </x:c>
      <x:c r="O277" s="20" t="n">
        <x:f>N277-M277</x:f>
        <x:v>220</x:v>
      </x:c>
    </x:row>
    <x:row r="278" ht="22" customHeight="1">
      <x:c r="A278" s="11" t="n">
        <x:v>274</x:v>
      </x:c>
      <x:c r="B278" s="11" t="n">
        <x:v>137</x:v>
      </x:c>
      <x:c r="C278" s="18" t="n">
        <x:v>45889</x:v>
      </x:c>
      <x:c r="D278" s="11" t="str">
        <x:v>2025-08</x:v>
      </x:c>
      <x:c r="E278" s="11" t="str">
        <x:v>East</x:v>
      </x:c>
      <x:c r="F278" s="11" t="str">
        <x:v>Furniture</x:v>
      </x:c>
      <x:c r="G278" s="11" t="str">
        <x:v>Chair</x:v>
      </x:c>
      <x:c r="H278" s="11" t="n">
        <x:v>4</x:v>
      </x:c>
      <x:c r="I278" s="19" t="n">
        <x:v>0</x:v>
      </x:c>
      <x:c r="J278" s="11" t="n">
        <x:v>0</x:v>
      </x:c>
      <x:c r="K278" s="20" t="n">
        <x:v>680</x:v>
      </x:c>
      <x:c r="L278" s="20" t="n">
        <x:v>0</x:v>
      </x:c>
      <x:c r="M278" s="20" t="n">
        <x:v>440</x:v>
      </x:c>
      <x:c r="N278" s="20" t="n">
        <x:f>IF(J278=1,0,K278-L278)</x:f>
        <x:v>680</x:v>
      </x:c>
      <x:c r="O278" s="20" t="n">
        <x:f>N278-M278</x:f>
        <x:v>240</x:v>
      </x:c>
    </x:row>
    <x:row r="279" ht="22" customHeight="1">
      <x:c r="A279" s="11" t="n">
        <x:v>275</x:v>
      </x:c>
      <x:c r="B279" s="11" t="n">
        <x:v>138</x:v>
      </x:c>
      <x:c r="C279" s="18" t="n">
        <x:v>45540</x:v>
      </x:c>
      <x:c r="D279" s="11" t="str">
        <x:v>2024-09</x:v>
      </x:c>
      <x:c r="E279" s="11" t="str">
        <x:v>South</x:v>
      </x:c>
      <x:c r="F279" s="11" t="str">
        <x:v>Furniture</x:v>
      </x:c>
      <x:c r="G279" s="11" t="str">
        <x:v>Desk</x:v>
      </x:c>
      <x:c r="H279" s="11" t="n">
        <x:v>4</x:v>
      </x:c>
      <x:c r="I279" s="19" t="n">
        <x:v>0.15</x:v>
      </x:c>
      <x:c r="J279" s="11" t="n">
        <x:v>0</x:v>
      </x:c>
      <x:c r="K279" s="20" t="n">
        <x:v>1120</x:v>
      </x:c>
      <x:c r="L279" s="20" t="n">
        <x:v>168</x:v>
      </x:c>
      <x:c r="M279" s="20" t="n">
        <x:v>760</x:v>
      </x:c>
      <x:c r="N279" s="20" t="n">
        <x:f>IF(J279=1,0,K279-L279)</x:f>
        <x:v>952</x:v>
      </x:c>
      <x:c r="O279" s="20" t="n">
        <x:f>N279-M279</x:f>
        <x:v>192</x:v>
      </x:c>
    </x:row>
    <x:row r="280" ht="22" customHeight="1">
      <x:c r="A280" s="11" t="n">
        <x:v>276</x:v>
      </x:c>
      <x:c r="B280" s="11" t="n">
        <x:v>139</x:v>
      </x:c>
      <x:c r="C280" s="18" t="n">
        <x:v>45714</x:v>
      </x:c>
      <x:c r="D280" s="11" t="str">
        <x:v>2025-02</x:v>
      </x:c>
      <x:c r="E280" s="11" t="str">
        <x:v>Central</x:v>
      </x:c>
      <x:c r="F280" s="11" t="str">
        <x:v>Office Supplies</x:v>
      </x:c>
      <x:c r="G280" s="11" t="str">
        <x:v>Notebook pack</x:v>
      </x:c>
      <x:c r="H280" s="11" t="n">
        <x:v>4</x:v>
      </x:c>
      <x:c r="I280" s="19" t="n">
        <x:v>0</x:v>
      </x:c>
      <x:c r="J280" s="11" t="n">
        <x:v>0</x:v>
      </x:c>
      <x:c r="K280" s="20" t="n">
        <x:v>72</x:v>
      </x:c>
      <x:c r="L280" s="20" t="n">
        <x:v>0</x:v>
      </x:c>
      <x:c r="M280" s="20" t="n">
        <x:v>28</x:v>
      </x:c>
      <x:c r="N280" s="20" t="n">
        <x:f>IF(J280=1,0,K280-L280)</x:f>
        <x:v>72</x:v>
      </x:c>
      <x:c r="O280" s="20" t="n">
        <x:f>N280-M280</x:f>
        <x:v>44</x:v>
      </x:c>
    </x:row>
    <x:row r="281" ht="22" customHeight="1">
      <x:c r="A281" s="11" t="n">
        <x:v>277</x:v>
      </x:c>
      <x:c r="B281" s="11" t="n">
        <x:v>139</x:v>
      </x:c>
      <x:c r="C281" s="18" t="n">
        <x:v>45714</x:v>
      </x:c>
      <x:c r="D281" s="11" t="str">
        <x:v>2025-02</x:v>
      </x:c>
      <x:c r="E281" s="11" t="str">
        <x:v>Central</x:v>
      </x:c>
      <x:c r="F281" s="11" t="str">
        <x:v>Office Supplies</x:v>
      </x:c>
      <x:c r="G281" s="11" t="str">
        <x:v>Storage box</x:v>
      </x:c>
      <x:c r="H281" s="11" t="n">
        <x:v>5</x:v>
      </x:c>
      <x:c r="I281" s="19" t="n">
        <x:v>0</x:v>
      </x:c>
      <x:c r="J281" s="11" t="n">
        <x:v>0</x:v>
      </x:c>
      <x:c r="K281" s="20" t="n">
        <x:v>130</x:v>
      </x:c>
      <x:c r="L281" s="20" t="n">
        <x:v>0</x:v>
      </x:c>
      <x:c r="M281" s="20" t="n">
        <x:v>60</x:v>
      </x:c>
      <x:c r="N281" s="20" t="n">
        <x:f>IF(J281=1,0,K281-L281)</x:f>
        <x:v>130</x:v>
      </x:c>
      <x:c r="O281" s="20" t="n">
        <x:f>N281-M281</x:f>
        <x:v>70</x:v>
      </x:c>
    </x:row>
    <x:row r="282" ht="22" customHeight="1">
      <x:c r="A282" s="11" t="n">
        <x:v>278</x:v>
      </x:c>
      <x:c r="B282" s="11" t="n">
        <x:v>140</x:v>
      </x:c>
      <x:c r="C282" s="18" t="n">
        <x:v>45970</x:v>
      </x:c>
      <x:c r="D282" s="11" t="str">
        <x:v>2025-11</x:v>
      </x:c>
      <x:c r="E282" s="11" t="str">
        <x:v>Central</x:v>
      </x:c>
      <x:c r="F282" s="11" t="str">
        <x:v>Furniture</x:v>
      </x:c>
      <x:c r="G282" s="11" t="str">
        <x:v>Chair</x:v>
      </x:c>
      <x:c r="H282" s="11" t="n">
        <x:v>5</x:v>
      </x:c>
      <x:c r="I282" s="19" t="n">
        <x:v>0.15</x:v>
      </x:c>
      <x:c r="J282" s="11" t="n">
        <x:v>0</x:v>
      </x:c>
      <x:c r="K282" s="20" t="n">
        <x:v>850</x:v>
      </x:c>
      <x:c r="L282" s="20" t="n">
        <x:v>127.5</x:v>
      </x:c>
      <x:c r="M282" s="20" t="n">
        <x:v>550</x:v>
      </x:c>
      <x:c r="N282" s="20" t="n">
        <x:f>IF(J282=1,0,K282-L282)</x:f>
        <x:v>722.5</x:v>
      </x:c>
      <x:c r="O282" s="20" t="n">
        <x:f>N282-M282</x:f>
        <x:v>172.5</x:v>
      </x:c>
    </x:row>
    <x:row r="283" ht="22" customHeight="1">
      <x:c r="A283" s="11" t="n">
        <x:v>279</x:v>
      </x:c>
      <x:c r="B283" s="11" t="n">
        <x:v>140</x:v>
      </x:c>
      <x:c r="C283" s="18" t="n">
        <x:v>45970</x:v>
      </x:c>
      <x:c r="D283" s="11" t="str">
        <x:v>2025-11</x:v>
      </x:c>
      <x:c r="E283" s="11" t="str">
        <x:v>Central</x:v>
      </x:c>
      <x:c r="F283" s="11" t="str">
        <x:v>Technology</x:v>
      </x:c>
      <x:c r="G283" s="11" t="str">
        <x:v>Keyboard</x:v>
      </x:c>
      <x:c r="H283" s="11" t="n">
        <x:v>3</x:v>
      </x:c>
      <x:c r="I283" s="19" t="n">
        <x:v>0.15</x:v>
      </x:c>
      <x:c r="J283" s="11" t="n">
        <x:v>0</x:v>
      </x:c>
      <x:c r="K283" s="20" t="n">
        <x:v>195</x:v>
      </x:c>
      <x:c r="L283" s="20" t="n">
        <x:v>29.25</x:v>
      </x:c>
      <x:c r="M283" s="20" t="n">
        <x:v>96</x:v>
      </x:c>
      <x:c r="N283" s="20" t="n">
        <x:f>IF(J283=1,0,K283-L283)</x:f>
        <x:v>165.75</x:v>
      </x:c>
      <x:c r="O283" s="20" t="n">
        <x:f>N283-M283</x:f>
        <x:v>69.75</x:v>
      </x:c>
    </x:row>
    <x:row r="284" ht="22" customHeight="1">
      <x:c r="A284" s="11" t="n">
        <x:v>280</x:v>
      </x:c>
      <x:c r="B284" s="11" t="n">
        <x:v>141</x:v>
      </x:c>
      <x:c r="C284" s="18" t="n">
        <x:v>45544</x:v>
      </x:c>
      <x:c r="D284" s="11" t="str">
        <x:v>2024-09</x:v>
      </x:c>
      <x:c r="E284" s="11" t="str">
        <x:v>West</x:v>
      </x:c>
      <x:c r="F284" s="11" t="str">
        <x:v>Technology</x:v>
      </x:c>
      <x:c r="G284" s="11" t="str">
        <x:v>Monitor</x:v>
      </x:c>
      <x:c r="H284" s="11" t="n">
        <x:v>3</x:v>
      </x:c>
      <x:c r="I284" s="19" t="n">
        <x:v>0</x:v>
      </x:c>
      <x:c r="J284" s="11" t="n">
        <x:v>0</x:v>
      </x:c>
      <x:c r="K284" s="20" t="n">
        <x:v>720</x:v>
      </x:c>
      <x:c r="L284" s="20" t="n">
        <x:v>0</x:v>
      </x:c>
      <x:c r="M284" s="20" t="n">
        <x:v>480</x:v>
      </x:c>
      <x:c r="N284" s="20" t="n">
        <x:f>IF(J284=1,0,K284-L284)</x:f>
        <x:v>720</x:v>
      </x:c>
      <x:c r="O284" s="20" t="n">
        <x:f>N284-M284</x:f>
        <x:v>240</x:v>
      </x:c>
    </x:row>
    <x:row r="285" ht="22" customHeight="1">
      <x:c r="A285" s="11" t="n">
        <x:v>281</x:v>
      </x:c>
      <x:c r="B285" s="11" t="n">
        <x:v>142</x:v>
      </x:c>
      <x:c r="C285" s="18" t="n">
        <x:v>45792</x:v>
      </x:c>
      <x:c r="D285" s="11" t="str">
        <x:v>2025-05</x:v>
      </x:c>
      <x:c r="E285" s="11" t="str">
        <x:v>Central</x:v>
      </x:c>
      <x:c r="F285" s="11" t="str">
        <x:v>Office Supplies</x:v>
      </x:c>
      <x:c r="G285" s="11" t="str">
        <x:v>Notebook pack</x:v>
      </x:c>
      <x:c r="H285" s="11" t="n">
        <x:v>3</x:v>
      </x:c>
      <x:c r="I285" s="19" t="n">
        <x:v>0</x:v>
      </x:c>
      <x:c r="J285" s="11" t="n">
        <x:v>0</x:v>
      </x:c>
      <x:c r="K285" s="20" t="n">
        <x:v>54</x:v>
      </x:c>
      <x:c r="L285" s="20" t="n">
        <x:v>0</x:v>
      </x:c>
      <x:c r="M285" s="20" t="n">
        <x:v>21</x:v>
      </x:c>
      <x:c r="N285" s="20" t="n">
        <x:f>IF(J285=1,0,K285-L285)</x:f>
        <x:v>54</x:v>
      </x:c>
      <x:c r="O285" s="20" t="n">
        <x:f>N285-M285</x:f>
        <x:v>33</x:v>
      </x:c>
    </x:row>
    <x:row r="286" ht="22" customHeight="1">
      <x:c r="A286" s="11" t="n">
        <x:v>282</x:v>
      </x:c>
      <x:c r="B286" s="11" t="n">
        <x:v>142</x:v>
      </x:c>
      <x:c r="C286" s="18" t="n">
        <x:v>45792</x:v>
      </x:c>
      <x:c r="D286" s="11" t="str">
        <x:v>2025-05</x:v>
      </x:c>
      <x:c r="E286" s="11" t="str">
        <x:v>Central</x:v>
      </x:c>
      <x:c r="F286" s="11" t="str">
        <x:v>Technology</x:v>
      </x:c>
      <x:c r="G286" s="11" t="str">
        <x:v>Monitor</x:v>
      </x:c>
      <x:c r="H286" s="11" t="n">
        <x:v>5</x:v>
      </x:c>
      <x:c r="I286" s="19" t="n">
        <x:v>0.1</x:v>
      </x:c>
      <x:c r="J286" s="11" t="n">
        <x:v>0</x:v>
      </x:c>
      <x:c r="K286" s="20" t="n">
        <x:v>1200</x:v>
      </x:c>
      <x:c r="L286" s="20" t="n">
        <x:v>120</x:v>
      </x:c>
      <x:c r="M286" s="20" t="n">
        <x:v>800</x:v>
      </x:c>
      <x:c r="N286" s="20" t="n">
        <x:f>IF(J286=1,0,K286-L286)</x:f>
        <x:v>1080</x:v>
      </x:c>
      <x:c r="O286" s="20" t="n">
        <x:f>N286-M286</x:f>
        <x:v>280</x:v>
      </x:c>
    </x:row>
    <x:row r="287" ht="22" customHeight="1">
      <x:c r="A287" s="11" t="n">
        <x:v>283</x:v>
      </x:c>
      <x:c r="B287" s="11" t="n">
        <x:v>143</x:v>
      </x:c>
      <x:c r="C287" s="18" t="n">
        <x:v>45696</x:v>
      </x:c>
      <x:c r="D287" s="11" t="str">
        <x:v>2025-02</x:v>
      </x:c>
      <x:c r="E287" s="11" t="str">
        <x:v>South</x:v>
      </x:c>
      <x:c r="F287" s="11" t="str">
        <x:v>Furniture</x:v>
      </x:c>
      <x:c r="G287" s="11" t="str">
        <x:v>Desk</x:v>
      </x:c>
      <x:c r="H287" s="11" t="n">
        <x:v>1</x:v>
      </x:c>
      <x:c r="I287" s="19" t="n">
        <x:v>0.15</x:v>
      </x:c>
      <x:c r="J287" s="11" t="n">
        <x:v>0</x:v>
      </x:c>
      <x:c r="K287" s="20" t="n">
        <x:v>280</x:v>
      </x:c>
      <x:c r="L287" s="20" t="n">
        <x:v>42</x:v>
      </x:c>
      <x:c r="M287" s="20" t="n">
        <x:v>190</x:v>
      </x:c>
      <x:c r="N287" s="20" t="n">
        <x:f>IF(J287=1,0,K287-L287)</x:f>
        <x:v>238</x:v>
      </x:c>
      <x:c r="O287" s="20" t="n">
        <x:f>N287-M287</x:f>
        <x:v>48</x:v>
      </x:c>
    </x:row>
    <x:row r="288" ht="22" customHeight="1">
      <x:c r="A288" s="11" t="n">
        <x:v>284</x:v>
      </x:c>
      <x:c r="B288" s="11" t="n">
        <x:v>143</x:v>
      </x:c>
      <x:c r="C288" s="18" t="n">
        <x:v>45696</x:v>
      </x:c>
      <x:c r="D288" s="11" t="str">
        <x:v>2025-02</x:v>
      </x:c>
      <x:c r="E288" s="11" t="str">
        <x:v>South</x:v>
      </x:c>
      <x:c r="F288" s="11" t="str">
        <x:v>Technology</x:v>
      </x:c>
      <x:c r="G288" s="11" t="str">
        <x:v>Monitor</x:v>
      </x:c>
      <x:c r="H288" s="11" t="n">
        <x:v>3</x:v>
      </x:c>
      <x:c r="I288" s="19" t="n">
        <x:v>0.1</x:v>
      </x:c>
      <x:c r="J288" s="11" t="n">
        <x:v>0</x:v>
      </x:c>
      <x:c r="K288" s="20" t="n">
        <x:v>720</x:v>
      </x:c>
      <x:c r="L288" s="20" t="n">
        <x:v>72</x:v>
      </x:c>
      <x:c r="M288" s="20" t="n">
        <x:v>480</x:v>
      </x:c>
      <x:c r="N288" s="20" t="n">
        <x:f>IF(J288=1,0,K288-L288)</x:f>
        <x:v>648</x:v>
      </x:c>
      <x:c r="O288" s="20" t="n">
        <x:f>N288-M288</x:f>
        <x:v>168</x:v>
      </x:c>
    </x:row>
    <x:row r="289" ht="22" customHeight="1">
      <x:c r="A289" s="11" t="n">
        <x:v>285</x:v>
      </x:c>
      <x:c r="B289" s="11" t="n">
        <x:v>144</x:v>
      </x:c>
      <x:c r="C289" s="18" t="n">
        <x:v>45843</x:v>
      </x:c>
      <x:c r="D289" s="11" t="str">
        <x:v>2025-07</x:v>
      </x:c>
      <x:c r="E289" s="11" t="str">
        <x:v>West</x:v>
      </x:c>
      <x:c r="F289" s="11" t="str">
        <x:v>Furniture</x:v>
      </x:c>
      <x:c r="G289" s="11" t="str">
        <x:v>Desk</x:v>
      </x:c>
      <x:c r="H289" s="11" t="n">
        <x:v>5</x:v>
      </x:c>
      <x:c r="I289" s="19" t="n">
        <x:v>0.05</x:v>
      </x:c>
      <x:c r="J289" s="11" t="n">
        <x:v>0</x:v>
      </x:c>
      <x:c r="K289" s="20" t="n">
        <x:v>1400</x:v>
      </x:c>
      <x:c r="L289" s="20" t="n">
        <x:v>70</x:v>
      </x:c>
      <x:c r="M289" s="20" t="n">
        <x:v>950</x:v>
      </x:c>
      <x:c r="N289" s="20" t="n">
        <x:f>IF(J289=1,0,K289-L289)</x:f>
        <x:v>1330</x:v>
      </x:c>
      <x:c r="O289" s="20" t="n">
        <x:f>N289-M289</x:f>
        <x:v>380</x:v>
      </x:c>
    </x:row>
    <x:row r="290" ht="22" customHeight="1">
      <x:c r="A290" s="11" t="n">
        <x:v>286</x:v>
      </x:c>
      <x:c r="B290" s="11" t="n">
        <x:v>145</x:v>
      </x:c>
      <x:c r="C290" s="18" t="n">
        <x:v>45977</x:v>
      </x:c>
      <x:c r="D290" s="11" t="str">
        <x:v>2025-11</x:v>
      </x:c>
      <x:c r="E290" s="11" t="str">
        <x:v>East</x:v>
      </x:c>
      <x:c r="F290" s="11" t="str">
        <x:v>Furniture</x:v>
      </x:c>
      <x:c r="G290" s="11" t="str">
        <x:v>Chair</x:v>
      </x:c>
      <x:c r="H290" s="11" t="n">
        <x:v>4</x:v>
      </x:c>
      <x:c r="I290" s="19" t="n">
        <x:v>0.15</x:v>
      </x:c>
      <x:c r="J290" s="11" t="n">
        <x:v>0</x:v>
      </x:c>
      <x:c r="K290" s="20" t="n">
        <x:v>680</x:v>
      </x:c>
      <x:c r="L290" s="20" t="n">
        <x:v>102</x:v>
      </x:c>
      <x:c r="M290" s="20" t="n">
        <x:v>440</x:v>
      </x:c>
      <x:c r="N290" s="20" t="n">
        <x:f>IF(J290=1,0,K290-L290)</x:f>
        <x:v>578</x:v>
      </x:c>
      <x:c r="O290" s="20" t="n">
        <x:f>N290-M290</x:f>
        <x:v>138</x:v>
      </x:c>
    </x:row>
    <x:row r="291" ht="22" customHeight="1">
      <x:c r="A291" s="11" t="n">
        <x:v>287</x:v>
      </x:c>
      <x:c r="B291" s="11" t="n">
        <x:v>145</x:v>
      </x:c>
      <x:c r="C291" s="18" t="n">
        <x:v>45977</x:v>
      </x:c>
      <x:c r="D291" s="11" t="str">
        <x:v>2025-11</x:v>
      </x:c>
      <x:c r="E291" s="11" t="str">
        <x:v>East</x:v>
      </x:c>
      <x:c r="F291" s="11" t="str">
        <x:v>Furniture</x:v>
      </x:c>
      <x:c r="G291" s="11" t="str">
        <x:v>Desk</x:v>
      </x:c>
      <x:c r="H291" s="11" t="n">
        <x:v>1</x:v>
      </x:c>
      <x:c r="I291" s="19" t="n">
        <x:v>0</x:v>
      </x:c>
      <x:c r="J291" s="11" t="n">
        <x:v>1</x:v>
      </x:c>
      <x:c r="K291" s="20" t="n">
        <x:v>280</x:v>
      </x:c>
      <x:c r="L291" s="20" t="n">
        <x:v>0</x:v>
      </x:c>
      <x:c r="M291" s="20" t="n">
        <x:v>0</x:v>
      </x:c>
      <x:c r="N291" s="20" t="n">
        <x:f>IF(J291=1,0,K291-L291)</x:f>
        <x:v>0</x:v>
      </x:c>
      <x:c r="O291" s="20" t="n">
        <x:f>N291-M291</x:f>
        <x:v>0</x:v>
      </x:c>
    </x:row>
    <x:row r="292" ht="22" customHeight="1">
      <x:c r="A292" s="11" t="n">
        <x:v>288</x:v>
      </x:c>
      <x:c r="B292" s="11" t="n">
        <x:v>145</x:v>
      </x:c>
      <x:c r="C292" s="18" t="n">
        <x:v>45977</x:v>
      </x:c>
      <x:c r="D292" s="11" t="str">
        <x:v>2025-11</x:v>
      </x:c>
      <x:c r="E292" s="11" t="str">
        <x:v>East</x:v>
      </x:c>
      <x:c r="F292" s="11" t="str">
        <x:v>Office Supplies</x:v>
      </x:c>
      <x:c r="G292" s="11" t="str">
        <x:v>Notebook pack</x:v>
      </x:c>
      <x:c r="H292" s="11" t="n">
        <x:v>5</x:v>
      </x:c>
      <x:c r="I292" s="19" t="n">
        <x:v>0</x:v>
      </x:c>
      <x:c r="J292" s="11" t="n">
        <x:v>0</x:v>
      </x:c>
      <x:c r="K292" s="20" t="n">
        <x:v>90</x:v>
      </x:c>
      <x:c r="L292" s="20" t="n">
        <x:v>0</x:v>
      </x:c>
      <x:c r="M292" s="20" t="n">
        <x:v>35</x:v>
      </x:c>
      <x:c r="N292" s="20" t="n">
        <x:f>IF(J292=1,0,K292-L292)</x:f>
        <x:v>90</x:v>
      </x:c>
      <x:c r="O292" s="20" t="n">
        <x:f>N292-M292</x:f>
        <x:v>55</x:v>
      </x:c>
    </x:row>
    <x:row r="293" ht="22" customHeight="1">
      <x:c r="A293" s="11" t="n">
        <x:v>289</x:v>
      </x:c>
      <x:c r="B293" s="11" t="n">
        <x:v>146</x:v>
      </x:c>
      <x:c r="C293" s="18" t="n">
        <x:v>45779</x:v>
      </x:c>
      <x:c r="D293" s="11" t="str">
        <x:v>2025-05</x:v>
      </x:c>
      <x:c r="E293" s="11" t="str">
        <x:v>Central</x:v>
      </x:c>
      <x:c r="F293" s="11" t="str">
        <x:v>Technology</x:v>
      </x:c>
      <x:c r="G293" s="11" t="str">
        <x:v>Monitor</x:v>
      </x:c>
      <x:c r="H293" s="11" t="n">
        <x:v>1</x:v>
      </x:c>
      <x:c r="I293" s="19" t="n">
        <x:v>0</x:v>
      </x:c>
      <x:c r="J293" s="11" t="n">
        <x:v>0</x:v>
      </x:c>
      <x:c r="K293" s="20" t="n">
        <x:v>240</x:v>
      </x:c>
      <x:c r="L293" s="20" t="n">
        <x:v>0</x:v>
      </x:c>
      <x:c r="M293" s="20" t="n">
        <x:v>160</x:v>
      </x:c>
      <x:c r="N293" s="20" t="n">
        <x:f>IF(J293=1,0,K293-L293)</x:f>
        <x:v>240</x:v>
      </x:c>
      <x:c r="O293" s="20" t="n">
        <x:f>N293-M293</x:f>
        <x:v>80</x:v>
      </x:c>
    </x:row>
    <x:row r="294" ht="22" customHeight="1">
      <x:c r="A294" s="11" t="n">
        <x:v>290</x:v>
      </x:c>
      <x:c r="B294" s="11" t="n">
        <x:v>146</x:v>
      </x:c>
      <x:c r="C294" s="18" t="n">
        <x:v>45779</x:v>
      </x:c>
      <x:c r="D294" s="11" t="str">
        <x:v>2025-05</x:v>
      </x:c>
      <x:c r="E294" s="11" t="str">
        <x:v>Central</x:v>
      </x:c>
      <x:c r="F294" s="11" t="str">
        <x:v>Office Supplies</x:v>
      </x:c>
      <x:c r="G294" s="11" t="str">
        <x:v>Storage box</x:v>
      </x:c>
      <x:c r="H294" s="11" t="n">
        <x:v>2</x:v>
      </x:c>
      <x:c r="I294" s="19" t="n">
        <x:v>0.15</x:v>
      </x:c>
      <x:c r="J294" s="11" t="n">
        <x:v>0</x:v>
      </x:c>
      <x:c r="K294" s="20" t="n">
        <x:v>52</x:v>
      </x:c>
      <x:c r="L294" s="20" t="n">
        <x:v>7.8</x:v>
      </x:c>
      <x:c r="M294" s="20" t="n">
        <x:v>24</x:v>
      </x:c>
      <x:c r="N294" s="20" t="n">
        <x:f>IF(J294=1,0,K294-L294)</x:f>
        <x:v>44.2</x:v>
      </x:c>
      <x:c r="O294" s="20" t="n">
        <x:f>N294-M294</x:f>
        <x:v>20.200000000000003</x:v>
      </x:c>
    </x:row>
    <x:row r="295" ht="22" customHeight="1">
      <x:c r="A295" s="11" t="n">
        <x:v>291</x:v>
      </x:c>
      <x:c r="B295" s="11" t="n">
        <x:v>147</x:v>
      </x:c>
      <x:c r="C295" s="18" t="n">
        <x:v>45330</x:v>
      </x:c>
      <x:c r="D295" s="11" t="str">
        <x:v>2024-02</x:v>
      </x:c>
      <x:c r="E295" s="11" t="str">
        <x:v>Central</x:v>
      </x:c>
      <x:c r="F295" s="11" t="str">
        <x:v>Furniture</x:v>
      </x:c>
      <x:c r="G295" s="11" t="str">
        <x:v>Desk</x:v>
      </x:c>
      <x:c r="H295" s="11" t="n">
        <x:v>4</x:v>
      </x:c>
      <x:c r="I295" s="19" t="n">
        <x:v>0.35</x:v>
      </x:c>
      <x:c r="J295" s="11" t="n">
        <x:v>0</x:v>
      </x:c>
      <x:c r="K295" s="20" t="n">
        <x:v>1120</x:v>
      </x:c>
      <x:c r="L295" s="20" t="n">
        <x:v>392</x:v>
      </x:c>
      <x:c r="M295" s="20" t="n">
        <x:v>760</x:v>
      </x:c>
      <x:c r="N295" s="20" t="n">
        <x:f>IF(J295=1,0,K295-L295)</x:f>
        <x:v>728</x:v>
      </x:c>
      <x:c r="O295" s="20" t="n">
        <x:f>N295-M295</x:f>
        <x:v>-32</x:v>
      </x:c>
    </x:row>
    <x:row r="296" ht="22" customHeight="1">
      <x:c r="A296" s="11" t="n">
        <x:v>292</x:v>
      </x:c>
      <x:c r="B296" s="11" t="n">
        <x:v>148</x:v>
      </x:c>
      <x:c r="C296" s="18" t="n">
        <x:v>45588</x:v>
      </x:c>
      <x:c r="D296" s="11" t="str">
        <x:v>2024-10</x:v>
      </x:c>
      <x:c r="E296" s="11" t="str">
        <x:v>South</x:v>
      </x:c>
      <x:c r="F296" s="11" t="str">
        <x:v>Office Supplies</x:v>
      </x:c>
      <x:c r="G296" s="11" t="str">
        <x:v>Notebook pack</x:v>
      </x:c>
      <x:c r="H296" s="11" t="n">
        <x:v>1</x:v>
      </x:c>
      <x:c r="I296" s="19" t="n">
        <x:v>0.05</x:v>
      </x:c>
      <x:c r="J296" s="11" t="n">
        <x:v>0</x:v>
      </x:c>
      <x:c r="K296" s="20" t="n">
        <x:v>18</x:v>
      </x:c>
      <x:c r="L296" s="20" t="n">
        <x:v>0.9</x:v>
      </x:c>
      <x:c r="M296" s="20" t="n">
        <x:v>7</x:v>
      </x:c>
      <x:c r="N296" s="20" t="n">
        <x:f>IF(J296=1,0,K296-L296)</x:f>
        <x:v>17.1</x:v>
      </x:c>
      <x:c r="O296" s="20" t="n">
        <x:f>N296-M296</x:f>
        <x:v>10.100000000000001</x:v>
      </x:c>
    </x:row>
    <x:row r="297" ht="22" customHeight="1">
      <x:c r="A297" s="11" t="n">
        <x:v>293</x:v>
      </x:c>
      <x:c r="B297" s="11" t="n">
        <x:v>148</x:v>
      </x:c>
      <x:c r="C297" s="18" t="n">
        <x:v>45588</x:v>
      </x:c>
      <x:c r="D297" s="11" t="str">
        <x:v>2024-10</x:v>
      </x:c>
      <x:c r="E297" s="11" t="str">
        <x:v>South</x:v>
      </x:c>
      <x:c r="F297" s="11" t="str">
        <x:v>Office Supplies</x:v>
      </x:c>
      <x:c r="G297" s="11" t="str">
        <x:v>Storage box</x:v>
      </x:c>
      <x:c r="H297" s="11" t="n">
        <x:v>5</x:v>
      </x:c>
      <x:c r="I297" s="19" t="n">
        <x:v>0.15</x:v>
      </x:c>
      <x:c r="J297" s="11" t="n">
        <x:v>0</x:v>
      </x:c>
      <x:c r="K297" s="20" t="n">
        <x:v>130</x:v>
      </x:c>
      <x:c r="L297" s="20" t="n">
        <x:v>19.5</x:v>
      </x:c>
      <x:c r="M297" s="20" t="n">
        <x:v>60</x:v>
      </x:c>
      <x:c r="N297" s="20" t="n">
        <x:f>IF(J297=1,0,K297-L297)</x:f>
        <x:v>110.5</x:v>
      </x:c>
      <x:c r="O297" s="20" t="n">
        <x:f>N297-M297</x:f>
        <x:v>50.5</x:v>
      </x:c>
    </x:row>
    <x:row r="298" ht="22" customHeight="1">
      <x:c r="A298" s="11" t="n">
        <x:v>294</x:v>
      </x:c>
      <x:c r="B298" s="11" t="n">
        <x:v>149</x:v>
      </x:c>
      <x:c r="C298" s="18" t="n">
        <x:v>45429</x:v>
      </x:c>
      <x:c r="D298" s="11" t="str">
        <x:v>2024-05</x:v>
      </x:c>
      <x:c r="E298" s="11" t="str">
        <x:v>East</x:v>
      </x:c>
      <x:c r="F298" s="11" t="str">
        <x:v>Furniture</x:v>
      </x:c>
      <x:c r="G298" s="11" t="str">
        <x:v>Chair</x:v>
      </x:c>
      <x:c r="H298" s="11" t="n">
        <x:v>3</x:v>
      </x:c>
      <x:c r="I298" s="19" t="n">
        <x:v>0</x:v>
      </x:c>
      <x:c r="J298" s="11" t="n">
        <x:v>0</x:v>
      </x:c>
      <x:c r="K298" s="20" t="n">
        <x:v>510</x:v>
      </x:c>
      <x:c r="L298" s="20" t="n">
        <x:v>0</x:v>
      </x:c>
      <x:c r="M298" s="20" t="n">
        <x:v>330</x:v>
      </x:c>
      <x:c r="N298" s="20" t="n">
        <x:f>IF(J298=1,0,K298-L298)</x:f>
        <x:v>510</x:v>
      </x:c>
      <x:c r="O298" s="20" t="n">
        <x:f>N298-M298</x:f>
        <x:v>180</x:v>
      </x:c>
    </x:row>
    <x:row r="299" ht="22" customHeight="1">
      <x:c r="A299" s="11" t="n">
        <x:v>295</x:v>
      </x:c>
      <x:c r="B299" s="11" t="n">
        <x:v>149</x:v>
      </x:c>
      <x:c r="C299" s="18" t="n">
        <x:v>45429</x:v>
      </x:c>
      <x:c r="D299" s="11" t="str">
        <x:v>2024-05</x:v>
      </x:c>
      <x:c r="E299" s="11" t="str">
        <x:v>East</x:v>
      </x:c>
      <x:c r="F299" s="11" t="str">
        <x:v>Furniture</x:v>
      </x:c>
      <x:c r="G299" s="11" t="str">
        <x:v>Desk</x:v>
      </x:c>
      <x:c r="H299" s="11" t="n">
        <x:v>3</x:v>
      </x:c>
      <x:c r="I299" s="19" t="n">
        <x:v>0</x:v>
      </x:c>
      <x:c r="J299" s="11" t="n">
        <x:v>1</x:v>
      </x:c>
      <x:c r="K299" s="20" t="n">
        <x:v>840</x:v>
      </x:c>
      <x:c r="L299" s="20" t="n">
        <x:v>0</x:v>
      </x:c>
      <x:c r="M299" s="20" t="n">
        <x:v>0</x:v>
      </x:c>
      <x:c r="N299" s="20" t="n">
        <x:f>IF(J299=1,0,K299-L299)</x:f>
        <x:v>0</x:v>
      </x:c>
      <x:c r="O299" s="20" t="n">
        <x:f>N299-M299</x:f>
        <x:v>0</x:v>
      </x:c>
    </x:row>
    <x:row r="300" ht="22" customHeight="1">
      <x:c r="A300" s="11" t="n">
        <x:v>296</x:v>
      </x:c>
      <x:c r="B300" s="11" t="n">
        <x:v>150</x:v>
      </x:c>
      <x:c r="C300" s="18" t="n">
        <x:v>45637</x:v>
      </x:c>
      <x:c r="D300" s="11" t="str">
        <x:v>2024-12</x:v>
      </x:c>
      <x:c r="E300" s="11" t="str">
        <x:v>West</x:v>
      </x:c>
      <x:c r="F300" s="11" t="str">
        <x:v>Office Supplies</x:v>
      </x:c>
      <x:c r="G300" s="11" t="str">
        <x:v>Notebook pack</x:v>
      </x:c>
      <x:c r="H300" s="11" t="n">
        <x:v>4</x:v>
      </x:c>
      <x:c r="I300" s="19" t="n">
        <x:v>0.1</x:v>
      </x:c>
      <x:c r="J300" s="11" t="n">
        <x:v>0</x:v>
      </x:c>
      <x:c r="K300" s="20" t="n">
        <x:v>72</x:v>
      </x:c>
      <x:c r="L300" s="20" t="n">
        <x:v>7.2</x:v>
      </x:c>
      <x:c r="M300" s="20" t="n">
        <x:v>28</x:v>
      </x:c>
      <x:c r="N300" s="20" t="n">
        <x:f>IF(J300=1,0,K300-L300)</x:f>
        <x:v>64.8</x:v>
      </x:c>
      <x:c r="O300" s="20" t="n">
        <x:f>N300-M300</x:f>
        <x:v>36.8</x:v>
      </x:c>
    </x:row>
    <x:row r="301" ht="22" customHeight="1">
      <x:c r="A301" s="11" t="n">
        <x:v>297</x:v>
      </x:c>
      <x:c r="B301" s="11" t="n">
        <x:v>151</x:v>
      </x:c>
      <x:c r="C301" s="18" t="n">
        <x:v>45380</x:v>
      </x:c>
      <x:c r="D301" s="11" t="str">
        <x:v>2024-03</x:v>
      </x:c>
      <x:c r="E301" s="11" t="str">
        <x:v>West</x:v>
      </x:c>
      <x:c r="F301" s="11" t="str">
        <x:v>Furniture</x:v>
      </x:c>
      <x:c r="G301" s="11" t="str">
        <x:v>Chair</x:v>
      </x:c>
      <x:c r="H301" s="11" t="n">
        <x:v>4</x:v>
      </x:c>
      <x:c r="I301" s="19" t="n">
        <x:v>0.15</x:v>
      </x:c>
      <x:c r="J301" s="11" t="n">
        <x:v>0</x:v>
      </x:c>
      <x:c r="K301" s="20" t="n">
        <x:v>680</x:v>
      </x:c>
      <x:c r="L301" s="20" t="n">
        <x:v>102</x:v>
      </x:c>
      <x:c r="M301" s="20" t="n">
        <x:v>440</x:v>
      </x:c>
      <x:c r="N301" s="20" t="n">
        <x:f>IF(J301=1,0,K301-L301)</x:f>
        <x:v>578</x:v>
      </x:c>
      <x:c r="O301" s="20" t="n">
        <x:f>N301-M301</x:f>
        <x:v>138</x:v>
      </x:c>
    </x:row>
    <x:row r="302" ht="22" customHeight="1">
      <x:c r="A302" s="11" t="n">
        <x:v>298</x:v>
      </x:c>
      <x:c r="B302" s="11" t="n">
        <x:v>152</x:v>
      </x:c>
      <x:c r="C302" s="18" t="n">
        <x:v>45298</x:v>
      </x:c>
      <x:c r="D302" s="11" t="str">
        <x:v>2024-01</x:v>
      </x:c>
      <x:c r="E302" s="11" t="str">
        <x:v>East</x:v>
      </x:c>
      <x:c r="F302" s="11" t="str">
        <x:v>Technology</x:v>
      </x:c>
      <x:c r="G302" s="11" t="str">
        <x:v>Keyboard</x:v>
      </x:c>
      <x:c r="H302" s="11" t="n">
        <x:v>3</x:v>
      </x:c>
      <x:c r="I302" s="19" t="n">
        <x:v>0.05</x:v>
      </x:c>
      <x:c r="J302" s="11" t="n">
        <x:v>0</x:v>
      </x:c>
      <x:c r="K302" s="20" t="n">
        <x:v>195</x:v>
      </x:c>
      <x:c r="L302" s="20" t="n">
        <x:v>9.75</x:v>
      </x:c>
      <x:c r="M302" s="20" t="n">
        <x:v>96</x:v>
      </x:c>
      <x:c r="N302" s="20" t="n">
        <x:f>IF(J302=1,0,K302-L302)</x:f>
        <x:v>185.25</x:v>
      </x:c>
      <x:c r="O302" s="20" t="n">
        <x:f>N302-M302</x:f>
        <x:v>89.25</x:v>
      </x:c>
    </x:row>
    <x:row r="303" ht="22" customHeight="1">
      <x:c r="A303" s="11" t="n">
        <x:v>299</x:v>
      </x:c>
      <x:c r="B303" s="11" t="n">
        <x:v>153</x:v>
      </x:c>
      <x:c r="C303" s="18" t="n">
        <x:v>45878</x:v>
      </x:c>
      <x:c r="D303" s="11" t="str">
        <x:v>2025-08</x:v>
      </x:c>
      <x:c r="E303" s="11" t="str">
        <x:v>West</x:v>
      </x:c>
      <x:c r="F303" s="11" t="str">
        <x:v>Technology</x:v>
      </x:c>
      <x:c r="G303" s="11" t="str">
        <x:v>Monitor</x:v>
      </x:c>
      <x:c r="H303" s="11" t="n">
        <x:v>1</x:v>
      </x:c>
      <x:c r="I303" s="19" t="n">
        <x:v>0.1</x:v>
      </x:c>
      <x:c r="J303" s="11" t="n">
        <x:v>0</x:v>
      </x:c>
      <x:c r="K303" s="20" t="n">
        <x:v>240</x:v>
      </x:c>
      <x:c r="L303" s="20" t="n">
        <x:v>24</x:v>
      </x:c>
      <x:c r="M303" s="20" t="n">
        <x:v>160</x:v>
      </x:c>
      <x:c r="N303" s="20" t="n">
        <x:f>IF(J303=1,0,K303-L303)</x:f>
        <x:v>216</x:v>
      </x:c>
      <x:c r="O303" s="20" t="n">
        <x:f>N303-M303</x:f>
        <x:v>56</x:v>
      </x:c>
    </x:row>
    <x:row r="304" ht="22" customHeight="1">
      <x:c r="A304" s="11" t="n">
        <x:v>300</x:v>
      </x:c>
      <x:c r="B304" s="11" t="n">
        <x:v>153</x:v>
      </x:c>
      <x:c r="C304" s="18" t="n">
        <x:v>45878</x:v>
      </x:c>
      <x:c r="D304" s="11" t="str">
        <x:v>2025-08</x:v>
      </x:c>
      <x:c r="E304" s="11" t="str">
        <x:v>West</x:v>
      </x:c>
      <x:c r="F304" s="11" t="str">
        <x:v>Furniture</x:v>
      </x:c>
      <x:c r="G304" s="11" t="str">
        <x:v>Chair</x:v>
      </x:c>
      <x:c r="H304" s="11" t="n">
        <x:v>4</x:v>
      </x:c>
      <x:c r="I304" s="19" t="n">
        <x:v>0.1</x:v>
      </x:c>
      <x:c r="J304" s="11" t="n">
        <x:v>0</x:v>
      </x:c>
      <x:c r="K304" s="20" t="n">
        <x:v>680</x:v>
      </x:c>
      <x:c r="L304" s="20" t="n">
        <x:v>68</x:v>
      </x:c>
      <x:c r="M304" s="20" t="n">
        <x:v>440</x:v>
      </x:c>
      <x:c r="N304" s="20" t="n">
        <x:f>IF(J304=1,0,K304-L304)</x:f>
        <x:v>612</x:v>
      </x:c>
      <x:c r="O304" s="20" t="n">
        <x:f>N304-M304</x:f>
        <x:v>172</x:v>
      </x:c>
    </x:row>
    <x:row r="305" ht="22" customHeight="1">
      <x:c r="A305" s="11" t="n">
        <x:v>301</x:v>
      </x:c>
      <x:c r="B305" s="11" t="n">
        <x:v>153</x:v>
      </x:c>
      <x:c r="C305" s="18" t="n">
        <x:v>45878</x:v>
      </x:c>
      <x:c r="D305" s="11" t="str">
        <x:v>2025-08</x:v>
      </x:c>
      <x:c r="E305" s="11" t="str">
        <x:v>West</x:v>
      </x:c>
      <x:c r="F305" s="11" t="str">
        <x:v>Furniture</x:v>
      </x:c>
      <x:c r="G305" s="11" t="str">
        <x:v>Desk</x:v>
      </x:c>
      <x:c r="H305" s="11" t="n">
        <x:v>3</x:v>
      </x:c>
      <x:c r="I305" s="19" t="n">
        <x:v>0.15</x:v>
      </x:c>
      <x:c r="J305" s="11" t="n">
        <x:v>0</x:v>
      </x:c>
      <x:c r="K305" s="20" t="n">
        <x:v>840</x:v>
      </x:c>
      <x:c r="L305" s="20" t="n">
        <x:v>126</x:v>
      </x:c>
      <x:c r="M305" s="20" t="n">
        <x:v>570</x:v>
      </x:c>
      <x:c r="N305" s="20" t="n">
        <x:f>IF(J305=1,0,K305-L305)</x:f>
        <x:v>714</x:v>
      </x:c>
      <x:c r="O305" s="20" t="n">
        <x:f>N305-M305</x:f>
        <x:v>144</x:v>
      </x:c>
    </x:row>
    <x:row r="306" ht="22" customHeight="1">
      <x:c r="A306" s="11" t="n">
        <x:v>302</x:v>
      </x:c>
      <x:c r="B306" s="11" t="n">
        <x:v>154</x:v>
      </x:c>
      <x:c r="C306" s="18" t="n">
        <x:v>45516</x:v>
      </x:c>
      <x:c r="D306" s="11" t="str">
        <x:v>2024-08</x:v>
      </x:c>
      <x:c r="E306" s="11" t="str">
        <x:v>East</x:v>
      </x:c>
      <x:c r="F306" s="11" t="str">
        <x:v>Technology</x:v>
      </x:c>
      <x:c r="G306" s="11" t="str">
        <x:v>Keyboard</x:v>
      </x:c>
      <x:c r="H306" s="11" t="n">
        <x:v>5</x:v>
      </x:c>
      <x:c r="I306" s="19" t="n">
        <x:v>0.05</x:v>
      </x:c>
      <x:c r="J306" s="11" t="n">
        <x:v>0</x:v>
      </x:c>
      <x:c r="K306" s="20" t="n">
        <x:v>325</x:v>
      </x:c>
      <x:c r="L306" s="20" t="n">
        <x:v>16.25</x:v>
      </x:c>
      <x:c r="M306" s="20" t="n">
        <x:v>160</x:v>
      </x:c>
      <x:c r="N306" s="20" t="n">
        <x:f>IF(J306=1,0,K306-L306)</x:f>
        <x:v>308.75</x:v>
      </x:c>
      <x:c r="O306" s="20" t="n">
        <x:f>N306-M306</x:f>
        <x:v>148.75</x:v>
      </x:c>
    </x:row>
    <x:row r="307" ht="22" customHeight="1">
      <x:c r="A307" s="11" t="n">
        <x:v>303</x:v>
      </x:c>
      <x:c r="B307" s="11" t="n">
        <x:v>155</x:v>
      </x:c>
      <x:c r="C307" s="18" t="n">
        <x:v>45854</x:v>
      </x:c>
      <x:c r="D307" s="11" t="str">
        <x:v>2025-07</x:v>
      </x:c>
      <x:c r="E307" s="11" t="str">
        <x:v>East</x:v>
      </x:c>
      <x:c r="F307" s="11" t="str">
        <x:v>Office Supplies</x:v>
      </x:c>
      <x:c r="G307" s="11" t="str">
        <x:v>Storage box</x:v>
      </x:c>
      <x:c r="H307" s="11" t="n">
        <x:v>5</x:v>
      </x:c>
      <x:c r="I307" s="19" t="n">
        <x:v>0</x:v>
      </x:c>
      <x:c r="J307" s="11" t="n">
        <x:v>0</x:v>
      </x:c>
      <x:c r="K307" s="20" t="n">
        <x:v>130</x:v>
      </x:c>
      <x:c r="L307" s="20" t="n">
        <x:v>0</x:v>
      </x:c>
      <x:c r="M307" s="20" t="n">
        <x:v>60</x:v>
      </x:c>
      <x:c r="N307" s="20" t="n">
        <x:f>IF(J307=1,0,K307-L307)</x:f>
        <x:v>130</x:v>
      </x:c>
      <x:c r="O307" s="20" t="n">
        <x:f>N307-M307</x:f>
        <x:v>70</x:v>
      </x:c>
    </x:row>
    <x:row r="308" ht="22" customHeight="1">
      <x:c r="A308" s="11" t="n">
        <x:v>304</x:v>
      </x:c>
      <x:c r="B308" s="11" t="n">
        <x:v>156</x:v>
      </x:c>
      <x:c r="C308" s="18" t="n">
        <x:v>45832</x:v>
      </x:c>
      <x:c r="D308" s="11" t="str">
        <x:v>2025-06</x:v>
      </x:c>
      <x:c r="E308" s="11" t="str">
        <x:v>South</x:v>
      </x:c>
      <x:c r="F308" s="11" t="str">
        <x:v>Office Supplies</x:v>
      </x:c>
      <x:c r="G308" s="11" t="str">
        <x:v>Notebook pack</x:v>
      </x:c>
      <x:c r="H308" s="11" t="n">
        <x:v>1</x:v>
      </x:c>
      <x:c r="I308" s="19" t="n">
        <x:v>0</x:v>
      </x:c>
      <x:c r="J308" s="11" t="n">
        <x:v>0</x:v>
      </x:c>
      <x:c r="K308" s="20" t="n">
        <x:v>18</x:v>
      </x:c>
      <x:c r="L308" s="20" t="n">
        <x:v>0</x:v>
      </x:c>
      <x:c r="M308" s="20" t="n">
        <x:v>7</x:v>
      </x:c>
      <x:c r="N308" s="20" t="n">
        <x:f>IF(J308=1,0,K308-L308)</x:f>
        <x:v>18</x:v>
      </x:c>
      <x:c r="O308" s="20" t="n">
        <x:f>N308-M308</x:f>
        <x:v>11</x:v>
      </x:c>
    </x:row>
    <x:row r="309" ht="22" customHeight="1">
      <x:c r="A309" s="11" t="n">
        <x:v>305</x:v>
      </x:c>
      <x:c r="B309" s="11" t="n">
        <x:v>157</x:v>
      </x:c>
      <x:c r="C309" s="18" t="n">
        <x:v>45809</x:v>
      </x:c>
      <x:c r="D309" s="11" t="str">
        <x:v>2025-06</x:v>
      </x:c>
      <x:c r="E309" s="11" t="str">
        <x:v>Central</x:v>
      </x:c>
      <x:c r="F309" s="11" t="str">
        <x:v>Technology</x:v>
      </x:c>
      <x:c r="G309" s="11" t="str">
        <x:v>Monitor</x:v>
      </x:c>
      <x:c r="H309" s="11" t="n">
        <x:v>5</x:v>
      </x:c>
      <x:c r="I309" s="19" t="n">
        <x:v>0.1</x:v>
      </x:c>
      <x:c r="J309" s="11" t="n">
        <x:v>0</x:v>
      </x:c>
      <x:c r="K309" s="20" t="n">
        <x:v>1200</x:v>
      </x:c>
      <x:c r="L309" s="20" t="n">
        <x:v>120</x:v>
      </x:c>
      <x:c r="M309" s="20" t="n">
        <x:v>800</x:v>
      </x:c>
      <x:c r="N309" s="20" t="n">
        <x:f>IF(J309=1,0,K309-L309)</x:f>
        <x:v>1080</x:v>
      </x:c>
      <x:c r="O309" s="20" t="n">
        <x:f>N309-M309</x:f>
        <x:v>280</x:v>
      </x:c>
    </x:row>
    <x:row r="310" ht="22" customHeight="1">
      <x:c r="A310" s="11" t="n">
        <x:v>306</x:v>
      </x:c>
      <x:c r="B310" s="11" t="n">
        <x:v>158</x:v>
      </x:c>
      <x:c r="C310" s="18" t="n">
        <x:v>45502</x:v>
      </x:c>
      <x:c r="D310" s="11" t="str">
        <x:v>2024-07</x:v>
      </x:c>
      <x:c r="E310" s="11" t="str">
        <x:v>South</x:v>
      </x:c>
      <x:c r="F310" s="11" t="str">
        <x:v>Office Supplies</x:v>
      </x:c>
      <x:c r="G310" s="11" t="str">
        <x:v>Notebook pack</x:v>
      </x:c>
      <x:c r="H310" s="11" t="n">
        <x:v>4</x:v>
      </x:c>
      <x:c r="I310" s="19" t="n">
        <x:v>0</x:v>
      </x:c>
      <x:c r="J310" s="11" t="n">
        <x:v>0</x:v>
      </x:c>
      <x:c r="K310" s="20" t="n">
        <x:v>72</x:v>
      </x:c>
      <x:c r="L310" s="20" t="n">
        <x:v>0</x:v>
      </x:c>
      <x:c r="M310" s="20" t="n">
        <x:v>28</x:v>
      </x:c>
      <x:c r="N310" s="20" t="n">
        <x:f>IF(J310=1,0,K310-L310)</x:f>
        <x:v>72</x:v>
      </x:c>
      <x:c r="O310" s="20" t="n">
        <x:f>N310-M310</x:f>
        <x:v>44</x:v>
      </x:c>
    </x:row>
    <x:row r="311" ht="22" customHeight="1">
      <x:c r="A311" s="11" t="n">
        <x:v>307</x:v>
      </x:c>
      <x:c r="B311" s="11" t="n">
        <x:v>159</x:v>
      </x:c>
      <x:c r="C311" s="18" t="n">
        <x:v>45817</x:v>
      </x:c>
      <x:c r="D311" s="11" t="str">
        <x:v>2025-06</x:v>
      </x:c>
      <x:c r="E311" s="11" t="str">
        <x:v>South</x:v>
      </x:c>
      <x:c r="F311" s="11" t="str">
        <x:v>Furniture</x:v>
      </x:c>
      <x:c r="G311" s="11" t="str">
        <x:v>Desk</x:v>
      </x:c>
      <x:c r="H311" s="11" t="n">
        <x:v>3</x:v>
      </x:c>
      <x:c r="I311" s="19" t="n">
        <x:v>0</x:v>
      </x:c>
      <x:c r="J311" s="11" t="n">
        <x:v>0</x:v>
      </x:c>
      <x:c r="K311" s="20" t="n">
        <x:v>840</x:v>
      </x:c>
      <x:c r="L311" s="20" t="n">
        <x:v>0</x:v>
      </x:c>
      <x:c r="M311" s="20" t="n">
        <x:v>570</x:v>
      </x:c>
      <x:c r="N311" s="20" t="n">
        <x:f>IF(J311=1,0,K311-L311)</x:f>
        <x:v>840</x:v>
      </x:c>
      <x:c r="O311" s="20" t="n">
        <x:f>N311-M311</x:f>
        <x:v>270</x:v>
      </x:c>
    </x:row>
    <x:row r="312" ht="22" customHeight="1">
      <x:c r="A312" s="11" t="n">
        <x:v>308</x:v>
      </x:c>
      <x:c r="B312" s="11" t="n">
        <x:v>159</x:v>
      </x:c>
      <x:c r="C312" s="18" t="n">
        <x:v>45817</x:v>
      </x:c>
      <x:c r="D312" s="11" t="str">
        <x:v>2025-06</x:v>
      </x:c>
      <x:c r="E312" s="11" t="str">
        <x:v>South</x:v>
      </x:c>
      <x:c r="F312" s="11" t="str">
        <x:v>Office Supplies</x:v>
      </x:c>
      <x:c r="G312" s="11" t="str">
        <x:v>Notebook pack</x:v>
      </x:c>
      <x:c r="H312" s="11" t="n">
        <x:v>1</x:v>
      </x:c>
      <x:c r="I312" s="19" t="n">
        <x:v>0</x:v>
      </x:c>
      <x:c r="J312" s="11" t="n">
        <x:v>0</x:v>
      </x:c>
      <x:c r="K312" s="20" t="n">
        <x:v>18</x:v>
      </x:c>
      <x:c r="L312" s="20" t="n">
        <x:v>0</x:v>
      </x:c>
      <x:c r="M312" s="20" t="n">
        <x:v>7</x:v>
      </x:c>
      <x:c r="N312" s="20" t="n">
        <x:f>IF(J312=1,0,K312-L312)</x:f>
        <x:v>18</x:v>
      </x:c>
      <x:c r="O312" s="20" t="n">
        <x:f>N312-M312</x:f>
        <x:v>11</x:v>
      </x:c>
    </x:row>
    <x:row r="313" ht="22" customHeight="1">
      <x:c r="A313" s="11" t="n">
        <x:v>309</x:v>
      </x:c>
      <x:c r="B313" s="11" t="n">
        <x:v>159</x:v>
      </x:c>
      <x:c r="C313" s="18" t="n">
        <x:v>45817</x:v>
      </x:c>
      <x:c r="D313" s="11" t="str">
        <x:v>2025-06</x:v>
      </x:c>
      <x:c r="E313" s="11" t="str">
        <x:v>South</x:v>
      </x:c>
      <x:c r="F313" s="11" t="str">
        <x:v>Technology</x:v>
      </x:c>
      <x:c r="G313" s="11" t="str">
        <x:v>Keyboard</x:v>
      </x:c>
      <x:c r="H313" s="11" t="n">
        <x:v>1</x:v>
      </x:c>
      <x:c r="I313" s="19" t="n">
        <x:v>0.1</x:v>
      </x:c>
      <x:c r="J313" s="11" t="n">
        <x:v>0</x:v>
      </x:c>
      <x:c r="K313" s="20" t="n">
        <x:v>65</x:v>
      </x:c>
      <x:c r="L313" s="20" t="n">
        <x:v>6.5</x:v>
      </x:c>
      <x:c r="M313" s="20" t="n">
        <x:v>32</x:v>
      </x:c>
      <x:c r="N313" s="20" t="n">
        <x:f>IF(J313=1,0,K313-L313)</x:f>
        <x:v>58.5</x:v>
      </x:c>
      <x:c r="O313" s="20" t="n">
        <x:f>N313-M313</x:f>
        <x:v>26.5</x:v>
      </x:c>
    </x:row>
    <x:row r="314" ht="22" customHeight="1">
      <x:c r="A314" s="11" t="n">
        <x:v>310</x:v>
      </x:c>
      <x:c r="B314" s="11" t="n">
        <x:v>160</x:v>
      </x:c>
      <x:c r="C314" s="18" t="n">
        <x:v>45357</x:v>
      </x:c>
      <x:c r="D314" s="11" t="str">
        <x:v>2024-03</x:v>
      </x:c>
      <x:c r="E314" s="11" t="str">
        <x:v>East</x:v>
      </x:c>
      <x:c r="F314" s="11" t="str">
        <x:v>Technology</x:v>
      </x:c>
      <x:c r="G314" s="11" t="str">
        <x:v>Keyboard</x:v>
      </x:c>
      <x:c r="H314" s="11" t="n">
        <x:v>1</x:v>
      </x:c>
      <x:c r="I314" s="19" t="n">
        <x:v>0.05</x:v>
      </x:c>
      <x:c r="J314" s="11" t="n">
        <x:v>0</x:v>
      </x:c>
      <x:c r="K314" s="20" t="n">
        <x:v>65</x:v>
      </x:c>
      <x:c r="L314" s="20" t="n">
        <x:v>3.25</x:v>
      </x:c>
      <x:c r="M314" s="20" t="n">
        <x:v>32</x:v>
      </x:c>
      <x:c r="N314" s="20" t="n">
        <x:f>IF(J314=1,0,K314-L314)</x:f>
        <x:v>61.75</x:v>
      </x:c>
      <x:c r="O314" s="20" t="n">
        <x:f>N314-M314</x:f>
        <x:v>29.75</x:v>
      </x:c>
    </x:row>
    <x:row r="315" ht="22" customHeight="1">
      <x:c r="A315" s="11" t="n">
        <x:v>311</x:v>
      </x:c>
      <x:c r="B315" s="11" t="n">
        <x:v>161</x:v>
      </x:c>
      <x:c r="C315" s="18" t="n">
        <x:v>45430</x:v>
      </x:c>
      <x:c r="D315" s="11" t="str">
        <x:v>2024-05</x:v>
      </x:c>
      <x:c r="E315" s="11" t="str">
        <x:v>South</x:v>
      </x:c>
      <x:c r="F315" s="11" t="str">
        <x:v>Technology</x:v>
      </x:c>
      <x:c r="G315" s="11" t="str">
        <x:v>Keyboard</x:v>
      </x:c>
      <x:c r="H315" s="11" t="n">
        <x:v>4</x:v>
      </x:c>
      <x:c r="I315" s="19" t="n">
        <x:v>0.1</x:v>
      </x:c>
      <x:c r="J315" s="11" t="n">
        <x:v>0</x:v>
      </x:c>
      <x:c r="K315" s="20" t="n">
        <x:v>260</x:v>
      </x:c>
      <x:c r="L315" s="20" t="n">
        <x:v>26</x:v>
      </x:c>
      <x:c r="M315" s="20" t="n">
        <x:v>128</x:v>
      </x:c>
      <x:c r="N315" s="20" t="n">
        <x:f>IF(J315=1,0,K315-L315)</x:f>
        <x:v>234</x:v>
      </x:c>
      <x:c r="O315" s="20" t="n">
        <x:f>N315-M315</x:f>
        <x:v>106</x:v>
      </x:c>
    </x:row>
    <x:row r="316" ht="22" customHeight="1">
      <x:c r="A316" s="11" t="n">
        <x:v>312</x:v>
      </x:c>
      <x:c r="B316" s="11" t="n">
        <x:v>161</x:v>
      </x:c>
      <x:c r="C316" s="18" t="n">
        <x:v>45430</x:v>
      </x:c>
      <x:c r="D316" s="11" t="str">
        <x:v>2024-05</x:v>
      </x:c>
      <x:c r="E316" s="11" t="str">
        <x:v>South</x:v>
      </x:c>
      <x:c r="F316" s="11" t="str">
        <x:v>Office Supplies</x:v>
      </x:c>
      <x:c r="G316" s="11" t="str">
        <x:v>Storage box</x:v>
      </x:c>
      <x:c r="H316" s="11" t="n">
        <x:v>5</x:v>
      </x:c>
      <x:c r="I316" s="19" t="n">
        <x:v>0</x:v>
      </x:c>
      <x:c r="J316" s="11" t="n">
        <x:v>0</x:v>
      </x:c>
      <x:c r="K316" s="20" t="n">
        <x:v>130</x:v>
      </x:c>
      <x:c r="L316" s="20" t="n">
        <x:v>0</x:v>
      </x:c>
      <x:c r="M316" s="20" t="n">
        <x:v>60</x:v>
      </x:c>
      <x:c r="N316" s="20" t="n">
        <x:f>IF(J316=1,0,K316-L316)</x:f>
        <x:v>130</x:v>
      </x:c>
      <x:c r="O316" s="20" t="n">
        <x:f>N316-M316</x:f>
        <x:v>70</x:v>
      </x:c>
    </x:row>
    <x:row r="317" ht="22" customHeight="1">
      <x:c r="A317" s="11" t="n">
        <x:v>313</x:v>
      </x:c>
      <x:c r="B317" s="11" t="n">
        <x:v>162</x:v>
      </x:c>
      <x:c r="C317" s="18" t="n">
        <x:v>45648</x:v>
      </x:c>
      <x:c r="D317" s="11" t="str">
        <x:v>2024-12</x:v>
      </x:c>
      <x:c r="E317" s="11" t="str">
        <x:v>West</x:v>
      </x:c>
      <x:c r="F317" s="11" t="str">
        <x:v>Technology</x:v>
      </x:c>
      <x:c r="G317" s="11" t="str">
        <x:v>Keyboard</x:v>
      </x:c>
      <x:c r="H317" s="11" t="n">
        <x:v>2</x:v>
      </x:c>
      <x:c r="I317" s="19" t="n">
        <x:v>0</x:v>
      </x:c>
      <x:c r="J317" s="11" t="n">
        <x:v>0</x:v>
      </x:c>
      <x:c r="K317" s="20" t="n">
        <x:v>130</x:v>
      </x:c>
      <x:c r="L317" s="20" t="n">
        <x:v>0</x:v>
      </x:c>
      <x:c r="M317" s="20" t="n">
        <x:v>64</x:v>
      </x:c>
      <x:c r="N317" s="20" t="n">
        <x:f>IF(J317=1,0,K317-L317)</x:f>
        <x:v>130</x:v>
      </x:c>
      <x:c r="O317" s="20" t="n">
        <x:f>N317-M317</x:f>
        <x:v>66</x:v>
      </x:c>
    </x:row>
    <x:row r="318" ht="22" customHeight="1">
      <x:c r="A318" s="11" t="n">
        <x:v>314</x:v>
      </x:c>
      <x:c r="B318" s="11" t="n">
        <x:v>162</x:v>
      </x:c>
      <x:c r="C318" s="18" t="n">
        <x:v>45648</x:v>
      </x:c>
      <x:c r="D318" s="11" t="str">
        <x:v>2024-12</x:v>
      </x:c>
      <x:c r="E318" s="11" t="str">
        <x:v>West</x:v>
      </x:c>
      <x:c r="F318" s="11" t="str">
        <x:v>Office Supplies</x:v>
      </x:c>
      <x:c r="G318" s="11" t="str">
        <x:v>Notebook pack</x:v>
      </x:c>
      <x:c r="H318" s="11" t="n">
        <x:v>3</x:v>
      </x:c>
      <x:c r="I318" s="19" t="n">
        <x:v>0.1</x:v>
      </x:c>
      <x:c r="J318" s="11" t="n">
        <x:v>0</x:v>
      </x:c>
      <x:c r="K318" s="20" t="n">
        <x:v>54</x:v>
      </x:c>
      <x:c r="L318" s="20" t="n">
        <x:v>5.4</x:v>
      </x:c>
      <x:c r="M318" s="20" t="n">
        <x:v>21</x:v>
      </x:c>
      <x:c r="N318" s="20" t="n">
        <x:f>IF(J318=1,0,K318-L318)</x:f>
        <x:v>48.6</x:v>
      </x:c>
      <x:c r="O318" s="20" t="n">
        <x:f>N318-M318</x:f>
        <x:v>27.6</x:v>
      </x:c>
    </x:row>
    <x:row r="319" ht="22" customHeight="1">
      <x:c r="A319" s="11" t="n">
        <x:v>315</x:v>
      </x:c>
      <x:c r="B319" s="11" t="n">
        <x:v>162</x:v>
      </x:c>
      <x:c r="C319" s="18" t="n">
        <x:v>45648</x:v>
      </x:c>
      <x:c r="D319" s="11" t="str">
        <x:v>2024-12</x:v>
      </x:c>
      <x:c r="E319" s="11" t="str">
        <x:v>West</x:v>
      </x:c>
      <x:c r="F319" s="11" t="str">
        <x:v>Furniture</x:v>
      </x:c>
      <x:c r="G319" s="11" t="str">
        <x:v>Chair</x:v>
      </x:c>
      <x:c r="H319" s="11" t="n">
        <x:v>5</x:v>
      </x:c>
      <x:c r="I319" s="19" t="n">
        <x:v>0.25</x:v>
      </x:c>
      <x:c r="J319" s="11" t="n">
        <x:v>0</x:v>
      </x:c>
      <x:c r="K319" s="20" t="n">
        <x:v>850</x:v>
      </x:c>
      <x:c r="L319" s="20" t="n">
        <x:v>212.5</x:v>
      </x:c>
      <x:c r="M319" s="20" t="n">
        <x:v>550</x:v>
      </x:c>
      <x:c r="N319" s="20" t="n">
        <x:f>IF(J319=1,0,K319-L319)</x:f>
        <x:v>637.5</x:v>
      </x:c>
      <x:c r="O319" s="20" t="n">
        <x:f>N319-M319</x:f>
        <x:v>87.5</x:v>
      </x:c>
    </x:row>
    <x:row r="320" ht="22" customHeight="1">
      <x:c r="A320" s="11" t="n">
        <x:v>316</x:v>
      </x:c>
      <x:c r="B320" s="11" t="n">
        <x:v>163</x:v>
      </x:c>
      <x:c r="C320" s="18" t="n">
        <x:v>45527</x:v>
      </x:c>
      <x:c r="D320" s="11" t="str">
        <x:v>2024-08</x:v>
      </x:c>
      <x:c r="E320" s="11" t="str">
        <x:v>Central</x:v>
      </x:c>
      <x:c r="F320" s="11" t="str">
        <x:v>Furniture</x:v>
      </x:c>
      <x:c r="G320" s="11" t="str">
        <x:v>Chair</x:v>
      </x:c>
      <x:c r="H320" s="11" t="n">
        <x:v>2</x:v>
      </x:c>
      <x:c r="I320" s="19" t="n">
        <x:v>0</x:v>
      </x:c>
      <x:c r="J320" s="11" t="n">
        <x:v>1</x:v>
      </x:c>
      <x:c r="K320" s="20" t="n">
        <x:v>340</x:v>
      </x:c>
      <x:c r="L320" s="20" t="n">
        <x:v>0</x:v>
      </x:c>
      <x:c r="M320" s="20" t="n">
        <x:v>0</x:v>
      </x:c>
      <x:c r="N320" s="20" t="n">
        <x:f>IF(J320=1,0,K320-L320)</x:f>
        <x:v>0</x:v>
      </x:c>
      <x:c r="O320" s="20" t="n">
        <x:f>N320-M320</x:f>
        <x:v>0</x:v>
      </x:c>
    </x:row>
    <x:row r="321" ht="22" customHeight="1">
      <x:c r="A321" s="11" t="n">
        <x:v>317</x:v>
      </x:c>
      <x:c r="B321" s="11" t="n">
        <x:v>163</x:v>
      </x:c>
      <x:c r="C321" s="18" t="n">
        <x:v>45527</x:v>
      </x:c>
      <x:c r="D321" s="11" t="str">
        <x:v>2024-08</x:v>
      </x:c>
      <x:c r="E321" s="11" t="str">
        <x:v>Central</x:v>
      </x:c>
      <x:c r="F321" s="11" t="str">
        <x:v>Technology</x:v>
      </x:c>
      <x:c r="G321" s="11" t="str">
        <x:v>Monitor</x:v>
      </x:c>
      <x:c r="H321" s="11" t="n">
        <x:v>4</x:v>
      </x:c>
      <x:c r="I321" s="19" t="n">
        <x:v>0.15</x:v>
      </x:c>
      <x:c r="J321" s="11" t="n">
        <x:v>0</x:v>
      </x:c>
      <x:c r="K321" s="20" t="n">
        <x:v>960</x:v>
      </x:c>
      <x:c r="L321" s="20" t="n">
        <x:v>144</x:v>
      </x:c>
      <x:c r="M321" s="20" t="n">
        <x:v>640</x:v>
      </x:c>
      <x:c r="N321" s="20" t="n">
        <x:f>IF(J321=1,0,K321-L321)</x:f>
        <x:v>816</x:v>
      </x:c>
      <x:c r="O321" s="20" t="n">
        <x:f>N321-M321</x:f>
        <x:v>176</x:v>
      </x:c>
    </x:row>
    <x:row r="322" ht="22" customHeight="1">
      <x:c r="A322" s="11" t="n">
        <x:v>318</x:v>
      </x:c>
      <x:c r="B322" s="11" t="n">
        <x:v>164</x:v>
      </x:c>
      <x:c r="C322" s="18" t="n">
        <x:v>45308</x:v>
      </x:c>
      <x:c r="D322" s="11" t="str">
        <x:v>2024-01</x:v>
      </x:c>
      <x:c r="E322" s="11" t="str">
        <x:v>Central</x:v>
      </x:c>
      <x:c r="F322" s="11" t="str">
        <x:v>Furniture</x:v>
      </x:c>
      <x:c r="G322" s="11" t="str">
        <x:v>Desk</x:v>
      </x:c>
      <x:c r="H322" s="11" t="n">
        <x:v>5</x:v>
      </x:c>
      <x:c r="I322" s="19" t="n">
        <x:v>0</x:v>
      </x:c>
      <x:c r="J322" s="11" t="n">
        <x:v>0</x:v>
      </x:c>
      <x:c r="K322" s="20" t="n">
        <x:v>1400</x:v>
      </x:c>
      <x:c r="L322" s="20" t="n">
        <x:v>0</x:v>
      </x:c>
      <x:c r="M322" s="20" t="n">
        <x:v>950</x:v>
      </x:c>
      <x:c r="N322" s="20" t="n">
        <x:f>IF(J322=1,0,K322-L322)</x:f>
        <x:v>1400</x:v>
      </x:c>
      <x:c r="O322" s="20" t="n">
        <x:f>N322-M322</x:f>
        <x:v>450</x:v>
      </x:c>
    </x:row>
    <x:row r="323" ht="22" customHeight="1">
      <x:c r="A323" s="11" t="n">
        <x:v>319</x:v>
      </x:c>
      <x:c r="B323" s="11" t="n">
        <x:v>165</x:v>
      </x:c>
      <x:c r="C323" s="18" t="n">
        <x:v>45980</x:v>
      </x:c>
      <x:c r="D323" s="11" t="str">
        <x:v>2025-11</x:v>
      </x:c>
      <x:c r="E323" s="11" t="str">
        <x:v>South</x:v>
      </x:c>
      <x:c r="F323" s="11" t="str">
        <x:v>Office Supplies</x:v>
      </x:c>
      <x:c r="G323" s="11" t="str">
        <x:v>Storage box</x:v>
      </x:c>
      <x:c r="H323" s="11" t="n">
        <x:v>1</x:v>
      </x:c>
      <x:c r="I323" s="19" t="n">
        <x:v>0.1</x:v>
      </x:c>
      <x:c r="J323" s="11" t="n">
        <x:v>0</x:v>
      </x:c>
      <x:c r="K323" s="20" t="n">
        <x:v>26</x:v>
      </x:c>
      <x:c r="L323" s="20" t="n">
        <x:v>2.6</x:v>
      </x:c>
      <x:c r="M323" s="20" t="n">
        <x:v>12</x:v>
      </x:c>
      <x:c r="N323" s="20" t="n">
        <x:f>IF(J323=1,0,K323-L323)</x:f>
        <x:v>23.4</x:v>
      </x:c>
      <x:c r="O323" s="20" t="n">
        <x:f>N323-M323</x:f>
        <x:v>11.399999999999999</x:v>
      </x:c>
    </x:row>
    <x:row r="324" ht="22" customHeight="1">
      <x:c r="A324" s="11" t="n">
        <x:v>320</x:v>
      </x:c>
      <x:c r="B324" s="11" t="n">
        <x:v>166</x:v>
      </x:c>
      <x:c r="C324" s="18" t="n">
        <x:v>45844</x:v>
      </x:c>
      <x:c r="D324" s="11" t="str">
        <x:v>2025-07</x:v>
      </x:c>
      <x:c r="E324" s="11" t="str">
        <x:v>West</x:v>
      </x:c>
      <x:c r="F324" s="11" t="str">
        <x:v>Office Supplies</x:v>
      </x:c>
      <x:c r="G324" s="11" t="str">
        <x:v>Notebook pack</x:v>
      </x:c>
      <x:c r="H324" s="11" t="n">
        <x:v>3</x:v>
      </x:c>
      <x:c r="I324" s="19" t="n">
        <x:v>0</x:v>
      </x:c>
      <x:c r="J324" s="11" t="n">
        <x:v>0</x:v>
      </x:c>
      <x:c r="K324" s="20" t="n">
        <x:v>54</x:v>
      </x:c>
      <x:c r="L324" s="20" t="n">
        <x:v>0</x:v>
      </x:c>
      <x:c r="M324" s="20" t="n">
        <x:v>21</x:v>
      </x:c>
      <x:c r="N324" s="20" t="n">
        <x:f>IF(J324=1,0,K324-L324)</x:f>
        <x:v>54</x:v>
      </x:c>
      <x:c r="O324" s="20" t="n">
        <x:f>N324-M324</x:f>
        <x:v>33</x:v>
      </x:c>
    </x:row>
    <x:row r="325" ht="22" customHeight="1">
      <x:c r="A325" s="11" t="n">
        <x:v>321</x:v>
      </x:c>
      <x:c r="B325" s="11" t="n">
        <x:v>167</x:v>
      </x:c>
      <x:c r="C325" s="18" t="n">
        <x:v>45881</x:v>
      </x:c>
      <x:c r="D325" s="11" t="str">
        <x:v>2025-08</x:v>
      </x:c>
      <x:c r="E325" s="11" t="str">
        <x:v>Central</x:v>
      </x:c>
      <x:c r="F325" s="11" t="str">
        <x:v>Technology</x:v>
      </x:c>
      <x:c r="G325" s="11" t="str">
        <x:v>Monitor</x:v>
      </x:c>
      <x:c r="H325" s="11" t="n">
        <x:v>2</x:v>
      </x:c>
      <x:c r="I325" s="19" t="n">
        <x:v>0.15</x:v>
      </x:c>
      <x:c r="J325" s="11" t="n">
        <x:v>0</x:v>
      </x:c>
      <x:c r="K325" s="20" t="n">
        <x:v>480</x:v>
      </x:c>
      <x:c r="L325" s="20" t="n">
        <x:v>72</x:v>
      </x:c>
      <x:c r="M325" s="20" t="n">
        <x:v>320</x:v>
      </x:c>
      <x:c r="N325" s="20" t="n">
        <x:f>IF(J325=1,0,K325-L325)</x:f>
        <x:v>408</x:v>
      </x:c>
      <x:c r="O325" s="20" t="n">
        <x:f>N325-M325</x:f>
        <x:v>88</x:v>
      </x:c>
    </x:row>
    <x:row r="326" ht="22" customHeight="1">
      <x:c r="A326" s="11" t="n">
        <x:v>322</x:v>
      </x:c>
      <x:c r="B326" s="11" t="n">
        <x:v>168</x:v>
      </x:c>
      <x:c r="C326" s="18" t="n">
        <x:v>45599</x:v>
      </x:c>
      <x:c r="D326" s="11" t="str">
        <x:v>2024-11</x:v>
      </x:c>
      <x:c r="E326" s="11" t="str">
        <x:v>South</x:v>
      </x:c>
      <x:c r="F326" s="11" t="str">
        <x:v>Office Supplies</x:v>
      </x:c>
      <x:c r="G326" s="11" t="str">
        <x:v>Notebook pack</x:v>
      </x:c>
      <x:c r="H326" s="11" t="n">
        <x:v>5</x:v>
      </x:c>
      <x:c r="I326" s="19" t="n">
        <x:v>0.1</x:v>
      </x:c>
      <x:c r="J326" s="11" t="n">
        <x:v>1</x:v>
      </x:c>
      <x:c r="K326" s="20" t="n">
        <x:v>90</x:v>
      </x:c>
      <x:c r="L326" s="20" t="n">
        <x:v>9</x:v>
      </x:c>
      <x:c r="M326" s="20" t="n">
        <x:v>0</x:v>
      </x:c>
      <x:c r="N326" s="20" t="n">
        <x:f>IF(J326=1,0,K326-L326)</x:f>
        <x:v>0</x:v>
      </x:c>
      <x:c r="O326" s="20" t="n">
        <x:f>N326-M326</x:f>
        <x:v>0</x:v>
      </x:c>
    </x:row>
    <x:row r="327" ht="22" customHeight="1">
      <x:c r="A327" s="11" t="n">
        <x:v>323</x:v>
      </x:c>
      <x:c r="B327" s="11" t="n">
        <x:v>168</x:v>
      </x:c>
      <x:c r="C327" s="18" t="n">
        <x:v>45599</x:v>
      </x:c>
      <x:c r="D327" s="11" t="str">
        <x:v>2024-11</x:v>
      </x:c>
      <x:c r="E327" s="11" t="str">
        <x:v>South</x:v>
      </x:c>
      <x:c r="F327" s="11" t="str">
        <x:v>Furniture</x:v>
      </x:c>
      <x:c r="G327" s="11" t="str">
        <x:v>Chair</x:v>
      </x:c>
      <x:c r="H327" s="11" t="n">
        <x:v>3</x:v>
      </x:c>
      <x:c r="I327" s="19" t="n">
        <x:v>0.25</x:v>
      </x:c>
      <x:c r="J327" s="11" t="n">
        <x:v>0</x:v>
      </x:c>
      <x:c r="K327" s="20" t="n">
        <x:v>510</x:v>
      </x:c>
      <x:c r="L327" s="20" t="n">
        <x:v>127.5</x:v>
      </x:c>
      <x:c r="M327" s="20" t="n">
        <x:v>330</x:v>
      </x:c>
      <x:c r="N327" s="20" t="n">
        <x:f>IF(J327=1,0,K327-L327)</x:f>
        <x:v>382.5</x:v>
      </x:c>
      <x:c r="O327" s="20" t="n">
        <x:f>N327-M327</x:f>
        <x:v>52.5</x:v>
      </x:c>
    </x:row>
    <x:row r="328" ht="22" customHeight="1">
      <x:c r="A328" s="11" t="n">
        <x:v>324</x:v>
      </x:c>
      <x:c r="B328" s="11" t="n">
        <x:v>168</x:v>
      </x:c>
      <x:c r="C328" s="18" t="n">
        <x:v>45599</x:v>
      </x:c>
      <x:c r="D328" s="11" t="str">
        <x:v>2024-11</x:v>
      </x:c>
      <x:c r="E328" s="11" t="str">
        <x:v>South</x:v>
      </x:c>
      <x:c r="F328" s="11" t="str">
        <x:v>Technology</x:v>
      </x:c>
      <x:c r="G328" s="11" t="str">
        <x:v>Keyboard</x:v>
      </x:c>
      <x:c r="H328" s="11" t="n">
        <x:v>3</x:v>
      </x:c>
      <x:c r="I328" s="19" t="n">
        <x:v>0.1</x:v>
      </x:c>
      <x:c r="J328" s="11" t="n">
        <x:v>0</x:v>
      </x:c>
      <x:c r="K328" s="20" t="n">
        <x:v>195</x:v>
      </x:c>
      <x:c r="L328" s="20" t="n">
        <x:v>19.5</x:v>
      </x:c>
      <x:c r="M328" s="20" t="n">
        <x:v>96</x:v>
      </x:c>
      <x:c r="N328" s="20" t="n">
        <x:f>IF(J328=1,0,K328-L328)</x:f>
        <x:v>175.5</x:v>
      </x:c>
      <x:c r="O328" s="20" t="n">
        <x:f>N328-M328</x:f>
        <x:v>79.5</x:v>
      </x:c>
    </x:row>
    <x:row r="329" ht="22" customHeight="1">
      <x:c r="A329" s="11" t="n">
        <x:v>325</x:v>
      </x:c>
      <x:c r="B329" s="11" t="n">
        <x:v>169</x:v>
      </x:c>
      <x:c r="C329" s="18" t="n">
        <x:v>45599</x:v>
      </x:c>
      <x:c r="D329" s="11" t="str">
        <x:v>2024-11</x:v>
      </x:c>
      <x:c r="E329" s="11" t="str">
        <x:v>South</x:v>
      </x:c>
      <x:c r="F329" s="11" t="str">
        <x:v>Technology</x:v>
      </x:c>
      <x:c r="G329" s="11" t="str">
        <x:v>Keyboard</x:v>
      </x:c>
      <x:c r="H329" s="11" t="n">
        <x:v>3</x:v>
      </x:c>
      <x:c r="I329" s="19" t="n">
        <x:v>0</x:v>
      </x:c>
      <x:c r="J329" s="11" t="n">
        <x:v>0</x:v>
      </x:c>
      <x:c r="K329" s="20" t="n">
        <x:v>195</x:v>
      </x:c>
      <x:c r="L329" s="20" t="n">
        <x:v>0</x:v>
      </x:c>
      <x:c r="M329" s="20" t="n">
        <x:v>96</x:v>
      </x:c>
      <x:c r="N329" s="20" t="n">
        <x:f>IF(J329=1,0,K329-L329)</x:f>
        <x:v>195</x:v>
      </x:c>
      <x:c r="O329" s="20" t="n">
        <x:f>N329-M329</x:f>
        <x:v>99</x:v>
      </x:c>
    </x:row>
    <x:row r="330" ht="22" customHeight="1">
      <x:c r="A330" s="11" t="n">
        <x:v>326</x:v>
      </x:c>
      <x:c r="B330" s="11" t="n">
        <x:v>169</x:v>
      </x:c>
      <x:c r="C330" s="18" t="n">
        <x:v>45599</x:v>
      </x:c>
      <x:c r="D330" s="11" t="str">
        <x:v>2024-11</x:v>
      </x:c>
      <x:c r="E330" s="11" t="str">
        <x:v>South</x:v>
      </x:c>
      <x:c r="F330" s="11" t="str">
        <x:v>Furniture</x:v>
      </x:c>
      <x:c r="G330" s="11" t="str">
        <x:v>Chair</x:v>
      </x:c>
      <x:c r="H330" s="11" t="n">
        <x:v>1</x:v>
      </x:c>
      <x:c r="I330" s="19" t="n">
        <x:v>0.25</x:v>
      </x:c>
      <x:c r="J330" s="11" t="n">
        <x:v>0</x:v>
      </x:c>
      <x:c r="K330" s="20" t="n">
        <x:v>170</x:v>
      </x:c>
      <x:c r="L330" s="20" t="n">
        <x:v>42.5</x:v>
      </x:c>
      <x:c r="M330" s="20" t="n">
        <x:v>110</x:v>
      </x:c>
      <x:c r="N330" s="20" t="n">
        <x:f>IF(J330=1,0,K330-L330)</x:f>
        <x:v>127.5</x:v>
      </x:c>
      <x:c r="O330" s="20" t="n">
        <x:f>N330-M330</x:f>
        <x:v>17.5</x:v>
      </x:c>
    </x:row>
    <x:row r="331" ht="22" customHeight="1">
      <x:c r="A331" s="11" t="n">
        <x:v>327</x:v>
      </x:c>
      <x:c r="B331" s="11" t="n">
        <x:v>169</x:v>
      </x:c>
      <x:c r="C331" s="18" t="n">
        <x:v>45599</x:v>
      </x:c>
      <x:c r="D331" s="11" t="str">
        <x:v>2024-11</x:v>
      </x:c>
      <x:c r="E331" s="11" t="str">
        <x:v>South</x:v>
      </x:c>
      <x:c r="F331" s="11" t="str">
        <x:v>Office Supplies</x:v>
      </x:c>
      <x:c r="G331" s="11" t="str">
        <x:v>Notebook pack</x:v>
      </x:c>
      <x:c r="H331" s="11" t="n">
        <x:v>5</x:v>
      </x:c>
      <x:c r="I331" s="19" t="n">
        <x:v>0.15</x:v>
      </x:c>
      <x:c r="J331" s="11" t="n">
        <x:v>0</x:v>
      </x:c>
      <x:c r="K331" s="20" t="n">
        <x:v>90</x:v>
      </x:c>
      <x:c r="L331" s="20" t="n">
        <x:v>13.5</x:v>
      </x:c>
      <x:c r="M331" s="20" t="n">
        <x:v>35</x:v>
      </x:c>
      <x:c r="N331" s="20" t="n">
        <x:f>IF(J331=1,0,K331-L331)</x:f>
        <x:v>76.5</x:v>
      </x:c>
      <x:c r="O331" s="20" t="n">
        <x:f>N331-M331</x:f>
        <x:v>41.5</x:v>
      </x:c>
    </x:row>
    <x:row r="332" ht="22" customHeight="1">
      <x:c r="A332" s="11" t="n">
        <x:v>328</x:v>
      </x:c>
      <x:c r="B332" s="11" t="n">
        <x:v>170</x:v>
      </x:c>
      <x:c r="C332" s="18" t="n">
        <x:v>45540</x:v>
      </x:c>
      <x:c r="D332" s="11" t="str">
        <x:v>2024-09</x:v>
      </x:c>
      <x:c r="E332" s="11" t="str">
        <x:v>West</x:v>
      </x:c>
      <x:c r="F332" s="11" t="str">
        <x:v>Office Supplies</x:v>
      </x:c>
      <x:c r="G332" s="11" t="str">
        <x:v>Storage box</x:v>
      </x:c>
      <x:c r="H332" s="11" t="n">
        <x:v>4</x:v>
      </x:c>
      <x:c r="I332" s="19" t="n">
        <x:v>0.05</x:v>
      </x:c>
      <x:c r="J332" s="11" t="n">
        <x:v>0</x:v>
      </x:c>
      <x:c r="K332" s="20" t="n">
        <x:v>104</x:v>
      </x:c>
      <x:c r="L332" s="20" t="n">
        <x:v>5.2</x:v>
      </x:c>
      <x:c r="M332" s="20" t="n">
        <x:v>48</x:v>
      </x:c>
      <x:c r="N332" s="20" t="n">
        <x:f>IF(J332=1,0,K332-L332)</x:f>
        <x:v>98.8</x:v>
      </x:c>
      <x:c r="O332" s="20" t="n">
        <x:f>N332-M332</x:f>
        <x:v>50.8</x:v>
      </x:c>
    </x:row>
    <x:row r="333" ht="22" customHeight="1">
      <x:c r="A333" s="11" t="n">
        <x:v>329</x:v>
      </x:c>
      <x:c r="B333" s="11" t="n">
        <x:v>170</x:v>
      </x:c>
      <x:c r="C333" s="18" t="n">
        <x:v>45540</x:v>
      </x:c>
      <x:c r="D333" s="11" t="str">
        <x:v>2024-09</x:v>
      </x:c>
      <x:c r="E333" s="11" t="str">
        <x:v>West</x:v>
      </x:c>
      <x:c r="F333" s="11" t="str">
        <x:v>Furniture</x:v>
      </x:c>
      <x:c r="G333" s="11" t="str">
        <x:v>Desk</x:v>
      </x:c>
      <x:c r="H333" s="11" t="n">
        <x:v>2</x:v>
      </x:c>
      <x:c r="I333" s="19" t="n">
        <x:v>0</x:v>
      </x:c>
      <x:c r="J333" s="11" t="n">
        <x:v>0</x:v>
      </x:c>
      <x:c r="K333" s="20" t="n">
        <x:v>560</x:v>
      </x:c>
      <x:c r="L333" s="20" t="n">
        <x:v>0</x:v>
      </x:c>
      <x:c r="M333" s="20" t="n">
        <x:v>380</x:v>
      </x:c>
      <x:c r="N333" s="20" t="n">
        <x:f>IF(J333=1,0,K333-L333)</x:f>
        <x:v>560</x:v>
      </x:c>
      <x:c r="O333" s="20" t="n">
        <x:f>N333-M333</x:f>
        <x:v>180</x:v>
      </x:c>
    </x:row>
    <x:row r="334" ht="22" customHeight="1">
      <x:c r="A334" s="11" t="n">
        <x:v>330</x:v>
      </x:c>
      <x:c r="B334" s="11" t="n">
        <x:v>171</x:v>
      </x:c>
      <x:c r="C334" s="18" t="n">
        <x:v>45981</x:v>
      </x:c>
      <x:c r="D334" s="11" t="str">
        <x:v>2025-11</x:v>
      </x:c>
      <x:c r="E334" s="11" t="str">
        <x:v>Central</x:v>
      </x:c>
      <x:c r="F334" s="11" t="str">
        <x:v>Furniture</x:v>
      </x:c>
      <x:c r="G334" s="11" t="str">
        <x:v>Chair</x:v>
      </x:c>
      <x:c r="H334" s="11" t="n">
        <x:v>5</x:v>
      </x:c>
      <x:c r="I334" s="19" t="n">
        <x:v>0.05</x:v>
      </x:c>
      <x:c r="J334" s="11" t="n">
        <x:v>0</x:v>
      </x:c>
      <x:c r="K334" s="20" t="n">
        <x:v>850</x:v>
      </x:c>
      <x:c r="L334" s="20" t="n">
        <x:v>42.5</x:v>
      </x:c>
      <x:c r="M334" s="20" t="n">
        <x:v>550</x:v>
      </x:c>
      <x:c r="N334" s="20" t="n">
        <x:f>IF(J334=1,0,K334-L334)</x:f>
        <x:v>807.5</x:v>
      </x:c>
      <x:c r="O334" s="20" t="n">
        <x:f>N334-M334</x:f>
        <x:v>257.5</x:v>
      </x:c>
    </x:row>
    <x:row r="335" ht="22" customHeight="1">
      <x:c r="A335" s="11" t="n">
        <x:v>331</x:v>
      </x:c>
      <x:c r="B335" s="11" t="n">
        <x:v>172</x:v>
      </x:c>
      <x:c r="C335" s="18" t="n">
        <x:v>45632</x:v>
      </x:c>
      <x:c r="D335" s="11" t="str">
        <x:v>2024-12</x:v>
      </x:c>
      <x:c r="E335" s="11" t="str">
        <x:v>West</x:v>
      </x:c>
      <x:c r="F335" s="11" t="str">
        <x:v>Furniture</x:v>
      </x:c>
      <x:c r="G335" s="11" t="str">
        <x:v>Chair</x:v>
      </x:c>
      <x:c r="H335" s="11" t="n">
        <x:v>1</x:v>
      </x:c>
      <x:c r="I335" s="19" t="n">
        <x:v>0.35</x:v>
      </x:c>
      <x:c r="J335" s="11" t="n">
        <x:v>0</x:v>
      </x:c>
      <x:c r="K335" s="20" t="n">
        <x:v>170</x:v>
      </x:c>
      <x:c r="L335" s="20" t="n">
        <x:v>59.5</x:v>
      </x:c>
      <x:c r="M335" s="20" t="n">
        <x:v>110</x:v>
      </x:c>
      <x:c r="N335" s="20" t="n">
        <x:f>IF(J335=1,0,K335-L335)</x:f>
        <x:v>110.5</x:v>
      </x:c>
      <x:c r="O335" s="20" t="n">
        <x:f>N335-M335</x:f>
        <x:v>0.5</x:v>
      </x:c>
    </x:row>
    <x:row r="336" ht="22" customHeight="1">
      <x:c r="A336" s="11" t="n">
        <x:v>332</x:v>
      </x:c>
      <x:c r="B336" s="11" t="n">
        <x:v>173</x:v>
      </x:c>
      <x:c r="C336" s="18" t="n">
        <x:v>46004</x:v>
      </x:c>
      <x:c r="D336" s="11" t="str">
        <x:v>2025-12</x:v>
      </x:c>
      <x:c r="E336" s="11" t="str">
        <x:v>Central</x:v>
      </x:c>
      <x:c r="F336" s="11" t="str">
        <x:v>Furniture</x:v>
      </x:c>
      <x:c r="G336" s="11" t="str">
        <x:v>Chair</x:v>
      </x:c>
      <x:c r="H336" s="11" t="n">
        <x:v>3</x:v>
      </x:c>
      <x:c r="I336" s="19" t="n">
        <x:v>0.1</x:v>
      </x:c>
      <x:c r="J336" s="11" t="n">
        <x:v>0</x:v>
      </x:c>
      <x:c r="K336" s="20" t="n">
        <x:v>510</x:v>
      </x:c>
      <x:c r="L336" s="20" t="n">
        <x:v>51</x:v>
      </x:c>
      <x:c r="M336" s="20" t="n">
        <x:v>330</x:v>
      </x:c>
      <x:c r="N336" s="20" t="n">
        <x:f>IF(J336=1,0,K336-L336)</x:f>
        <x:v>459</x:v>
      </x:c>
      <x:c r="O336" s="20" t="n">
        <x:f>N336-M336</x:f>
        <x:v>129</x:v>
      </x:c>
    </x:row>
    <x:row r="337" ht="22" customHeight="1">
      <x:c r="A337" s="11" t="n">
        <x:v>333</x:v>
      </x:c>
      <x:c r="B337" s="11" t="n">
        <x:v>173</x:v>
      </x:c>
      <x:c r="C337" s="18" t="n">
        <x:v>46004</x:v>
      </x:c>
      <x:c r="D337" s="11" t="str">
        <x:v>2025-12</x:v>
      </x:c>
      <x:c r="E337" s="11" t="str">
        <x:v>Central</x:v>
      </x:c>
      <x:c r="F337" s="11" t="str">
        <x:v>Office Supplies</x:v>
      </x:c>
      <x:c r="G337" s="11" t="str">
        <x:v>Notebook pack</x:v>
      </x:c>
      <x:c r="H337" s="11" t="n">
        <x:v>5</x:v>
      </x:c>
      <x:c r="I337" s="19" t="n">
        <x:v>0.05</x:v>
      </x:c>
      <x:c r="J337" s="11" t="n">
        <x:v>0</x:v>
      </x:c>
      <x:c r="K337" s="20" t="n">
        <x:v>90</x:v>
      </x:c>
      <x:c r="L337" s="20" t="n">
        <x:v>4.5</x:v>
      </x:c>
      <x:c r="M337" s="20" t="n">
        <x:v>35</x:v>
      </x:c>
      <x:c r="N337" s="20" t="n">
        <x:f>IF(J337=1,0,K337-L337)</x:f>
        <x:v>85.5</x:v>
      </x:c>
      <x:c r="O337" s="20" t="n">
        <x:f>N337-M337</x:f>
        <x:v>50.5</x:v>
      </x:c>
    </x:row>
    <x:row r="338" ht="22" customHeight="1">
      <x:c r="A338" s="11" t="n">
        <x:v>334</x:v>
      </x:c>
      <x:c r="B338" s="11" t="n">
        <x:v>174</x:v>
      </x:c>
      <x:c r="C338" s="18" t="n">
        <x:v>45660</x:v>
      </x:c>
      <x:c r="D338" s="11" t="str">
        <x:v>2025-01</x:v>
      </x:c>
      <x:c r="E338" s="11" t="str">
        <x:v>Central</x:v>
      </x:c>
      <x:c r="F338" s="11" t="str">
        <x:v>Furniture</x:v>
      </x:c>
      <x:c r="G338" s="11" t="str">
        <x:v>Desk</x:v>
      </x:c>
      <x:c r="H338" s="11" t="n">
        <x:v>3</x:v>
      </x:c>
      <x:c r="I338" s="19" t="n">
        <x:v>0.05</x:v>
      </x:c>
      <x:c r="J338" s="11" t="n">
        <x:v>0</x:v>
      </x:c>
      <x:c r="K338" s="20" t="n">
        <x:v>840</x:v>
      </x:c>
      <x:c r="L338" s="20" t="n">
        <x:v>42</x:v>
      </x:c>
      <x:c r="M338" s="20" t="n">
        <x:v>570</x:v>
      </x:c>
      <x:c r="N338" s="20" t="n">
        <x:f>IF(J338=1,0,K338-L338)</x:f>
        <x:v>798</x:v>
      </x:c>
      <x:c r="O338" s="20" t="n">
        <x:f>N338-M338</x:f>
        <x:v>228</x:v>
      </x:c>
    </x:row>
    <x:row r="339" ht="22" customHeight="1">
      <x:c r="A339" s="11" t="n">
        <x:v>335</x:v>
      </x:c>
      <x:c r="B339" s="11" t="n">
        <x:v>174</x:v>
      </x:c>
      <x:c r="C339" s="18" t="n">
        <x:v>45660</x:v>
      </x:c>
      <x:c r="D339" s="11" t="str">
        <x:v>2025-01</x:v>
      </x:c>
      <x:c r="E339" s="11" t="str">
        <x:v>Central</x:v>
      </x:c>
      <x:c r="F339" s="11" t="str">
        <x:v>Technology</x:v>
      </x:c>
      <x:c r="G339" s="11" t="str">
        <x:v>Keyboard</x:v>
      </x:c>
      <x:c r="H339" s="11" t="n">
        <x:v>4</x:v>
      </x:c>
      <x:c r="I339" s="19" t="n">
        <x:v>0</x:v>
      </x:c>
      <x:c r="J339" s="11" t="n">
        <x:v>0</x:v>
      </x:c>
      <x:c r="K339" s="20" t="n">
        <x:v>260</x:v>
      </x:c>
      <x:c r="L339" s="20" t="n">
        <x:v>0</x:v>
      </x:c>
      <x:c r="M339" s="20" t="n">
        <x:v>128</x:v>
      </x:c>
      <x:c r="N339" s="20" t="n">
        <x:f>IF(J339=1,0,K339-L339)</x:f>
        <x:v>260</x:v>
      </x:c>
      <x:c r="O339" s="20" t="n">
        <x:f>N339-M339</x:f>
        <x:v>132</x:v>
      </x:c>
    </x:row>
    <x:row r="340" ht="22" customHeight="1">
      <x:c r="A340" s="11" t="n">
        <x:v>336</x:v>
      </x:c>
      <x:c r="B340" s="11" t="n">
        <x:v>175</x:v>
      </x:c>
      <x:c r="C340" s="18" t="n">
        <x:v>45518</x:v>
      </x:c>
      <x:c r="D340" s="11" t="str">
        <x:v>2024-08</x:v>
      </x:c>
      <x:c r="E340" s="11" t="str">
        <x:v>Central</x:v>
      </x:c>
      <x:c r="F340" s="11" t="str">
        <x:v>Technology</x:v>
      </x:c>
      <x:c r="G340" s="11" t="str">
        <x:v>Monitor</x:v>
      </x:c>
      <x:c r="H340" s="11" t="n">
        <x:v>5</x:v>
      </x:c>
      <x:c r="I340" s="19" t="n">
        <x:v>0.15</x:v>
      </x:c>
      <x:c r="J340" s="11" t="n">
        <x:v>0</x:v>
      </x:c>
      <x:c r="K340" s="20" t="n">
        <x:v>1200</x:v>
      </x:c>
      <x:c r="L340" s="20" t="n">
        <x:v>180</x:v>
      </x:c>
      <x:c r="M340" s="20" t="n">
        <x:v>800</x:v>
      </x:c>
      <x:c r="N340" s="20" t="n">
        <x:f>IF(J340=1,0,K340-L340)</x:f>
        <x:v>1020</x:v>
      </x:c>
      <x:c r="O340" s="20" t="n">
        <x:f>N340-M340</x:f>
        <x:v>220</x:v>
      </x:c>
    </x:row>
    <x:row r="341" ht="22" customHeight="1">
      <x:c r="A341" s="11" t="n">
        <x:v>337</x:v>
      </x:c>
      <x:c r="B341" s="11" t="n">
        <x:v>176</x:v>
      </x:c>
      <x:c r="C341" s="18" t="n">
        <x:v>45719</x:v>
      </x:c>
      <x:c r="D341" s="11" t="str">
        <x:v>2025-03</x:v>
      </x:c>
      <x:c r="E341" s="11" t="str">
        <x:v>West</x:v>
      </x:c>
      <x:c r="F341" s="11" t="str">
        <x:v>Technology</x:v>
      </x:c>
      <x:c r="G341" s="11" t="str">
        <x:v>Monitor</x:v>
      </x:c>
      <x:c r="H341" s="11" t="n">
        <x:v>2</x:v>
      </x:c>
      <x:c r="I341" s="19" t="n">
        <x:v>0.1</x:v>
      </x:c>
      <x:c r="J341" s="11" t="n">
        <x:v>0</x:v>
      </x:c>
      <x:c r="K341" s="20" t="n">
        <x:v>480</x:v>
      </x:c>
      <x:c r="L341" s="20" t="n">
        <x:v>48</x:v>
      </x:c>
      <x:c r="M341" s="20" t="n">
        <x:v>320</x:v>
      </x:c>
      <x:c r="N341" s="20" t="n">
        <x:f>IF(J341=1,0,K341-L341)</x:f>
        <x:v>432</x:v>
      </x:c>
      <x:c r="O341" s="20" t="n">
        <x:f>N341-M341</x:f>
        <x:v>112</x:v>
      </x:c>
    </x:row>
    <x:row r="342" ht="22" customHeight="1">
      <x:c r="A342" s="11" t="n">
        <x:v>338</x:v>
      </x:c>
      <x:c r="B342" s="11" t="n">
        <x:v>177</x:v>
      </x:c>
      <x:c r="C342" s="18" t="n">
        <x:v>45543</x:v>
      </x:c>
      <x:c r="D342" s="11" t="str">
        <x:v>2024-09</x:v>
      </x:c>
      <x:c r="E342" s="11" t="str">
        <x:v>East</x:v>
      </x:c>
      <x:c r="F342" s="11" t="str">
        <x:v>Technology</x:v>
      </x:c>
      <x:c r="G342" s="11" t="str">
        <x:v>Keyboard</x:v>
      </x:c>
      <x:c r="H342" s="11" t="n">
        <x:v>4</x:v>
      </x:c>
      <x:c r="I342" s="19" t="n">
        <x:v>0</x:v>
      </x:c>
      <x:c r="J342" s="11" t="n">
        <x:v>0</x:v>
      </x:c>
      <x:c r="K342" s="20" t="n">
        <x:v>260</x:v>
      </x:c>
      <x:c r="L342" s="20" t="n">
        <x:v>0</x:v>
      </x:c>
      <x:c r="M342" s="20" t="n">
        <x:v>128</x:v>
      </x:c>
      <x:c r="N342" s="20" t="n">
        <x:f>IF(J342=1,0,K342-L342)</x:f>
        <x:v>260</x:v>
      </x:c>
      <x:c r="O342" s="20" t="n">
        <x:f>N342-M342</x:f>
        <x:v>132</x:v>
      </x:c>
    </x:row>
    <x:row r="343" ht="22" customHeight="1">
      <x:c r="A343" s="11" t="n">
        <x:v>339</x:v>
      </x:c>
      <x:c r="B343" s="11" t="n">
        <x:v>177</x:v>
      </x:c>
      <x:c r="C343" s="18" t="n">
        <x:v>45543</x:v>
      </x:c>
      <x:c r="D343" s="11" t="str">
        <x:v>2024-09</x:v>
      </x:c>
      <x:c r="E343" s="11" t="str">
        <x:v>East</x:v>
      </x:c>
      <x:c r="F343" s="11" t="str">
        <x:v>Office Supplies</x:v>
      </x:c>
      <x:c r="G343" s="11" t="str">
        <x:v>Storage box</x:v>
      </x:c>
      <x:c r="H343" s="11" t="n">
        <x:v>3</x:v>
      </x:c>
      <x:c r="I343" s="19" t="n">
        <x:v>0</x:v>
      </x:c>
      <x:c r="J343" s="11" t="n">
        <x:v>0</x:v>
      </x:c>
      <x:c r="K343" s="20" t="n">
        <x:v>78</x:v>
      </x:c>
      <x:c r="L343" s="20" t="n">
        <x:v>0</x:v>
      </x:c>
      <x:c r="M343" s="20" t="n">
        <x:v>36</x:v>
      </x:c>
      <x:c r="N343" s="20" t="n">
        <x:f>IF(J343=1,0,K343-L343)</x:f>
        <x:v>78</x:v>
      </x:c>
      <x:c r="O343" s="20" t="n">
        <x:f>N343-M343</x:f>
        <x:v>42</x:v>
      </x:c>
    </x:row>
    <x:row r="344" ht="22" customHeight="1">
      <x:c r="A344" s="11" t="n">
        <x:v>340</x:v>
      </x:c>
      <x:c r="B344" s="11" t="n">
        <x:v>178</x:v>
      </x:c>
      <x:c r="C344" s="18" t="n">
        <x:v>45851</x:v>
      </x:c>
      <x:c r="D344" s="11" t="str">
        <x:v>2025-07</x:v>
      </x:c>
      <x:c r="E344" s="11" t="str">
        <x:v>West</x:v>
      </x:c>
      <x:c r="F344" s="11" t="str">
        <x:v>Office Supplies</x:v>
      </x:c>
      <x:c r="G344" s="11" t="str">
        <x:v>Storage box</x:v>
      </x:c>
      <x:c r="H344" s="11" t="n">
        <x:v>1</x:v>
      </x:c>
      <x:c r="I344" s="19" t="n">
        <x:v>0</x:v>
      </x:c>
      <x:c r="J344" s="11" t="n">
        <x:v>0</x:v>
      </x:c>
      <x:c r="K344" s="20" t="n">
        <x:v>26</x:v>
      </x:c>
      <x:c r="L344" s="20" t="n">
        <x:v>0</x:v>
      </x:c>
      <x:c r="M344" s="20" t="n">
        <x:v>12</x:v>
      </x:c>
      <x:c r="N344" s="20" t="n">
        <x:f>IF(J344=1,0,K344-L344)</x:f>
        <x:v>26</x:v>
      </x:c>
      <x:c r="O344" s="20" t="n">
        <x:f>N344-M344</x:f>
        <x:v>14</x:v>
      </x:c>
    </x:row>
    <x:row r="345" ht="22" customHeight="1">
      <x:c r="A345" s="11" t="n">
        <x:v>341</x:v>
      </x:c>
      <x:c r="B345" s="11" t="n">
        <x:v>178</x:v>
      </x:c>
      <x:c r="C345" s="18" t="n">
        <x:v>45851</x:v>
      </x:c>
      <x:c r="D345" s="11" t="str">
        <x:v>2025-07</x:v>
      </x:c>
      <x:c r="E345" s="11" t="str">
        <x:v>West</x:v>
      </x:c>
      <x:c r="F345" s="11" t="str">
        <x:v>Furniture</x:v>
      </x:c>
      <x:c r="G345" s="11" t="str">
        <x:v>Desk</x:v>
      </x:c>
      <x:c r="H345" s="11" t="n">
        <x:v>4</x:v>
      </x:c>
      <x:c r="I345" s="19" t="n">
        <x:v>0</x:v>
      </x:c>
      <x:c r="J345" s="11" t="n">
        <x:v>0</x:v>
      </x:c>
      <x:c r="K345" s="20" t="n">
        <x:v>1120</x:v>
      </x:c>
      <x:c r="L345" s="20" t="n">
        <x:v>0</x:v>
      </x:c>
      <x:c r="M345" s="20" t="n">
        <x:v>760</x:v>
      </x:c>
      <x:c r="N345" s="20" t="n">
        <x:f>IF(J345=1,0,K345-L345)</x:f>
        <x:v>1120</x:v>
      </x:c>
      <x:c r="O345" s="20" t="n">
        <x:f>N345-M345</x:f>
        <x:v>360</x:v>
      </x:c>
    </x:row>
    <x:row r="346" ht="22" customHeight="1">
      <x:c r="A346" s="11" t="n">
        <x:v>342</x:v>
      </x:c>
      <x:c r="B346" s="11" t="n">
        <x:v>178</x:v>
      </x:c>
      <x:c r="C346" s="18" t="n">
        <x:v>45851</x:v>
      </x:c>
      <x:c r="D346" s="11" t="str">
        <x:v>2025-07</x:v>
      </x:c>
      <x:c r="E346" s="11" t="str">
        <x:v>West</x:v>
      </x:c>
      <x:c r="F346" s="11" t="str">
        <x:v>Office Supplies</x:v>
      </x:c>
      <x:c r="G346" s="11" t="str">
        <x:v>Notebook pack</x:v>
      </x:c>
      <x:c r="H346" s="11" t="n">
        <x:v>2</x:v>
      </x:c>
      <x:c r="I346" s="19" t="n">
        <x:v>0</x:v>
      </x:c>
      <x:c r="J346" s="11" t="n">
        <x:v>0</x:v>
      </x:c>
      <x:c r="K346" s="20" t="n">
        <x:v>36</x:v>
      </x:c>
      <x:c r="L346" s="20" t="n">
        <x:v>0</x:v>
      </x:c>
      <x:c r="M346" s="20" t="n">
        <x:v>14</x:v>
      </x:c>
      <x:c r="N346" s="20" t="n">
        <x:f>IF(J346=1,0,K346-L346)</x:f>
        <x:v>36</x:v>
      </x:c>
      <x:c r="O346" s="20" t="n">
        <x:f>N346-M346</x:f>
        <x:v>22</x:v>
      </x:c>
    </x:row>
    <x:row r="347" ht="22" customHeight="1">
      <x:c r="A347" s="11" t="n">
        <x:v>343</x:v>
      </x:c>
      <x:c r="B347" s="11" t="n">
        <x:v>179</x:v>
      </x:c>
      <x:c r="C347" s="18" t="n">
        <x:v>45301</x:v>
      </x:c>
      <x:c r="D347" s="11" t="str">
        <x:v>2024-01</x:v>
      </x:c>
      <x:c r="E347" s="11" t="str">
        <x:v>West</x:v>
      </x:c>
      <x:c r="F347" s="11" t="str">
        <x:v>Furniture</x:v>
      </x:c>
      <x:c r="G347" s="11" t="str">
        <x:v>Desk</x:v>
      </x:c>
      <x:c r="H347" s="11" t="n">
        <x:v>5</x:v>
      </x:c>
      <x:c r="I347" s="19" t="n">
        <x:v>0.35</x:v>
      </x:c>
      <x:c r="J347" s="11" t="n">
        <x:v>0</x:v>
      </x:c>
      <x:c r="K347" s="20" t="n">
        <x:v>1400</x:v>
      </x:c>
      <x:c r="L347" s="20" t="n">
        <x:v>490</x:v>
      </x:c>
      <x:c r="M347" s="20" t="n">
        <x:v>950</x:v>
      </x:c>
      <x:c r="N347" s="20" t="n">
        <x:f>IF(J347=1,0,K347-L347)</x:f>
        <x:v>910</x:v>
      </x:c>
      <x:c r="O347" s="20" t="n">
        <x:f>N347-M347</x:f>
        <x:v>-40</x:v>
      </x:c>
    </x:row>
    <x:row r="348" ht="22" customHeight="1">
      <x:c r="A348" s="11" t="n">
        <x:v>344</x:v>
      </x:c>
      <x:c r="B348" s="11" t="n">
        <x:v>179</x:v>
      </x:c>
      <x:c r="C348" s="18" t="n">
        <x:v>45301</x:v>
      </x:c>
      <x:c r="D348" s="11" t="str">
        <x:v>2024-01</x:v>
      </x:c>
      <x:c r="E348" s="11" t="str">
        <x:v>West</x:v>
      </x:c>
      <x:c r="F348" s="11" t="str">
        <x:v>Office Supplies</x:v>
      </x:c>
      <x:c r="G348" s="11" t="str">
        <x:v>Notebook pack</x:v>
      </x:c>
      <x:c r="H348" s="11" t="n">
        <x:v>1</x:v>
      </x:c>
      <x:c r="I348" s="19" t="n">
        <x:v>0</x:v>
      </x:c>
      <x:c r="J348" s="11" t="n">
        <x:v>0</x:v>
      </x:c>
      <x:c r="K348" s="20" t="n">
        <x:v>18</x:v>
      </x:c>
      <x:c r="L348" s="20" t="n">
        <x:v>0</x:v>
      </x:c>
      <x:c r="M348" s="20" t="n">
        <x:v>7</x:v>
      </x:c>
      <x:c r="N348" s="20" t="n">
        <x:f>IF(J348=1,0,K348-L348)</x:f>
        <x:v>18</x:v>
      </x:c>
      <x:c r="O348" s="20" t="n">
        <x:f>N348-M348</x:f>
        <x:v>11</x:v>
      </x:c>
    </x:row>
    <x:row r="349" ht="22" customHeight="1">
      <x:c r="A349" s="11" t="n">
        <x:v>345</x:v>
      </x:c>
      <x:c r="B349" s="11" t="n">
        <x:v>180</x:v>
      </x:c>
      <x:c r="C349" s="18" t="n">
        <x:v>45713</x:v>
      </x:c>
      <x:c r="D349" s="11" t="str">
        <x:v>2025-02</x:v>
      </x:c>
      <x:c r="E349" s="11" t="str">
        <x:v>East</x:v>
      </x:c>
      <x:c r="F349" s="11" t="str">
        <x:v>Office Supplies</x:v>
      </x:c>
      <x:c r="G349" s="11" t="str">
        <x:v>Storage box</x:v>
      </x:c>
      <x:c r="H349" s="11" t="n">
        <x:v>1</x:v>
      </x:c>
      <x:c r="I349" s="19" t="n">
        <x:v>0.15</x:v>
      </x:c>
      <x:c r="J349" s="11" t="n">
        <x:v>0</x:v>
      </x:c>
      <x:c r="K349" s="20" t="n">
        <x:v>26</x:v>
      </x:c>
      <x:c r="L349" s="20" t="n">
        <x:v>3.9</x:v>
      </x:c>
      <x:c r="M349" s="20" t="n">
        <x:v>12</x:v>
      </x:c>
      <x:c r="N349" s="20" t="n">
        <x:f>IF(J349=1,0,K349-L349)</x:f>
        <x:v>22.1</x:v>
      </x:c>
      <x:c r="O349" s="20" t="n">
        <x:f>N349-M349</x:f>
        <x:v>10.100000000000001</x:v>
      </x:c>
    </x:row>
    <x:row r="350" ht="22" customHeight="1">
      <x:c r="A350" s="11" t="n">
        <x:v>346</x:v>
      </x:c>
      <x:c r="B350" s="11" t="n">
        <x:v>180</x:v>
      </x:c>
      <x:c r="C350" s="18" t="n">
        <x:v>45713</x:v>
      </x:c>
      <x:c r="D350" s="11" t="str">
        <x:v>2025-02</x:v>
      </x:c>
      <x:c r="E350" s="11" t="str">
        <x:v>East</x:v>
      </x:c>
      <x:c r="F350" s="11" t="str">
        <x:v>Technology</x:v>
      </x:c>
      <x:c r="G350" s="11" t="str">
        <x:v>Monitor</x:v>
      </x:c>
      <x:c r="H350" s="11" t="n">
        <x:v>4</x:v>
      </x:c>
      <x:c r="I350" s="19" t="n">
        <x:v>0</x:v>
      </x:c>
      <x:c r="J350" s="11" t="n">
        <x:v>0</x:v>
      </x:c>
      <x:c r="K350" s="20" t="n">
        <x:v>960</x:v>
      </x:c>
      <x:c r="L350" s="20" t="n">
        <x:v>0</x:v>
      </x:c>
      <x:c r="M350" s="20" t="n">
        <x:v>640</x:v>
      </x:c>
      <x:c r="N350" s="20" t="n">
        <x:f>IF(J350=1,0,K350-L350)</x:f>
        <x:v>960</x:v>
      </x:c>
      <x:c r="O350" s="20" t="n">
        <x:f>N350-M350</x:f>
        <x:v>320</x:v>
      </x:c>
    </x:row>
    <x:row r="351" ht="22" customHeight="1">
      <x:c r="A351" s="11" t="n">
        <x:v>347</x:v>
      </x:c>
      <x:c r="B351" s="11" t="n">
        <x:v>180</x:v>
      </x:c>
      <x:c r="C351" s="18" t="n">
        <x:v>45713</x:v>
      </x:c>
      <x:c r="D351" s="11" t="str">
        <x:v>2025-02</x:v>
      </x:c>
      <x:c r="E351" s="11" t="str">
        <x:v>East</x:v>
      </x:c>
      <x:c r="F351" s="11" t="str">
        <x:v>Office Supplies</x:v>
      </x:c>
      <x:c r="G351" s="11" t="str">
        <x:v>Notebook pack</x:v>
      </x:c>
      <x:c r="H351" s="11" t="n">
        <x:v>1</x:v>
      </x:c>
      <x:c r="I351" s="19" t="n">
        <x:v>0.15</x:v>
      </x:c>
      <x:c r="J351" s="11" t="n">
        <x:v>0</x:v>
      </x:c>
      <x:c r="K351" s="20" t="n">
        <x:v>18</x:v>
      </x:c>
      <x:c r="L351" s="20" t="n">
        <x:v>2.7</x:v>
      </x:c>
      <x:c r="M351" s="20" t="n">
        <x:v>7</x:v>
      </x:c>
      <x:c r="N351" s="20" t="n">
        <x:f>IF(J351=1,0,K351-L351)</x:f>
        <x:v>15.3</x:v>
      </x:c>
      <x:c r="O351" s="20" t="n">
        <x:f>N351-M351</x:f>
        <x:v>8.3</x:v>
      </x:c>
    </x:row>
    <x:row r="352" ht="22" customHeight="1">
      <x:c r="A352" s="11" t="n">
        <x:v>348</x:v>
      </x:c>
      <x:c r="B352" s="11" t="n">
        <x:v>181</x:v>
      </x:c>
      <x:c r="C352" s="18" t="n">
        <x:v>45488</x:v>
      </x:c>
      <x:c r="D352" s="11" t="str">
        <x:v>2024-07</x:v>
      </x:c>
      <x:c r="E352" s="11" t="str">
        <x:v>South</x:v>
      </x:c>
      <x:c r="F352" s="11" t="str">
        <x:v>Technology</x:v>
      </x:c>
      <x:c r="G352" s="11" t="str">
        <x:v>Monitor</x:v>
      </x:c>
      <x:c r="H352" s="11" t="n">
        <x:v>1</x:v>
      </x:c>
      <x:c r="I352" s="19" t="n">
        <x:v>0.05</x:v>
      </x:c>
      <x:c r="J352" s="11" t="n">
        <x:v>0</x:v>
      </x:c>
      <x:c r="K352" s="20" t="n">
        <x:v>240</x:v>
      </x:c>
      <x:c r="L352" s="20" t="n">
        <x:v>12</x:v>
      </x:c>
      <x:c r="M352" s="20" t="n">
        <x:v>160</x:v>
      </x:c>
      <x:c r="N352" s="20" t="n">
        <x:f>IF(J352=1,0,K352-L352)</x:f>
        <x:v>228</x:v>
      </x:c>
      <x:c r="O352" s="20" t="n">
        <x:f>N352-M352</x:f>
        <x:v>68</x:v>
      </x:c>
    </x:row>
    <x:row r="353" ht="22" customHeight="1">
      <x:c r="A353" s="11" t="n">
        <x:v>349</x:v>
      </x:c>
      <x:c r="B353" s="11" t="n">
        <x:v>181</x:v>
      </x:c>
      <x:c r="C353" s="18" t="n">
        <x:v>45488</x:v>
      </x:c>
      <x:c r="D353" s="11" t="str">
        <x:v>2024-07</x:v>
      </x:c>
      <x:c r="E353" s="11" t="str">
        <x:v>South</x:v>
      </x:c>
      <x:c r="F353" s="11" t="str">
        <x:v>Technology</x:v>
      </x:c>
      <x:c r="G353" s="11" t="str">
        <x:v>Keyboard</x:v>
      </x:c>
      <x:c r="H353" s="11" t="n">
        <x:v>4</x:v>
      </x:c>
      <x:c r="I353" s="19" t="n">
        <x:v>0.15</x:v>
      </x:c>
      <x:c r="J353" s="11" t="n">
        <x:v>0</x:v>
      </x:c>
      <x:c r="K353" s="20" t="n">
        <x:v>260</x:v>
      </x:c>
      <x:c r="L353" s="20" t="n">
        <x:v>39</x:v>
      </x:c>
      <x:c r="M353" s="20" t="n">
        <x:v>128</x:v>
      </x:c>
      <x:c r="N353" s="20" t="n">
        <x:f>IF(J353=1,0,K353-L353)</x:f>
        <x:v>221</x:v>
      </x:c>
      <x:c r="O353" s="20" t="n">
        <x:f>N353-M353</x:f>
        <x:v>93</x:v>
      </x:c>
    </x:row>
    <x:row r="354" ht="22" customHeight="1">
      <x:c r="A354" s="11" t="n">
        <x:v>350</x:v>
      </x:c>
      <x:c r="B354" s="11" t="n">
        <x:v>182</x:v>
      </x:c>
      <x:c r="C354" s="18" t="n">
        <x:v>46005</x:v>
      </x:c>
      <x:c r="D354" s="11" t="str">
        <x:v>2025-12</x:v>
      </x:c>
      <x:c r="E354" s="11" t="str">
        <x:v>West</x:v>
      </x:c>
      <x:c r="F354" s="11" t="str">
        <x:v>Furniture</x:v>
      </x:c>
      <x:c r="G354" s="11" t="str">
        <x:v>Desk</x:v>
      </x:c>
      <x:c r="H354" s="11" t="n">
        <x:v>4</x:v>
      </x:c>
      <x:c r="I354" s="19" t="n">
        <x:v>0.25</x:v>
      </x:c>
      <x:c r="J354" s="11" t="n">
        <x:v>0</x:v>
      </x:c>
      <x:c r="K354" s="20" t="n">
        <x:v>1120</x:v>
      </x:c>
      <x:c r="L354" s="20" t="n">
        <x:v>280</x:v>
      </x:c>
      <x:c r="M354" s="20" t="n">
        <x:v>760</x:v>
      </x:c>
      <x:c r="N354" s="20" t="n">
        <x:f>IF(J354=1,0,K354-L354)</x:f>
        <x:v>840</x:v>
      </x:c>
      <x:c r="O354" s="20" t="n">
        <x:f>N354-M354</x:f>
        <x:v>80</x:v>
      </x:c>
    </x:row>
    <x:row r="355" ht="22" customHeight="1">
      <x:c r="A355" s="11" t="n">
        <x:v>351</x:v>
      </x:c>
      <x:c r="B355" s="11" t="n">
        <x:v>182</x:v>
      </x:c>
      <x:c r="C355" s="18" t="n">
        <x:v>46005</x:v>
      </x:c>
      <x:c r="D355" s="11" t="str">
        <x:v>2025-12</x:v>
      </x:c>
      <x:c r="E355" s="11" t="str">
        <x:v>West</x:v>
      </x:c>
      <x:c r="F355" s="11" t="str">
        <x:v>Office Supplies</x:v>
      </x:c>
      <x:c r="G355" s="11" t="str">
        <x:v>Storage box</x:v>
      </x:c>
      <x:c r="H355" s="11" t="n">
        <x:v>4</x:v>
      </x:c>
      <x:c r="I355" s="19" t="n">
        <x:v>0</x:v>
      </x:c>
      <x:c r="J355" s="11" t="n">
        <x:v>0</x:v>
      </x:c>
      <x:c r="K355" s="20" t="n">
        <x:v>104</x:v>
      </x:c>
      <x:c r="L355" s="20" t="n">
        <x:v>0</x:v>
      </x:c>
      <x:c r="M355" s="20" t="n">
        <x:v>48</x:v>
      </x:c>
      <x:c r="N355" s="20" t="n">
        <x:f>IF(J355=1,0,K355-L355)</x:f>
        <x:v>104</x:v>
      </x:c>
      <x:c r="O355" s="20" t="n">
        <x:f>N355-M355</x:f>
        <x:v>56</x:v>
      </x:c>
    </x:row>
    <x:row r="356" ht="22" customHeight="1">
      <x:c r="A356" s="11" t="n">
        <x:v>352</x:v>
      </x:c>
      <x:c r="B356" s="11" t="n">
        <x:v>182</x:v>
      </x:c>
      <x:c r="C356" s="18" t="n">
        <x:v>46005</x:v>
      </x:c>
      <x:c r="D356" s="11" t="str">
        <x:v>2025-12</x:v>
      </x:c>
      <x:c r="E356" s="11" t="str">
        <x:v>West</x:v>
      </x:c>
      <x:c r="F356" s="11" t="str">
        <x:v>Office Supplies</x:v>
      </x:c>
      <x:c r="G356" s="11" t="str">
        <x:v>Notebook pack</x:v>
      </x:c>
      <x:c r="H356" s="11" t="n">
        <x:v>2</x:v>
      </x:c>
      <x:c r="I356" s="19" t="n">
        <x:v>0</x:v>
      </x:c>
      <x:c r="J356" s="11" t="n">
        <x:v>0</x:v>
      </x:c>
      <x:c r="K356" s="20" t="n">
        <x:v>36</x:v>
      </x:c>
      <x:c r="L356" s="20" t="n">
        <x:v>0</x:v>
      </x:c>
      <x:c r="M356" s="20" t="n">
        <x:v>14</x:v>
      </x:c>
      <x:c r="N356" s="20" t="n">
        <x:f>IF(J356=1,0,K356-L356)</x:f>
        <x:v>36</x:v>
      </x:c>
      <x:c r="O356" s="20" t="n">
        <x:f>N356-M356</x:f>
        <x:v>22</x:v>
      </x:c>
    </x:row>
    <x:row r="357" ht="22" customHeight="1">
      <x:c r="A357" s="11" t="n">
        <x:v>353</x:v>
      </x:c>
      <x:c r="B357" s="11" t="n">
        <x:v>183</x:v>
      </x:c>
      <x:c r="C357" s="18" t="n">
        <x:v>45736</x:v>
      </x:c>
      <x:c r="D357" s="11" t="str">
        <x:v>2025-03</x:v>
      </x:c>
      <x:c r="E357" s="11" t="str">
        <x:v>South</x:v>
      </x:c>
      <x:c r="F357" s="11" t="str">
        <x:v>Furniture</x:v>
      </x:c>
      <x:c r="G357" s="11" t="str">
        <x:v>Desk</x:v>
      </x:c>
      <x:c r="H357" s="11" t="n">
        <x:v>2</x:v>
      </x:c>
      <x:c r="I357" s="19" t="n">
        <x:v>0.05</x:v>
      </x:c>
      <x:c r="J357" s="11" t="n">
        <x:v>0</x:v>
      </x:c>
      <x:c r="K357" s="20" t="n">
        <x:v>560</x:v>
      </x:c>
      <x:c r="L357" s="20" t="n">
        <x:v>28</x:v>
      </x:c>
      <x:c r="M357" s="20" t="n">
        <x:v>380</x:v>
      </x:c>
      <x:c r="N357" s="20" t="n">
        <x:f>IF(J357=1,0,K357-L357)</x:f>
        <x:v>532</x:v>
      </x:c>
      <x:c r="O357" s="20" t="n">
        <x:f>N357-M357</x:f>
        <x:v>152</x:v>
      </x:c>
    </x:row>
    <x:row r="358" ht="22" customHeight="1">
      <x:c r="A358" s="11" t="n">
        <x:v>354</x:v>
      </x:c>
      <x:c r="B358" s="11" t="n">
        <x:v>183</x:v>
      </x:c>
      <x:c r="C358" s="18" t="n">
        <x:v>45736</x:v>
      </x:c>
      <x:c r="D358" s="11" t="str">
        <x:v>2025-03</x:v>
      </x:c>
      <x:c r="E358" s="11" t="str">
        <x:v>South</x:v>
      </x:c>
      <x:c r="F358" s="11" t="str">
        <x:v>Office Supplies</x:v>
      </x:c>
      <x:c r="G358" s="11" t="str">
        <x:v>Notebook pack</x:v>
      </x:c>
      <x:c r="H358" s="11" t="n">
        <x:v>5</x:v>
      </x:c>
      <x:c r="I358" s="19" t="n">
        <x:v>0.1</x:v>
      </x:c>
      <x:c r="J358" s="11" t="n">
        <x:v>0</x:v>
      </x:c>
      <x:c r="K358" s="20" t="n">
        <x:v>90</x:v>
      </x:c>
      <x:c r="L358" s="20" t="n">
        <x:v>9</x:v>
      </x:c>
      <x:c r="M358" s="20" t="n">
        <x:v>35</x:v>
      </x:c>
      <x:c r="N358" s="20" t="n">
        <x:f>IF(J358=1,0,K358-L358)</x:f>
        <x:v>81</x:v>
      </x:c>
      <x:c r="O358" s="20" t="n">
        <x:f>N358-M358</x:f>
        <x:v>46</x:v>
      </x:c>
    </x:row>
    <x:row r="359" ht="22" customHeight="1">
      <x:c r="A359" s="11" t="n">
        <x:v>355</x:v>
      </x:c>
      <x:c r="B359" s="11" t="n">
        <x:v>183</x:v>
      </x:c>
      <x:c r="C359" s="18" t="n">
        <x:v>45736</x:v>
      </x:c>
      <x:c r="D359" s="11" t="str">
        <x:v>2025-03</x:v>
      </x:c>
      <x:c r="E359" s="11" t="str">
        <x:v>South</x:v>
      </x:c>
      <x:c r="F359" s="11" t="str">
        <x:v>Office Supplies</x:v>
      </x:c>
      <x:c r="G359" s="11" t="str">
        <x:v>Storage box</x:v>
      </x:c>
      <x:c r="H359" s="11" t="n">
        <x:v>1</x:v>
      </x:c>
      <x:c r="I359" s="19" t="n">
        <x:v>0.05</x:v>
      </x:c>
      <x:c r="J359" s="11" t="n">
        <x:v>0</x:v>
      </x:c>
      <x:c r="K359" s="20" t="n">
        <x:v>26</x:v>
      </x:c>
      <x:c r="L359" s="20" t="n">
        <x:v>1.3</x:v>
      </x:c>
      <x:c r="M359" s="20" t="n">
        <x:v>12</x:v>
      </x:c>
      <x:c r="N359" s="20" t="n">
        <x:f>IF(J359=1,0,K359-L359)</x:f>
        <x:v>24.7</x:v>
      </x:c>
      <x:c r="O359" s="20" t="n">
        <x:f>N359-M359</x:f>
        <x:v>12.7</x:v>
      </x:c>
    </x:row>
    <x:row r="360" ht="22" customHeight="1">
      <x:c r="A360" s="11" t="n">
        <x:v>356</x:v>
      </x:c>
      <x:c r="B360" s="11" t="n">
        <x:v>184</x:v>
      </x:c>
      <x:c r="C360" s="18" t="n">
        <x:v>45869</x:v>
      </x:c>
      <x:c r="D360" s="11" t="str">
        <x:v>2025-07</x:v>
      </x:c>
      <x:c r="E360" s="11" t="str">
        <x:v>Central</x:v>
      </x:c>
      <x:c r="F360" s="11" t="str">
        <x:v>Technology</x:v>
      </x:c>
      <x:c r="G360" s="11" t="str">
        <x:v>Monitor</x:v>
      </x:c>
      <x:c r="H360" s="11" t="n">
        <x:v>1</x:v>
      </x:c>
      <x:c r="I360" s="19" t="n">
        <x:v>0</x:v>
      </x:c>
      <x:c r="J360" s="11" t="n">
        <x:v>0</x:v>
      </x:c>
      <x:c r="K360" s="20" t="n">
        <x:v>240</x:v>
      </x:c>
      <x:c r="L360" s="20" t="n">
        <x:v>0</x:v>
      </x:c>
      <x:c r="M360" s="20" t="n">
        <x:v>160</x:v>
      </x:c>
      <x:c r="N360" s="20" t="n">
        <x:f>IF(J360=1,0,K360-L360)</x:f>
        <x:v>240</x:v>
      </x:c>
      <x:c r="O360" s="20" t="n">
        <x:f>N360-M360</x:f>
        <x:v>80</x:v>
      </x:c>
    </x:row>
    <x:row r="361" ht="22" customHeight="1">
      <x:c r="A361" s="11" t="n">
        <x:v>357</x:v>
      </x:c>
      <x:c r="B361" s="11" t="n">
        <x:v>185</x:v>
      </x:c>
      <x:c r="C361" s="18" t="n">
        <x:v>46021</x:v>
      </x:c>
      <x:c r="D361" s="11" t="str">
        <x:v>2025-12</x:v>
      </x:c>
      <x:c r="E361" s="11" t="str">
        <x:v>East</x:v>
      </x:c>
      <x:c r="F361" s="11" t="str">
        <x:v>Furniture</x:v>
      </x:c>
      <x:c r="G361" s="11" t="str">
        <x:v>Chair</x:v>
      </x:c>
      <x:c r="H361" s="11" t="n">
        <x:v>2</x:v>
      </x:c>
      <x:c r="I361" s="19" t="n">
        <x:v>0.25</x:v>
      </x:c>
      <x:c r="J361" s="11" t="n">
        <x:v>0</x:v>
      </x:c>
      <x:c r="K361" s="20" t="n">
        <x:v>340</x:v>
      </x:c>
      <x:c r="L361" s="20" t="n">
        <x:v>85</x:v>
      </x:c>
      <x:c r="M361" s="20" t="n">
        <x:v>220</x:v>
      </x:c>
      <x:c r="N361" s="20" t="n">
        <x:f>IF(J361=1,0,K361-L361)</x:f>
        <x:v>255</x:v>
      </x:c>
      <x:c r="O361" s="20" t="n">
        <x:f>N361-M361</x:f>
        <x:v>35</x:v>
      </x:c>
    </x:row>
    <x:row r="362" ht="22" customHeight="1">
      <x:c r="A362" s="11" t="n">
        <x:v>358</x:v>
      </x:c>
      <x:c r="B362" s="11" t="n">
        <x:v>185</x:v>
      </x:c>
      <x:c r="C362" s="18" t="n">
        <x:v>46021</x:v>
      </x:c>
      <x:c r="D362" s="11" t="str">
        <x:v>2025-12</x:v>
      </x:c>
      <x:c r="E362" s="11" t="str">
        <x:v>East</x:v>
      </x:c>
      <x:c r="F362" s="11" t="str">
        <x:v>Office Supplies</x:v>
      </x:c>
      <x:c r="G362" s="11" t="str">
        <x:v>Notebook pack</x:v>
      </x:c>
      <x:c r="H362" s="11" t="n">
        <x:v>5</x:v>
      </x:c>
      <x:c r="I362" s="19" t="n">
        <x:v>0.05</x:v>
      </x:c>
      <x:c r="J362" s="11" t="n">
        <x:v>0</x:v>
      </x:c>
      <x:c r="K362" s="20" t="n">
        <x:v>90</x:v>
      </x:c>
      <x:c r="L362" s="20" t="n">
        <x:v>4.5</x:v>
      </x:c>
      <x:c r="M362" s="20" t="n">
        <x:v>35</x:v>
      </x:c>
      <x:c r="N362" s="20" t="n">
        <x:f>IF(J362=1,0,K362-L362)</x:f>
        <x:v>85.5</x:v>
      </x:c>
      <x:c r="O362" s="20" t="n">
        <x:f>N362-M362</x:f>
        <x:v>50.5</x:v>
      </x:c>
    </x:row>
    <x:row r="363" ht="22" customHeight="1">
      <x:c r="A363" s="11" t="n">
        <x:v>359</x:v>
      </x:c>
      <x:c r="B363" s="11" t="n">
        <x:v>186</x:v>
      </x:c>
      <x:c r="C363" s="18" t="n">
        <x:v>45435</x:v>
      </x:c>
      <x:c r="D363" s="11" t="str">
        <x:v>2024-05</x:v>
      </x:c>
      <x:c r="E363" s="11" t="str">
        <x:v>Central</x:v>
      </x:c>
      <x:c r="F363" s="11" t="str">
        <x:v>Office Supplies</x:v>
      </x:c>
      <x:c r="G363" s="11" t="str">
        <x:v>Storage box</x:v>
      </x:c>
      <x:c r="H363" s="11" t="n">
        <x:v>1</x:v>
      </x:c>
      <x:c r="I363" s="19" t="n">
        <x:v>0.1</x:v>
      </x:c>
      <x:c r="J363" s="11" t="n">
        <x:v>0</x:v>
      </x:c>
      <x:c r="K363" s="20" t="n">
        <x:v>26</x:v>
      </x:c>
      <x:c r="L363" s="20" t="n">
        <x:v>2.6</x:v>
      </x:c>
      <x:c r="M363" s="20" t="n">
        <x:v>12</x:v>
      </x:c>
      <x:c r="N363" s="20" t="n">
        <x:f>IF(J363=1,0,K363-L363)</x:f>
        <x:v>23.4</x:v>
      </x:c>
      <x:c r="O363" s="20" t="n">
        <x:f>N363-M363</x:f>
        <x:v>11.399999999999999</x:v>
      </x:c>
    </x:row>
    <x:row r="364" ht="22" customHeight="1">
      <x:c r="A364" s="11" t="n">
        <x:v>360</x:v>
      </x:c>
      <x:c r="B364" s="11" t="n">
        <x:v>186</x:v>
      </x:c>
      <x:c r="C364" s="18" t="n">
        <x:v>45435</x:v>
      </x:c>
      <x:c r="D364" s="11" t="str">
        <x:v>2024-05</x:v>
      </x:c>
      <x:c r="E364" s="11" t="str">
        <x:v>Central</x:v>
      </x:c>
      <x:c r="F364" s="11" t="str">
        <x:v>Technology</x:v>
      </x:c>
      <x:c r="G364" s="11" t="str">
        <x:v>Monitor</x:v>
      </x:c>
      <x:c r="H364" s="11" t="n">
        <x:v>1</x:v>
      </x:c>
      <x:c r="I364" s="19" t="n">
        <x:v>0.05</x:v>
      </x:c>
      <x:c r="J364" s="11" t="n">
        <x:v>0</x:v>
      </x:c>
      <x:c r="K364" s="20" t="n">
        <x:v>240</x:v>
      </x:c>
      <x:c r="L364" s="20" t="n">
        <x:v>12</x:v>
      </x:c>
      <x:c r="M364" s="20" t="n">
        <x:v>160</x:v>
      </x:c>
      <x:c r="N364" s="20" t="n">
        <x:f>IF(J364=1,0,K364-L364)</x:f>
        <x:v>228</x:v>
      </x:c>
      <x:c r="O364" s="20" t="n">
        <x:f>N364-M364</x:f>
        <x:v>68</x:v>
      </x:c>
    </x:row>
    <x:row r="365" ht="22" customHeight="1">
      <x:c r="A365" s="11" t="n">
        <x:v>361</x:v>
      </x:c>
      <x:c r="B365" s="11" t="n">
        <x:v>186</x:v>
      </x:c>
      <x:c r="C365" s="18" t="n">
        <x:v>45435</x:v>
      </x:c>
      <x:c r="D365" s="11" t="str">
        <x:v>2024-05</x:v>
      </x:c>
      <x:c r="E365" s="11" t="str">
        <x:v>Central</x:v>
      </x:c>
      <x:c r="F365" s="11" t="str">
        <x:v>Furniture</x:v>
      </x:c>
      <x:c r="G365" s="11" t="str">
        <x:v>Desk</x:v>
      </x:c>
      <x:c r="H365" s="11" t="n">
        <x:v>5</x:v>
      </x:c>
      <x:c r="I365" s="19" t="n">
        <x:v>0.25</x:v>
      </x:c>
      <x:c r="J365" s="11" t="n">
        <x:v>0</x:v>
      </x:c>
      <x:c r="K365" s="20" t="n">
        <x:v>1400</x:v>
      </x:c>
      <x:c r="L365" s="20" t="n">
        <x:v>350</x:v>
      </x:c>
      <x:c r="M365" s="20" t="n">
        <x:v>950</x:v>
      </x:c>
      <x:c r="N365" s="20" t="n">
        <x:f>IF(J365=1,0,K365-L365)</x:f>
        <x:v>1050</x:v>
      </x:c>
      <x:c r="O365" s="20" t="n">
        <x:f>N365-M365</x:f>
        <x:v>100</x:v>
      </x:c>
    </x:row>
    <x:row r="366" ht="22" customHeight="1">
      <x:c r="A366" s="11" t="n">
        <x:v>362</x:v>
      </x:c>
      <x:c r="B366" s="11" t="n">
        <x:v>187</x:v>
      </x:c>
      <x:c r="C366" s="18" t="n">
        <x:v>45626</x:v>
      </x:c>
      <x:c r="D366" s="11" t="str">
        <x:v>2024-11</x:v>
      </x:c>
      <x:c r="E366" s="11" t="str">
        <x:v>East</x:v>
      </x:c>
      <x:c r="F366" s="11" t="str">
        <x:v>Technology</x:v>
      </x:c>
      <x:c r="G366" s="11" t="str">
        <x:v>Keyboard</x:v>
      </x:c>
      <x:c r="H366" s="11" t="n">
        <x:v>3</x:v>
      </x:c>
      <x:c r="I366" s="19" t="n">
        <x:v>0.15</x:v>
      </x:c>
      <x:c r="J366" s="11" t="n">
        <x:v>0</x:v>
      </x:c>
      <x:c r="K366" s="20" t="n">
        <x:v>195</x:v>
      </x:c>
      <x:c r="L366" s="20" t="n">
        <x:v>29.25</x:v>
      </x:c>
      <x:c r="M366" s="20" t="n">
        <x:v>96</x:v>
      </x:c>
      <x:c r="N366" s="20" t="n">
        <x:f>IF(J366=1,0,K366-L366)</x:f>
        <x:v>165.75</x:v>
      </x:c>
      <x:c r="O366" s="20" t="n">
        <x:f>N366-M366</x:f>
        <x:v>69.75</x:v>
      </x:c>
    </x:row>
    <x:row r="367" ht="22" customHeight="1">
      <x:c r="A367" s="11" t="n">
        <x:v>363</x:v>
      </x:c>
      <x:c r="B367" s="11" t="n">
        <x:v>187</x:v>
      </x:c>
      <x:c r="C367" s="18" t="n">
        <x:v>45626</x:v>
      </x:c>
      <x:c r="D367" s="11" t="str">
        <x:v>2024-11</x:v>
      </x:c>
      <x:c r="E367" s="11" t="str">
        <x:v>East</x:v>
      </x:c>
      <x:c r="F367" s="11" t="str">
        <x:v>Furniture</x:v>
      </x:c>
      <x:c r="G367" s="11" t="str">
        <x:v>Chair</x:v>
      </x:c>
      <x:c r="H367" s="11" t="n">
        <x:v>4</x:v>
      </x:c>
      <x:c r="I367" s="19" t="n">
        <x:v>0</x:v>
      </x:c>
      <x:c r="J367" s="11" t="n">
        <x:v>0</x:v>
      </x:c>
      <x:c r="K367" s="20" t="n">
        <x:v>680</x:v>
      </x:c>
      <x:c r="L367" s="20" t="n">
        <x:v>0</x:v>
      </x:c>
      <x:c r="M367" s="20" t="n">
        <x:v>440</x:v>
      </x:c>
      <x:c r="N367" s="20" t="n">
        <x:f>IF(J367=1,0,K367-L367)</x:f>
        <x:v>680</x:v>
      </x:c>
      <x:c r="O367" s="20" t="n">
        <x:f>N367-M367</x:f>
        <x:v>240</x:v>
      </x:c>
    </x:row>
    <x:row r="368" ht="22" customHeight="1">
      <x:c r="A368" s="11" t="n">
        <x:v>364</x:v>
      </x:c>
      <x:c r="B368" s="11" t="n">
        <x:v>188</x:v>
      </x:c>
      <x:c r="C368" s="18" t="n">
        <x:v>45968</x:v>
      </x:c>
      <x:c r="D368" s="11" t="str">
        <x:v>2025-11</x:v>
      </x:c>
      <x:c r="E368" s="11" t="str">
        <x:v>Central</x:v>
      </x:c>
      <x:c r="F368" s="11" t="str">
        <x:v>Technology</x:v>
      </x:c>
      <x:c r="G368" s="11" t="str">
        <x:v>Monitor</x:v>
      </x:c>
      <x:c r="H368" s="11" t="n">
        <x:v>1</x:v>
      </x:c>
      <x:c r="I368" s="19" t="n">
        <x:v>0.05</x:v>
      </x:c>
      <x:c r="J368" s="11" t="n">
        <x:v>0</x:v>
      </x:c>
      <x:c r="K368" s="20" t="n">
        <x:v>240</x:v>
      </x:c>
      <x:c r="L368" s="20" t="n">
        <x:v>12</x:v>
      </x:c>
      <x:c r="M368" s="20" t="n">
        <x:v>160</x:v>
      </x:c>
      <x:c r="N368" s="20" t="n">
        <x:f>IF(J368=1,0,K368-L368)</x:f>
        <x:v>228</x:v>
      </x:c>
      <x:c r="O368" s="20" t="n">
        <x:f>N368-M368</x:f>
        <x:v>68</x:v>
      </x:c>
    </x:row>
    <x:row r="369" ht="22" customHeight="1">
      <x:c r="A369" s="11" t="n">
        <x:v>365</x:v>
      </x:c>
      <x:c r="B369" s="11" t="n">
        <x:v>188</x:v>
      </x:c>
      <x:c r="C369" s="18" t="n">
        <x:v>45968</x:v>
      </x:c>
      <x:c r="D369" s="11" t="str">
        <x:v>2025-11</x:v>
      </x:c>
      <x:c r="E369" s="11" t="str">
        <x:v>Central</x:v>
      </x:c>
      <x:c r="F369" s="11" t="str">
        <x:v>Furniture</x:v>
      </x:c>
      <x:c r="G369" s="11" t="str">
        <x:v>Chair</x:v>
      </x:c>
      <x:c r="H369" s="11" t="n">
        <x:v>2</x:v>
      </x:c>
      <x:c r="I369" s="19" t="n">
        <x:v>0.25</x:v>
      </x:c>
      <x:c r="J369" s="11" t="n">
        <x:v>0</x:v>
      </x:c>
      <x:c r="K369" s="20" t="n">
        <x:v>340</x:v>
      </x:c>
      <x:c r="L369" s="20" t="n">
        <x:v>85</x:v>
      </x:c>
      <x:c r="M369" s="20" t="n">
        <x:v>220</x:v>
      </x:c>
      <x:c r="N369" s="20" t="n">
        <x:f>IF(J369=1,0,K369-L369)</x:f>
        <x:v>255</x:v>
      </x:c>
      <x:c r="O369" s="20" t="n">
        <x:f>N369-M369</x:f>
        <x:v>35</x:v>
      </x:c>
    </x:row>
    <x:row r="370" ht="22" customHeight="1">
      <x:c r="A370" s="11" t="n">
        <x:v>366</x:v>
      </x:c>
      <x:c r="B370" s="11" t="n">
        <x:v>188</x:v>
      </x:c>
      <x:c r="C370" s="18" t="n">
        <x:v>45968</x:v>
      </x:c>
      <x:c r="D370" s="11" t="str">
        <x:v>2025-11</x:v>
      </x:c>
      <x:c r="E370" s="11" t="str">
        <x:v>Central</x:v>
      </x:c>
      <x:c r="F370" s="11" t="str">
        <x:v>Furniture</x:v>
      </x:c>
      <x:c r="G370" s="11" t="str">
        <x:v>Desk</x:v>
      </x:c>
      <x:c r="H370" s="11" t="n">
        <x:v>1</x:v>
      </x:c>
      <x:c r="I370" s="19" t="n">
        <x:v>0</x:v>
      </x:c>
      <x:c r="J370" s="11" t="n">
        <x:v>1</x:v>
      </x:c>
      <x:c r="K370" s="20" t="n">
        <x:v>280</x:v>
      </x:c>
      <x:c r="L370" s="20" t="n">
        <x:v>0</x:v>
      </x:c>
      <x:c r="M370" s="20" t="n">
        <x:v>0</x:v>
      </x:c>
      <x:c r="N370" s="20" t="n">
        <x:f>IF(J370=1,0,K370-L370)</x:f>
        <x:v>0</x:v>
      </x:c>
      <x:c r="O370" s="20" t="n">
        <x:f>N370-M370</x:f>
        <x:v>0</x:v>
      </x:c>
    </x:row>
    <x:row r="371" ht="22" customHeight="1">
      <x:c r="A371" s="11" t="n">
        <x:v>367</x:v>
      </x:c>
      <x:c r="B371" s="11" t="n">
        <x:v>189</x:v>
      </x:c>
      <x:c r="C371" s="18" t="n">
        <x:v>45607</x:v>
      </x:c>
      <x:c r="D371" s="11" t="str">
        <x:v>2024-11</x:v>
      </x:c>
      <x:c r="E371" s="11" t="str">
        <x:v>Central</x:v>
      </x:c>
      <x:c r="F371" s="11" t="str">
        <x:v>Furniture</x:v>
      </x:c>
      <x:c r="G371" s="11" t="str">
        <x:v>Desk</x:v>
      </x:c>
      <x:c r="H371" s="11" t="n">
        <x:v>1</x:v>
      </x:c>
      <x:c r="I371" s="19" t="n">
        <x:v>0</x:v>
      </x:c>
      <x:c r="J371" s="11" t="n">
        <x:v>0</x:v>
      </x:c>
      <x:c r="K371" s="20" t="n">
        <x:v>280</x:v>
      </x:c>
      <x:c r="L371" s="20" t="n">
        <x:v>0</x:v>
      </x:c>
      <x:c r="M371" s="20" t="n">
        <x:v>190</x:v>
      </x:c>
      <x:c r="N371" s="20" t="n">
        <x:f>IF(J371=1,0,K371-L371)</x:f>
        <x:v>280</x:v>
      </x:c>
      <x:c r="O371" s="20" t="n">
        <x:f>N371-M371</x:f>
        <x:v>90</x:v>
      </x:c>
    </x:row>
    <x:row r="372" ht="22" customHeight="1">
      <x:c r="A372" s="11" t="n">
        <x:v>368</x:v>
      </x:c>
      <x:c r="B372" s="11" t="n">
        <x:v>189</x:v>
      </x:c>
      <x:c r="C372" s="18" t="n">
        <x:v>45607</x:v>
      </x:c>
      <x:c r="D372" s="11" t="str">
        <x:v>2024-11</x:v>
      </x:c>
      <x:c r="E372" s="11" t="str">
        <x:v>Central</x:v>
      </x:c>
      <x:c r="F372" s="11" t="str">
        <x:v>Furniture</x:v>
      </x:c>
      <x:c r="G372" s="11" t="str">
        <x:v>Chair</x:v>
      </x:c>
      <x:c r="H372" s="11" t="n">
        <x:v>5</x:v>
      </x:c>
      <x:c r="I372" s="19" t="n">
        <x:v>0.25</x:v>
      </x:c>
      <x:c r="J372" s="11" t="n">
        <x:v>0</x:v>
      </x:c>
      <x:c r="K372" s="20" t="n">
        <x:v>850</x:v>
      </x:c>
      <x:c r="L372" s="20" t="n">
        <x:v>212.5</x:v>
      </x:c>
      <x:c r="M372" s="20" t="n">
        <x:v>550</x:v>
      </x:c>
      <x:c r="N372" s="20" t="n">
        <x:f>IF(J372=1,0,K372-L372)</x:f>
        <x:v>637.5</x:v>
      </x:c>
      <x:c r="O372" s="20" t="n">
        <x:f>N372-M372</x:f>
        <x:v>87.5</x:v>
      </x:c>
    </x:row>
    <x:row r="373" ht="22" customHeight="1">
      <x:c r="A373" s="11" t="n">
        <x:v>369</x:v>
      </x:c>
      <x:c r="B373" s="11" t="n">
        <x:v>190</x:v>
      </x:c>
      <x:c r="C373" s="18" t="n">
        <x:v>45383</x:v>
      </x:c>
      <x:c r="D373" s="11" t="str">
        <x:v>2024-04</x:v>
      </x:c>
      <x:c r="E373" s="11" t="str">
        <x:v>South</x:v>
      </x:c>
      <x:c r="F373" s="11" t="str">
        <x:v>Office Supplies</x:v>
      </x:c>
      <x:c r="G373" s="11" t="str">
        <x:v>Notebook pack</x:v>
      </x:c>
      <x:c r="H373" s="11" t="n">
        <x:v>1</x:v>
      </x:c>
      <x:c r="I373" s="19" t="n">
        <x:v>0.05</x:v>
      </x:c>
      <x:c r="J373" s="11" t="n">
        <x:v>0</x:v>
      </x:c>
      <x:c r="K373" s="20" t="n">
        <x:v>18</x:v>
      </x:c>
      <x:c r="L373" s="20" t="n">
        <x:v>0.9</x:v>
      </x:c>
      <x:c r="M373" s="20" t="n">
        <x:v>7</x:v>
      </x:c>
      <x:c r="N373" s="20" t="n">
        <x:f>IF(J373=1,0,K373-L373)</x:f>
        <x:v>17.1</x:v>
      </x:c>
      <x:c r="O373" s="20" t="n">
        <x:f>N373-M373</x:f>
        <x:v>10.100000000000001</x:v>
      </x:c>
    </x:row>
    <x:row r="374" ht="22" customHeight="1">
      <x:c r="A374" s="11" t="n">
        <x:v>370</x:v>
      </x:c>
      <x:c r="B374" s="11" t="n">
        <x:v>190</x:v>
      </x:c>
      <x:c r="C374" s="18" t="n">
        <x:v>45383</x:v>
      </x:c>
      <x:c r="D374" s="11" t="str">
        <x:v>2024-04</x:v>
      </x:c>
      <x:c r="E374" s="11" t="str">
        <x:v>South</x:v>
      </x:c>
      <x:c r="F374" s="11" t="str">
        <x:v>Technology</x:v>
      </x:c>
      <x:c r="G374" s="11" t="str">
        <x:v>Monitor</x:v>
      </x:c>
      <x:c r="H374" s="11" t="n">
        <x:v>1</x:v>
      </x:c>
      <x:c r="I374" s="19" t="n">
        <x:v>0.15</x:v>
      </x:c>
      <x:c r="J374" s="11" t="n">
        <x:v>0</x:v>
      </x:c>
      <x:c r="K374" s="20" t="n">
        <x:v>240</x:v>
      </x:c>
      <x:c r="L374" s="20" t="n">
        <x:v>36</x:v>
      </x:c>
      <x:c r="M374" s="20" t="n">
        <x:v>160</x:v>
      </x:c>
      <x:c r="N374" s="20" t="n">
        <x:f>IF(J374=1,0,K374-L374)</x:f>
        <x:v>204</x:v>
      </x:c>
      <x:c r="O374" s="20" t="n">
        <x:f>N374-M374</x:f>
        <x:v>44</x:v>
      </x:c>
    </x:row>
    <x:row r="375" ht="22" customHeight="1">
      <x:c r="A375" s="11" t="n">
        <x:v>371</x:v>
      </x:c>
      <x:c r="B375" s="11" t="n">
        <x:v>190</x:v>
      </x:c>
      <x:c r="C375" s="18" t="n">
        <x:v>45383</x:v>
      </x:c>
      <x:c r="D375" s="11" t="str">
        <x:v>2024-04</x:v>
      </x:c>
      <x:c r="E375" s="11" t="str">
        <x:v>South</x:v>
      </x:c>
      <x:c r="F375" s="11" t="str">
        <x:v>Technology</x:v>
      </x:c>
      <x:c r="G375" s="11" t="str">
        <x:v>Keyboard</x:v>
      </x:c>
      <x:c r="H375" s="11" t="n">
        <x:v>2</x:v>
      </x:c>
      <x:c r="I375" s="19" t="n">
        <x:v>0.15</x:v>
      </x:c>
      <x:c r="J375" s="11" t="n">
        <x:v>0</x:v>
      </x:c>
      <x:c r="K375" s="20" t="n">
        <x:v>130</x:v>
      </x:c>
      <x:c r="L375" s="20" t="n">
        <x:v>19.5</x:v>
      </x:c>
      <x:c r="M375" s="20" t="n">
        <x:v>64</x:v>
      </x:c>
      <x:c r="N375" s="20" t="n">
        <x:f>IF(J375=1,0,K375-L375)</x:f>
        <x:v>110.5</x:v>
      </x:c>
      <x:c r="O375" s="20" t="n">
        <x:f>N375-M375</x:f>
        <x:v>46.5</x:v>
      </x:c>
    </x:row>
    <x:row r="376" ht="22" customHeight="1">
      <x:c r="A376" s="11" t="n">
        <x:v>372</x:v>
      </x:c>
      <x:c r="B376" s="11" t="n">
        <x:v>191</x:v>
      </x:c>
      <x:c r="C376" s="18" t="n">
        <x:v>45993</x:v>
      </x:c>
      <x:c r="D376" s="11" t="str">
        <x:v>2025-12</x:v>
      </x:c>
      <x:c r="E376" s="11" t="str">
        <x:v>Central</x:v>
      </x:c>
      <x:c r="F376" s="11" t="str">
        <x:v>Technology</x:v>
      </x:c>
      <x:c r="G376" s="11" t="str">
        <x:v>Monitor</x:v>
      </x:c>
      <x:c r="H376" s="11" t="n">
        <x:v>3</x:v>
      </x:c>
      <x:c r="I376" s="19" t="n">
        <x:v>0.05</x:v>
      </x:c>
      <x:c r="J376" s="11" t="n">
        <x:v>0</x:v>
      </x:c>
      <x:c r="K376" s="20" t="n">
        <x:v>720</x:v>
      </x:c>
      <x:c r="L376" s="20" t="n">
        <x:v>36</x:v>
      </x:c>
      <x:c r="M376" s="20" t="n">
        <x:v>480</x:v>
      </x:c>
      <x:c r="N376" s="20" t="n">
        <x:f>IF(J376=1,0,K376-L376)</x:f>
        <x:v>684</x:v>
      </x:c>
      <x:c r="O376" s="20" t="n">
        <x:f>N376-M376</x:f>
        <x:v>204</x:v>
      </x:c>
    </x:row>
    <x:row r="377" ht="22" customHeight="1">
      <x:c r="A377" s="11" t="n">
        <x:v>373</x:v>
      </x:c>
      <x:c r="B377" s="11" t="n">
        <x:v>192</x:v>
      </x:c>
      <x:c r="C377" s="18" t="n">
        <x:v>45356</x:v>
      </x:c>
      <x:c r="D377" s="11" t="str">
        <x:v>2024-03</x:v>
      </x:c>
      <x:c r="E377" s="11" t="str">
        <x:v>West</x:v>
      </x:c>
      <x:c r="F377" s="11" t="str">
        <x:v>Technology</x:v>
      </x:c>
      <x:c r="G377" s="11" t="str">
        <x:v>Keyboard</x:v>
      </x:c>
      <x:c r="H377" s="11" t="n">
        <x:v>4</x:v>
      </x:c>
      <x:c r="I377" s="19" t="n">
        <x:v>0</x:v>
      </x:c>
      <x:c r="J377" s="11" t="n">
        <x:v>0</x:v>
      </x:c>
      <x:c r="K377" s="20" t="n">
        <x:v>260</x:v>
      </x:c>
      <x:c r="L377" s="20" t="n">
        <x:v>0</x:v>
      </x:c>
      <x:c r="M377" s="20" t="n">
        <x:v>128</x:v>
      </x:c>
      <x:c r="N377" s="20" t="n">
        <x:f>IF(J377=1,0,K377-L377)</x:f>
        <x:v>260</x:v>
      </x:c>
      <x:c r="O377" s="20" t="n">
        <x:f>N377-M377</x:f>
        <x:v>132</x:v>
      </x:c>
    </x:row>
    <x:row r="378" ht="22" customHeight="1">
      <x:c r="A378" s="11" t="n">
        <x:v>374</x:v>
      </x:c>
      <x:c r="B378" s="11" t="n">
        <x:v>192</x:v>
      </x:c>
      <x:c r="C378" s="18" t="n">
        <x:v>45356</x:v>
      </x:c>
      <x:c r="D378" s="11" t="str">
        <x:v>2024-03</x:v>
      </x:c>
      <x:c r="E378" s="11" t="str">
        <x:v>West</x:v>
      </x:c>
      <x:c r="F378" s="11" t="str">
        <x:v>Technology</x:v>
      </x:c>
      <x:c r="G378" s="11" t="str">
        <x:v>Monitor</x:v>
      </x:c>
      <x:c r="H378" s="11" t="n">
        <x:v>2</x:v>
      </x:c>
      <x:c r="I378" s="19" t="n">
        <x:v>0.1</x:v>
      </x:c>
      <x:c r="J378" s="11" t="n">
        <x:v>0</x:v>
      </x:c>
      <x:c r="K378" s="20" t="n">
        <x:v>480</x:v>
      </x:c>
      <x:c r="L378" s="20" t="n">
        <x:v>48</x:v>
      </x:c>
      <x:c r="M378" s="20" t="n">
        <x:v>320</x:v>
      </x:c>
      <x:c r="N378" s="20" t="n">
        <x:f>IF(J378=1,0,K378-L378)</x:f>
        <x:v>432</x:v>
      </x:c>
      <x:c r="O378" s="20" t="n">
        <x:f>N378-M378</x:f>
        <x:v>112</x:v>
      </x:c>
    </x:row>
    <x:row r="379" ht="22" customHeight="1">
      <x:c r="A379" s="11" t="n">
        <x:v>375</x:v>
      </x:c>
      <x:c r="B379" s="11" t="n">
        <x:v>193</x:v>
      </x:c>
      <x:c r="C379" s="18" t="n">
        <x:v>45492</x:v>
      </x:c>
      <x:c r="D379" s="11" t="str">
        <x:v>2024-07</x:v>
      </x:c>
      <x:c r="E379" s="11" t="str">
        <x:v>East</x:v>
      </x:c>
      <x:c r="F379" s="11" t="str">
        <x:v>Technology</x:v>
      </x:c>
      <x:c r="G379" s="11" t="str">
        <x:v>Monitor</x:v>
      </x:c>
      <x:c r="H379" s="11" t="n">
        <x:v>1</x:v>
      </x:c>
      <x:c r="I379" s="19" t="n">
        <x:v>0.1</x:v>
      </x:c>
      <x:c r="J379" s="11" t="n">
        <x:v>0</x:v>
      </x:c>
      <x:c r="K379" s="20" t="n">
        <x:v>240</x:v>
      </x:c>
      <x:c r="L379" s="20" t="n">
        <x:v>24</x:v>
      </x:c>
      <x:c r="M379" s="20" t="n">
        <x:v>160</x:v>
      </x:c>
      <x:c r="N379" s="20" t="n">
        <x:f>IF(J379=1,0,K379-L379)</x:f>
        <x:v>216</x:v>
      </x:c>
      <x:c r="O379" s="20" t="n">
        <x:f>N379-M379</x:f>
        <x:v>56</x:v>
      </x:c>
    </x:row>
    <x:row r="380" ht="22" customHeight="1">
      <x:c r="A380" s="11" t="n">
        <x:v>376</x:v>
      </x:c>
      <x:c r="B380" s="11" t="n">
        <x:v>194</x:v>
      </x:c>
      <x:c r="C380" s="18" t="n">
        <x:v>45927</x:v>
      </x:c>
      <x:c r="D380" s="11" t="str">
        <x:v>2025-09</x:v>
      </x:c>
      <x:c r="E380" s="11" t="str">
        <x:v>Central</x:v>
      </x:c>
      <x:c r="F380" s="11" t="str">
        <x:v>Technology</x:v>
      </x:c>
      <x:c r="G380" s="11" t="str">
        <x:v>Monitor</x:v>
      </x:c>
      <x:c r="H380" s="11" t="n">
        <x:v>5</x:v>
      </x:c>
      <x:c r="I380" s="19" t="n">
        <x:v>0</x:v>
      </x:c>
      <x:c r="J380" s="11" t="n">
        <x:v>0</x:v>
      </x:c>
      <x:c r="K380" s="20" t="n">
        <x:v>1200</x:v>
      </x:c>
      <x:c r="L380" s="20" t="n">
        <x:v>0</x:v>
      </x:c>
      <x:c r="M380" s="20" t="n">
        <x:v>800</x:v>
      </x:c>
      <x:c r="N380" s="20" t="n">
        <x:f>IF(J380=1,0,K380-L380)</x:f>
        <x:v>1200</x:v>
      </x:c>
      <x:c r="O380" s="20" t="n">
        <x:f>N380-M380</x:f>
        <x:v>400</x:v>
      </x:c>
    </x:row>
    <x:row r="381" ht="22" customHeight="1">
      <x:c r="A381" s="11" t="n">
        <x:v>377</x:v>
      </x:c>
      <x:c r="B381" s="11" t="n">
        <x:v>194</x:v>
      </x:c>
      <x:c r="C381" s="18" t="n">
        <x:v>45927</x:v>
      </x:c>
      <x:c r="D381" s="11" t="str">
        <x:v>2025-09</x:v>
      </x:c>
      <x:c r="E381" s="11" t="str">
        <x:v>Central</x:v>
      </x:c>
      <x:c r="F381" s="11" t="str">
        <x:v>Technology</x:v>
      </x:c>
      <x:c r="G381" s="11" t="str">
        <x:v>Keyboard</x:v>
      </x:c>
      <x:c r="H381" s="11" t="n">
        <x:v>5</x:v>
      </x:c>
      <x:c r="I381" s="19" t="n">
        <x:v>0</x:v>
      </x:c>
      <x:c r="J381" s="11" t="n">
        <x:v>0</x:v>
      </x:c>
      <x:c r="K381" s="20" t="n">
        <x:v>325</x:v>
      </x:c>
      <x:c r="L381" s="20" t="n">
        <x:v>0</x:v>
      </x:c>
      <x:c r="M381" s="20" t="n">
        <x:v>160</x:v>
      </x:c>
      <x:c r="N381" s="20" t="n">
        <x:f>IF(J381=1,0,K381-L381)</x:f>
        <x:v>325</x:v>
      </x:c>
      <x:c r="O381" s="20" t="n">
        <x:f>N381-M381</x:f>
        <x:v>165</x:v>
      </x:c>
    </x:row>
    <x:row r="382" ht="22" customHeight="1">
      <x:c r="A382" s="11" t="n">
        <x:v>378</x:v>
      </x:c>
      <x:c r="B382" s="11" t="n">
        <x:v>195</x:v>
      </x:c>
      <x:c r="C382" s="18" t="n">
        <x:v>45473</x:v>
      </x:c>
      <x:c r="D382" s="11" t="str">
        <x:v>2024-06</x:v>
      </x:c>
      <x:c r="E382" s="11" t="str">
        <x:v>East</x:v>
      </x:c>
      <x:c r="F382" s="11" t="str">
        <x:v>Office Supplies</x:v>
      </x:c>
      <x:c r="G382" s="11" t="str">
        <x:v>Storage box</x:v>
      </x:c>
      <x:c r="H382" s="11" t="n">
        <x:v>5</x:v>
      </x:c>
      <x:c r="I382" s="19" t="n">
        <x:v>0</x:v>
      </x:c>
      <x:c r="J382" s="11" t="n">
        <x:v>0</x:v>
      </x:c>
      <x:c r="K382" s="20" t="n">
        <x:v>130</x:v>
      </x:c>
      <x:c r="L382" s="20" t="n">
        <x:v>0</x:v>
      </x:c>
      <x:c r="M382" s="20" t="n">
        <x:v>60</x:v>
      </x:c>
      <x:c r="N382" s="20" t="n">
        <x:f>IF(J382=1,0,K382-L382)</x:f>
        <x:v>130</x:v>
      </x:c>
      <x:c r="O382" s="20" t="n">
        <x:f>N382-M382</x:f>
        <x:v>70</x:v>
      </x:c>
    </x:row>
    <x:row r="383" ht="22" customHeight="1">
      <x:c r="A383" s="11" t="n">
        <x:v>379</x:v>
      </x:c>
      <x:c r="B383" s="11" t="n">
        <x:v>195</x:v>
      </x:c>
      <x:c r="C383" s="18" t="n">
        <x:v>45473</x:v>
      </x:c>
      <x:c r="D383" s="11" t="str">
        <x:v>2024-06</x:v>
      </x:c>
      <x:c r="E383" s="11" t="str">
        <x:v>East</x:v>
      </x:c>
      <x:c r="F383" s="11" t="str">
        <x:v>Technology</x:v>
      </x:c>
      <x:c r="G383" s="11" t="str">
        <x:v>Keyboard</x:v>
      </x:c>
      <x:c r="H383" s="11" t="n">
        <x:v>3</x:v>
      </x:c>
      <x:c r="I383" s="19" t="n">
        <x:v>0.1</x:v>
      </x:c>
      <x:c r="J383" s="11" t="n">
        <x:v>0</x:v>
      </x:c>
      <x:c r="K383" s="20" t="n">
        <x:v>195</x:v>
      </x:c>
      <x:c r="L383" s="20" t="n">
        <x:v>19.5</x:v>
      </x:c>
      <x:c r="M383" s="20" t="n">
        <x:v>96</x:v>
      </x:c>
      <x:c r="N383" s="20" t="n">
        <x:f>IF(J383=1,0,K383-L383)</x:f>
        <x:v>175.5</x:v>
      </x:c>
      <x:c r="O383" s="20" t="n">
        <x:f>N383-M383</x:f>
        <x:v>79.5</x:v>
      </x:c>
    </x:row>
    <x:row r="384" ht="22" customHeight="1">
      <x:c r="A384" s="11" t="n">
        <x:v>380</x:v>
      </x:c>
      <x:c r="B384" s="11" t="n">
        <x:v>196</x:v>
      </x:c>
      <x:c r="C384" s="18" t="n">
        <x:v>45869</x:v>
      </x:c>
      <x:c r="D384" s="11" t="str">
        <x:v>2025-07</x:v>
      </x:c>
      <x:c r="E384" s="11" t="str">
        <x:v>Central</x:v>
      </x:c>
      <x:c r="F384" s="11" t="str">
        <x:v>Office Supplies</x:v>
      </x:c>
      <x:c r="G384" s="11" t="str">
        <x:v>Notebook pack</x:v>
      </x:c>
      <x:c r="H384" s="11" t="n">
        <x:v>2</x:v>
      </x:c>
      <x:c r="I384" s="19" t="n">
        <x:v>0.1</x:v>
      </x:c>
      <x:c r="J384" s="11" t="n">
        <x:v>0</x:v>
      </x:c>
      <x:c r="K384" s="20" t="n">
        <x:v>36</x:v>
      </x:c>
      <x:c r="L384" s="20" t="n">
        <x:v>3.6</x:v>
      </x:c>
      <x:c r="M384" s="20" t="n">
        <x:v>14</x:v>
      </x:c>
      <x:c r="N384" s="20" t="n">
        <x:f>IF(J384=1,0,K384-L384)</x:f>
        <x:v>32.4</x:v>
      </x:c>
      <x:c r="O384" s="20" t="n">
        <x:f>N384-M384</x:f>
        <x:v>18.4</x:v>
      </x:c>
    </x:row>
    <x:row r="385" ht="22" customHeight="1">
      <x:c r="A385" s="11" t="n">
        <x:v>381</x:v>
      </x:c>
      <x:c r="B385" s="11" t="n">
        <x:v>196</x:v>
      </x:c>
      <x:c r="C385" s="18" t="n">
        <x:v>45869</x:v>
      </x:c>
      <x:c r="D385" s="11" t="str">
        <x:v>2025-07</x:v>
      </x:c>
      <x:c r="E385" s="11" t="str">
        <x:v>Central</x:v>
      </x:c>
      <x:c r="F385" s="11" t="str">
        <x:v>Furniture</x:v>
      </x:c>
      <x:c r="G385" s="11" t="str">
        <x:v>Desk</x:v>
      </x:c>
      <x:c r="H385" s="11" t="n">
        <x:v>1</x:v>
      </x:c>
      <x:c r="I385" s="19" t="n">
        <x:v>0.25</x:v>
      </x:c>
      <x:c r="J385" s="11" t="n">
        <x:v>0</x:v>
      </x:c>
      <x:c r="K385" s="20" t="n">
        <x:v>280</x:v>
      </x:c>
      <x:c r="L385" s="20" t="n">
        <x:v>70</x:v>
      </x:c>
      <x:c r="M385" s="20" t="n">
        <x:v>190</x:v>
      </x:c>
      <x:c r="N385" s="20" t="n">
        <x:f>IF(J385=1,0,K385-L385)</x:f>
        <x:v>210</x:v>
      </x:c>
      <x:c r="O385" s="20" t="n">
        <x:f>N385-M385</x:f>
        <x:v>20</x:v>
      </x:c>
    </x:row>
    <x:row r="386" ht="22" customHeight="1">
      <x:c r="A386" s="11" t="n">
        <x:v>382</x:v>
      </x:c>
      <x:c r="B386" s="11" t="n">
        <x:v>196</x:v>
      </x:c>
      <x:c r="C386" s="18" t="n">
        <x:v>45869</x:v>
      </x:c>
      <x:c r="D386" s="11" t="str">
        <x:v>2025-07</x:v>
      </x:c>
      <x:c r="E386" s="11" t="str">
        <x:v>Central</x:v>
      </x:c>
      <x:c r="F386" s="11" t="str">
        <x:v>Technology</x:v>
      </x:c>
      <x:c r="G386" s="11" t="str">
        <x:v>Keyboard</x:v>
      </x:c>
      <x:c r="H386" s="11" t="n">
        <x:v>2</x:v>
      </x:c>
      <x:c r="I386" s="19" t="n">
        <x:v>0.05</x:v>
      </x:c>
      <x:c r="J386" s="11" t="n">
        <x:v>0</x:v>
      </x:c>
      <x:c r="K386" s="20" t="n">
        <x:v>130</x:v>
      </x:c>
      <x:c r="L386" s="20" t="n">
        <x:v>6.5</x:v>
      </x:c>
      <x:c r="M386" s="20" t="n">
        <x:v>64</x:v>
      </x:c>
      <x:c r="N386" s="20" t="n">
        <x:f>IF(J386=1,0,K386-L386)</x:f>
        <x:v>123.5</x:v>
      </x:c>
      <x:c r="O386" s="20" t="n">
        <x:f>N386-M386</x:f>
        <x:v>59.5</x:v>
      </x:c>
    </x:row>
    <x:row r="387" ht="22" customHeight="1">
      <x:c r="A387" s="11" t="n">
        <x:v>383</x:v>
      </x:c>
      <x:c r="B387" s="11" t="n">
        <x:v>197</x:v>
      </x:c>
      <x:c r="C387" s="18" t="n">
        <x:v>45966</x:v>
      </x:c>
      <x:c r="D387" s="11" t="str">
        <x:v>2025-11</x:v>
      </x:c>
      <x:c r="E387" s="11" t="str">
        <x:v>South</x:v>
      </x:c>
      <x:c r="F387" s="11" t="str">
        <x:v>Furniture</x:v>
      </x:c>
      <x:c r="G387" s="11" t="str">
        <x:v>Desk</x:v>
      </x:c>
      <x:c r="H387" s="11" t="n">
        <x:v>5</x:v>
      </x:c>
      <x:c r="I387" s="19" t="n">
        <x:v>0.35</x:v>
      </x:c>
      <x:c r="J387" s="11" t="n">
        <x:v>0</x:v>
      </x:c>
      <x:c r="K387" s="20" t="n">
        <x:v>1400</x:v>
      </x:c>
      <x:c r="L387" s="20" t="n">
        <x:v>490</x:v>
      </x:c>
      <x:c r="M387" s="20" t="n">
        <x:v>950</x:v>
      </x:c>
      <x:c r="N387" s="20" t="n">
        <x:f>IF(J387=1,0,K387-L387)</x:f>
        <x:v>910</x:v>
      </x:c>
      <x:c r="O387" s="20" t="n">
        <x:f>N387-M387</x:f>
        <x:v>-40</x:v>
      </x:c>
    </x:row>
    <x:row r="388" ht="22" customHeight="1">
      <x:c r="A388" s="11" t="n">
        <x:v>384</x:v>
      </x:c>
      <x:c r="B388" s="11" t="n">
        <x:v>197</x:v>
      </x:c>
      <x:c r="C388" s="18" t="n">
        <x:v>45966</x:v>
      </x:c>
      <x:c r="D388" s="11" t="str">
        <x:v>2025-11</x:v>
      </x:c>
      <x:c r="E388" s="11" t="str">
        <x:v>South</x:v>
      </x:c>
      <x:c r="F388" s="11" t="str">
        <x:v>Technology</x:v>
      </x:c>
      <x:c r="G388" s="11" t="str">
        <x:v>Keyboard</x:v>
      </x:c>
      <x:c r="H388" s="11" t="n">
        <x:v>5</x:v>
      </x:c>
      <x:c r="I388" s="19" t="n">
        <x:v>0.15</x:v>
      </x:c>
      <x:c r="J388" s="11" t="n">
        <x:v>0</x:v>
      </x:c>
      <x:c r="K388" s="20" t="n">
        <x:v>325</x:v>
      </x:c>
      <x:c r="L388" s="20" t="n">
        <x:v>48.75</x:v>
      </x:c>
      <x:c r="M388" s="20" t="n">
        <x:v>160</x:v>
      </x:c>
      <x:c r="N388" s="20" t="n">
        <x:f>IF(J388=1,0,K388-L388)</x:f>
        <x:v>276.25</x:v>
      </x:c>
      <x:c r="O388" s="20" t="n">
        <x:f>N388-M388</x:f>
        <x:v>116.25</x:v>
      </x:c>
    </x:row>
    <x:row r="389" ht="22" customHeight="1">
      <x:c r="A389" s="11" t="n">
        <x:v>385</x:v>
      </x:c>
      <x:c r="B389" s="11" t="n">
        <x:v>198</x:v>
      </x:c>
      <x:c r="C389" s="18" t="n">
        <x:v>46000</x:v>
      </x:c>
      <x:c r="D389" s="11" t="str">
        <x:v>2025-12</x:v>
      </x:c>
      <x:c r="E389" s="11" t="str">
        <x:v>South</x:v>
      </x:c>
      <x:c r="F389" s="11" t="str">
        <x:v>Office Supplies</x:v>
      </x:c>
      <x:c r="G389" s="11" t="str">
        <x:v>Storage box</x:v>
      </x:c>
      <x:c r="H389" s="11" t="n">
        <x:v>5</x:v>
      </x:c>
      <x:c r="I389" s="19" t="n">
        <x:v>0</x:v>
      </x:c>
      <x:c r="J389" s="11" t="n">
        <x:v>0</x:v>
      </x:c>
      <x:c r="K389" s="20" t="n">
        <x:v>130</x:v>
      </x:c>
      <x:c r="L389" s="20" t="n">
        <x:v>0</x:v>
      </x:c>
      <x:c r="M389" s="20" t="n">
        <x:v>60</x:v>
      </x:c>
      <x:c r="N389" s="20" t="n">
        <x:f>IF(J389=1,0,K389-L389)</x:f>
        <x:v>130</x:v>
      </x:c>
      <x:c r="O389" s="20" t="n">
        <x:f>N389-M389</x:f>
        <x:v>70</x:v>
      </x:c>
    </x:row>
    <x:row r="390" ht="22" customHeight="1">
      <x:c r="A390" s="11" t="n">
        <x:v>386</x:v>
      </x:c>
      <x:c r="B390" s="11" t="n">
        <x:v>198</x:v>
      </x:c>
      <x:c r="C390" s="18" t="n">
        <x:v>46000</x:v>
      </x:c>
      <x:c r="D390" s="11" t="str">
        <x:v>2025-12</x:v>
      </x:c>
      <x:c r="E390" s="11" t="str">
        <x:v>South</x:v>
      </x:c>
      <x:c r="F390" s="11" t="str">
        <x:v>Office Supplies</x:v>
      </x:c>
      <x:c r="G390" s="11" t="str">
        <x:v>Notebook pack</x:v>
      </x:c>
      <x:c r="H390" s="11" t="n">
        <x:v>2</x:v>
      </x:c>
      <x:c r="I390" s="19" t="n">
        <x:v>0.05</x:v>
      </x:c>
      <x:c r="J390" s="11" t="n">
        <x:v>0</x:v>
      </x:c>
      <x:c r="K390" s="20" t="n">
        <x:v>36</x:v>
      </x:c>
      <x:c r="L390" s="20" t="n">
        <x:v>1.8</x:v>
      </x:c>
      <x:c r="M390" s="20" t="n">
        <x:v>14</x:v>
      </x:c>
      <x:c r="N390" s="20" t="n">
        <x:f>IF(J390=1,0,K390-L390)</x:f>
        <x:v>34.2</x:v>
      </x:c>
      <x:c r="O390" s="20" t="n">
        <x:f>N390-M390</x:f>
        <x:v>20.200000000000003</x:v>
      </x:c>
    </x:row>
    <x:row r="391" ht="22" customHeight="1">
      <x:c r="A391" s="11" t="n">
        <x:v>387</x:v>
      </x:c>
      <x:c r="B391" s="11" t="n">
        <x:v>199</x:v>
      </x:c>
      <x:c r="C391" s="18" t="n">
        <x:v>45919</x:v>
      </x:c>
      <x:c r="D391" s="11" t="str">
        <x:v>2025-09</x:v>
      </x:c>
      <x:c r="E391" s="11" t="str">
        <x:v>South</x:v>
      </x:c>
      <x:c r="F391" s="11" t="str">
        <x:v>Technology</x:v>
      </x:c>
      <x:c r="G391" s="11" t="str">
        <x:v>Keyboard</x:v>
      </x:c>
      <x:c r="H391" s="11" t="n">
        <x:v>1</x:v>
      </x:c>
      <x:c r="I391" s="19" t="n">
        <x:v>0</x:v>
      </x:c>
      <x:c r="J391" s="11" t="n">
        <x:v>0</x:v>
      </x:c>
      <x:c r="K391" s="20" t="n">
        <x:v>65</x:v>
      </x:c>
      <x:c r="L391" s="20" t="n">
        <x:v>0</x:v>
      </x:c>
      <x:c r="M391" s="20" t="n">
        <x:v>32</x:v>
      </x:c>
      <x:c r="N391" s="20" t="n">
        <x:f>IF(J391=1,0,K391-L391)</x:f>
        <x:v>65</x:v>
      </x:c>
      <x:c r="O391" s="20" t="n">
        <x:f>N391-M391</x:f>
        <x:v>33</x:v>
      </x:c>
    </x:row>
    <x:row r="392" ht="22" customHeight="1">
      <x:c r="A392" s="11" t="n">
        <x:v>388</x:v>
      </x:c>
      <x:c r="B392" s="11" t="n">
        <x:v>199</x:v>
      </x:c>
      <x:c r="C392" s="18" t="n">
        <x:v>45919</x:v>
      </x:c>
      <x:c r="D392" s="11" t="str">
        <x:v>2025-09</x:v>
      </x:c>
      <x:c r="E392" s="11" t="str">
        <x:v>South</x:v>
      </x:c>
      <x:c r="F392" s="11" t="str">
        <x:v>Furniture</x:v>
      </x:c>
      <x:c r="G392" s="11" t="str">
        <x:v>Desk</x:v>
      </x:c>
      <x:c r="H392" s="11" t="n">
        <x:v>5</x:v>
      </x:c>
      <x:c r="I392" s="19" t="n">
        <x:v>0.05</x:v>
      </x:c>
      <x:c r="J392" s="11" t="n">
        <x:v>0</x:v>
      </x:c>
      <x:c r="K392" s="20" t="n">
        <x:v>1400</x:v>
      </x:c>
      <x:c r="L392" s="20" t="n">
        <x:v>70</x:v>
      </x:c>
      <x:c r="M392" s="20" t="n">
        <x:v>950</x:v>
      </x:c>
      <x:c r="N392" s="20" t="n">
        <x:f>IF(J392=1,0,K392-L392)</x:f>
        <x:v>1330</x:v>
      </x:c>
      <x:c r="O392" s="20" t="n">
        <x:f>N392-M392</x:f>
        <x:v>380</x:v>
      </x:c>
    </x:row>
    <x:row r="393" ht="22" customHeight="1">
      <x:c r="A393" s="11" t="n">
        <x:v>389</x:v>
      </x:c>
      <x:c r="B393" s="11" t="n">
        <x:v>200</x:v>
      </x:c>
      <x:c r="C393" s="18" t="n">
        <x:v>45692</x:v>
      </x:c>
      <x:c r="D393" s="11" t="str">
        <x:v>2025-02</x:v>
      </x:c>
      <x:c r="E393" s="11" t="str">
        <x:v>West</x:v>
      </x:c>
      <x:c r="F393" s="11" t="str">
        <x:v>Furniture</x:v>
      </x:c>
      <x:c r="G393" s="11" t="str">
        <x:v>Desk</x:v>
      </x:c>
      <x:c r="H393" s="11" t="n">
        <x:v>1</x:v>
      </x:c>
      <x:c r="I393" s="19" t="n">
        <x:v>0.1</x:v>
      </x:c>
      <x:c r="J393" s="11" t="n">
        <x:v>0</x:v>
      </x:c>
      <x:c r="K393" s="20" t="n">
        <x:v>280</x:v>
      </x:c>
      <x:c r="L393" s="20" t="n">
        <x:v>28</x:v>
      </x:c>
      <x:c r="M393" s="20" t="n">
        <x:v>190</x:v>
      </x:c>
      <x:c r="N393" s="20" t="n">
        <x:f>IF(J393=1,0,K393-L393)</x:f>
        <x:v>252</x:v>
      </x:c>
      <x:c r="O393" s="20" t="n">
        <x:f>N393-M393</x:f>
        <x:v>62</x:v>
      </x:c>
    </x:row>
    <x:row r="394" ht="22" customHeight="1">
      <x:c r="A394" s="11" t="n">
        <x:v>390</x:v>
      </x:c>
      <x:c r="B394" s="11" t="n">
        <x:v>200</x:v>
      </x:c>
      <x:c r="C394" s="18" t="n">
        <x:v>45692</x:v>
      </x:c>
      <x:c r="D394" s="11" t="str">
        <x:v>2025-02</x:v>
      </x:c>
      <x:c r="E394" s="11" t="str">
        <x:v>West</x:v>
      </x:c>
      <x:c r="F394" s="11" t="str">
        <x:v>Technology</x:v>
      </x:c>
      <x:c r="G394" s="11" t="str">
        <x:v>Keyboard</x:v>
      </x:c>
      <x:c r="H394" s="11" t="n">
        <x:v>1</x:v>
      </x:c>
      <x:c r="I394" s="19" t="n">
        <x:v>0</x:v>
      </x:c>
      <x:c r="J394" s="11" t="n">
        <x:v>0</x:v>
      </x:c>
      <x:c r="K394" s="20" t="n">
        <x:v>65</x:v>
      </x:c>
      <x:c r="L394" s="20" t="n">
        <x:v>0</x:v>
      </x:c>
      <x:c r="M394" s="20" t="n">
        <x:v>32</x:v>
      </x:c>
      <x:c r="N394" s="20" t="n">
        <x:f>IF(J394=1,0,K394-L394)</x:f>
        <x:v>65</x:v>
      </x:c>
      <x:c r="O394" s="20" t="n">
        <x:f>N394-M394</x:f>
        <x:v>33</x:v>
      </x:c>
    </x:row>
    <x:row r="395" ht="22" customHeight="1">
      <x:c r="A395" s="11" t="n">
        <x:v>391</x:v>
      </x:c>
      <x:c r="B395" s="11" t="n">
        <x:v>201</x:v>
      </x:c>
      <x:c r="C395" s="18" t="n">
        <x:v>45437</x:v>
      </x:c>
      <x:c r="D395" s="11" t="str">
        <x:v>2024-05</x:v>
      </x:c>
      <x:c r="E395" s="11" t="str">
        <x:v>South</x:v>
      </x:c>
      <x:c r="F395" s="11" t="str">
        <x:v>Technology</x:v>
      </x:c>
      <x:c r="G395" s="11" t="str">
        <x:v>Keyboard</x:v>
      </x:c>
      <x:c r="H395" s="11" t="n">
        <x:v>5</x:v>
      </x:c>
      <x:c r="I395" s="19" t="n">
        <x:v>0.1</x:v>
      </x:c>
      <x:c r="J395" s="11" t="n">
        <x:v>0</x:v>
      </x:c>
      <x:c r="K395" s="20" t="n">
        <x:v>325</x:v>
      </x:c>
      <x:c r="L395" s="20" t="n">
        <x:v>32.5</x:v>
      </x:c>
      <x:c r="M395" s="20" t="n">
        <x:v>160</x:v>
      </x:c>
      <x:c r="N395" s="20" t="n">
        <x:f>IF(J395=1,0,K395-L395)</x:f>
        <x:v>292.5</x:v>
      </x:c>
      <x:c r="O395" s="20" t="n">
        <x:f>N395-M395</x:f>
        <x:v>132.5</x:v>
      </x:c>
    </x:row>
    <x:row r="396" ht="22" customHeight="1">
      <x:c r="A396" s="11" t="n">
        <x:v>392</x:v>
      </x:c>
      <x:c r="B396" s="11" t="n">
        <x:v>201</x:v>
      </x:c>
      <x:c r="C396" s="18" t="n">
        <x:v>45437</x:v>
      </x:c>
      <x:c r="D396" s="11" t="str">
        <x:v>2024-05</x:v>
      </x:c>
      <x:c r="E396" s="11" t="str">
        <x:v>South</x:v>
      </x:c>
      <x:c r="F396" s="11" t="str">
        <x:v>Furniture</x:v>
      </x:c>
      <x:c r="G396" s="11" t="str">
        <x:v>Chair</x:v>
      </x:c>
      <x:c r="H396" s="11" t="n">
        <x:v>1</x:v>
      </x:c>
      <x:c r="I396" s="19" t="n">
        <x:v>0.35</x:v>
      </x:c>
      <x:c r="J396" s="11" t="n">
        <x:v>0</x:v>
      </x:c>
      <x:c r="K396" s="20" t="n">
        <x:v>170</x:v>
      </x:c>
      <x:c r="L396" s="20" t="n">
        <x:v>59.5</x:v>
      </x:c>
      <x:c r="M396" s="20" t="n">
        <x:v>110</x:v>
      </x:c>
      <x:c r="N396" s="20" t="n">
        <x:f>IF(J396=1,0,K396-L396)</x:f>
        <x:v>110.5</x:v>
      </x:c>
      <x:c r="O396" s="20" t="n">
        <x:f>N396-M396</x:f>
        <x:v>0.5</x:v>
      </x:c>
    </x:row>
    <x:row r="397" ht="22" customHeight="1">
      <x:c r="A397" s="11" t="n">
        <x:v>393</x:v>
      </x:c>
      <x:c r="B397" s="11" t="n">
        <x:v>202</x:v>
      </x:c>
      <x:c r="C397" s="18" t="n">
        <x:v>45755</x:v>
      </x:c>
      <x:c r="D397" s="11" t="str">
        <x:v>2025-04</x:v>
      </x:c>
      <x:c r="E397" s="11" t="str">
        <x:v>Central</x:v>
      </x:c>
      <x:c r="F397" s="11" t="str">
        <x:v>Furniture</x:v>
      </x:c>
      <x:c r="G397" s="11" t="str">
        <x:v>Desk</x:v>
      </x:c>
      <x:c r="H397" s="11" t="n">
        <x:v>1</x:v>
      </x:c>
      <x:c r="I397" s="19" t="n">
        <x:v>0.15</x:v>
      </x:c>
      <x:c r="J397" s="11" t="n">
        <x:v>0</x:v>
      </x:c>
      <x:c r="K397" s="20" t="n">
        <x:v>280</x:v>
      </x:c>
      <x:c r="L397" s="20" t="n">
        <x:v>42</x:v>
      </x:c>
      <x:c r="M397" s="20" t="n">
        <x:v>190</x:v>
      </x:c>
      <x:c r="N397" s="20" t="n">
        <x:f>IF(J397=1,0,K397-L397)</x:f>
        <x:v>238</x:v>
      </x:c>
      <x:c r="O397" s="20" t="n">
        <x:f>N397-M397</x:f>
        <x:v>48</x:v>
      </x:c>
    </x:row>
    <x:row r="398" ht="22" customHeight="1">
      <x:c r="A398" s="11" t="n">
        <x:v>394</x:v>
      </x:c>
      <x:c r="B398" s="11" t="n">
        <x:v>202</x:v>
      </x:c>
      <x:c r="C398" s="18" t="n">
        <x:v>45755</x:v>
      </x:c>
      <x:c r="D398" s="11" t="str">
        <x:v>2025-04</x:v>
      </x:c>
      <x:c r="E398" s="11" t="str">
        <x:v>Central</x:v>
      </x:c>
      <x:c r="F398" s="11" t="str">
        <x:v>Office Supplies</x:v>
      </x:c>
      <x:c r="G398" s="11" t="str">
        <x:v>Storage box</x:v>
      </x:c>
      <x:c r="H398" s="11" t="n">
        <x:v>2</x:v>
      </x:c>
      <x:c r="I398" s="19" t="n">
        <x:v>0</x:v>
      </x:c>
      <x:c r="J398" s="11" t="n">
        <x:v>0</x:v>
      </x:c>
      <x:c r="K398" s="20" t="n">
        <x:v>52</x:v>
      </x:c>
      <x:c r="L398" s="20" t="n">
        <x:v>0</x:v>
      </x:c>
      <x:c r="M398" s="20" t="n">
        <x:v>24</x:v>
      </x:c>
      <x:c r="N398" s="20" t="n">
        <x:f>IF(J398=1,0,K398-L398)</x:f>
        <x:v>52</x:v>
      </x:c>
      <x:c r="O398" s="20" t="n">
        <x:f>N398-M398</x:f>
        <x:v>28</x:v>
      </x:c>
    </x:row>
    <x:row r="399" ht="22" customHeight="1">
      <x:c r="A399" s="11" t="n">
        <x:v>395</x:v>
      </x:c>
      <x:c r="B399" s="11" t="n">
        <x:v>203</x:v>
      </x:c>
      <x:c r="C399" s="18" t="n">
        <x:v>45857</x:v>
      </x:c>
      <x:c r="D399" s="11" t="str">
        <x:v>2025-07</x:v>
      </x:c>
      <x:c r="E399" s="11" t="str">
        <x:v>South</x:v>
      </x:c>
      <x:c r="F399" s="11" t="str">
        <x:v>Technology</x:v>
      </x:c>
      <x:c r="G399" s="11" t="str">
        <x:v>Keyboard</x:v>
      </x:c>
      <x:c r="H399" s="11" t="n">
        <x:v>4</x:v>
      </x:c>
      <x:c r="I399" s="19" t="n">
        <x:v>0</x:v>
      </x:c>
      <x:c r="J399" s="11" t="n">
        <x:v>0</x:v>
      </x:c>
      <x:c r="K399" s="20" t="n">
        <x:v>260</x:v>
      </x:c>
      <x:c r="L399" s="20" t="n">
        <x:v>0</x:v>
      </x:c>
      <x:c r="M399" s="20" t="n">
        <x:v>128</x:v>
      </x:c>
      <x:c r="N399" s="20" t="n">
        <x:f>IF(J399=1,0,K399-L399)</x:f>
        <x:v>260</x:v>
      </x:c>
      <x:c r="O399" s="20" t="n">
        <x:f>N399-M399</x:f>
        <x:v>132</x:v>
      </x:c>
    </x:row>
    <x:row r="400" ht="22" customHeight="1">
      <x:c r="A400" s="11" t="n">
        <x:v>396</x:v>
      </x:c>
      <x:c r="B400" s="11" t="n">
        <x:v>203</x:v>
      </x:c>
      <x:c r="C400" s="18" t="n">
        <x:v>45857</x:v>
      </x:c>
      <x:c r="D400" s="11" t="str">
        <x:v>2025-07</x:v>
      </x:c>
      <x:c r="E400" s="11" t="str">
        <x:v>South</x:v>
      </x:c>
      <x:c r="F400" s="11" t="str">
        <x:v>Office Supplies</x:v>
      </x:c>
      <x:c r="G400" s="11" t="str">
        <x:v>Storage box</x:v>
      </x:c>
      <x:c r="H400" s="11" t="n">
        <x:v>4</x:v>
      </x:c>
      <x:c r="I400" s="19" t="n">
        <x:v>0.1</x:v>
      </x:c>
      <x:c r="J400" s="11" t="n">
        <x:v>1</x:v>
      </x:c>
      <x:c r="K400" s="20" t="n">
        <x:v>104</x:v>
      </x:c>
      <x:c r="L400" s="20" t="n">
        <x:v>10.4</x:v>
      </x:c>
      <x:c r="M400" s="20" t="n">
        <x:v>0</x:v>
      </x:c>
      <x:c r="N400" s="20" t="n">
        <x:f>IF(J400=1,0,K400-L400)</x:f>
        <x:v>0</x:v>
      </x:c>
      <x:c r="O400" s="20" t="n">
        <x:f>N400-M400</x:f>
        <x:v>0</x:v>
      </x:c>
    </x:row>
    <x:row r="401" ht="22" customHeight="1">
      <x:c r="A401" s="11" t="n">
        <x:v>397</x:v>
      </x:c>
      <x:c r="B401" s="11" t="n">
        <x:v>203</x:v>
      </x:c>
      <x:c r="C401" s="18" t="n">
        <x:v>45857</x:v>
      </x:c>
      <x:c r="D401" s="11" t="str">
        <x:v>2025-07</x:v>
      </x:c>
      <x:c r="E401" s="11" t="str">
        <x:v>South</x:v>
      </x:c>
      <x:c r="F401" s="11" t="str">
        <x:v>Furniture</x:v>
      </x:c>
      <x:c r="G401" s="11" t="str">
        <x:v>Chair</x:v>
      </x:c>
      <x:c r="H401" s="11" t="n">
        <x:v>5</x:v>
      </x:c>
      <x:c r="I401" s="19" t="n">
        <x:v>0.05</x:v>
      </x:c>
      <x:c r="J401" s="11" t="n">
        <x:v>0</x:v>
      </x:c>
      <x:c r="K401" s="20" t="n">
        <x:v>850</x:v>
      </x:c>
      <x:c r="L401" s="20" t="n">
        <x:v>42.5</x:v>
      </x:c>
      <x:c r="M401" s="20" t="n">
        <x:v>550</x:v>
      </x:c>
      <x:c r="N401" s="20" t="n">
        <x:f>IF(J401=1,0,K401-L401)</x:f>
        <x:v>807.5</x:v>
      </x:c>
      <x:c r="O401" s="20" t="n">
        <x:f>N401-M401</x:f>
        <x:v>257.5</x:v>
      </x:c>
    </x:row>
    <x:row r="402" ht="22" customHeight="1">
      <x:c r="A402" s="11" t="n">
        <x:v>398</x:v>
      </x:c>
      <x:c r="B402" s="11" t="n">
        <x:v>204</x:v>
      </x:c>
      <x:c r="C402" s="18" t="n">
        <x:v>45731</x:v>
      </x:c>
      <x:c r="D402" s="11" t="str">
        <x:v>2025-03</x:v>
      </x:c>
      <x:c r="E402" s="11" t="str">
        <x:v>South</x:v>
      </x:c>
      <x:c r="F402" s="11" t="str">
        <x:v>Furniture</x:v>
      </x:c>
      <x:c r="G402" s="11" t="str">
        <x:v>Chair</x:v>
      </x:c>
      <x:c r="H402" s="11" t="n">
        <x:v>1</x:v>
      </x:c>
      <x:c r="I402" s="19" t="n">
        <x:v>0</x:v>
      </x:c>
      <x:c r="J402" s="11" t="n">
        <x:v>0</x:v>
      </x:c>
      <x:c r="K402" s="20" t="n">
        <x:v>170</x:v>
      </x:c>
      <x:c r="L402" s="20" t="n">
        <x:v>0</x:v>
      </x:c>
      <x:c r="M402" s="20" t="n">
        <x:v>110</x:v>
      </x:c>
      <x:c r="N402" s="20" t="n">
        <x:f>IF(J402=1,0,K402-L402)</x:f>
        <x:v>170</x:v>
      </x:c>
      <x:c r="O402" s="20" t="n">
        <x:f>N402-M402</x:f>
        <x:v>60</x:v>
      </x:c>
    </x:row>
    <x:row r="403" ht="22" customHeight="1">
      <x:c r="A403" s="11" t="n">
        <x:v>399</x:v>
      </x:c>
      <x:c r="B403" s="11" t="n">
        <x:v>204</x:v>
      </x:c>
      <x:c r="C403" s="18" t="n">
        <x:v>45731</x:v>
      </x:c>
      <x:c r="D403" s="11" t="str">
        <x:v>2025-03</x:v>
      </x:c>
      <x:c r="E403" s="11" t="str">
        <x:v>South</x:v>
      </x:c>
      <x:c r="F403" s="11" t="str">
        <x:v>Office Supplies</x:v>
      </x:c>
      <x:c r="G403" s="11" t="str">
        <x:v>Storage box</x:v>
      </x:c>
      <x:c r="H403" s="11" t="n">
        <x:v>5</x:v>
      </x:c>
      <x:c r="I403" s="19" t="n">
        <x:v>0</x:v>
      </x:c>
      <x:c r="J403" s="11" t="n">
        <x:v>0</x:v>
      </x:c>
      <x:c r="K403" s="20" t="n">
        <x:v>130</x:v>
      </x:c>
      <x:c r="L403" s="20" t="n">
        <x:v>0</x:v>
      </x:c>
      <x:c r="M403" s="20" t="n">
        <x:v>60</x:v>
      </x:c>
      <x:c r="N403" s="20" t="n">
        <x:f>IF(J403=1,0,K403-L403)</x:f>
        <x:v>130</x:v>
      </x:c>
      <x:c r="O403" s="20" t="n">
        <x:f>N403-M403</x:f>
        <x:v>70</x:v>
      </x:c>
    </x:row>
    <x:row r="404" ht="22" customHeight="1">
      <x:c r="A404" s="11" t="n">
        <x:v>400</x:v>
      </x:c>
      <x:c r="B404" s="11" t="n">
        <x:v>204</x:v>
      </x:c>
      <x:c r="C404" s="18" t="n">
        <x:v>45731</x:v>
      </x:c>
      <x:c r="D404" s="11" t="str">
        <x:v>2025-03</x:v>
      </x:c>
      <x:c r="E404" s="11" t="str">
        <x:v>South</x:v>
      </x:c>
      <x:c r="F404" s="11" t="str">
        <x:v>Technology</x:v>
      </x:c>
      <x:c r="G404" s="11" t="str">
        <x:v>Monitor</x:v>
      </x:c>
      <x:c r="H404" s="11" t="n">
        <x:v>2</x:v>
      </x:c>
      <x:c r="I404" s="19" t="n">
        <x:v>0.1</x:v>
      </x:c>
      <x:c r="J404" s="11" t="n">
        <x:v>0</x:v>
      </x:c>
      <x:c r="K404" s="20" t="n">
        <x:v>480</x:v>
      </x:c>
      <x:c r="L404" s="20" t="n">
        <x:v>48</x:v>
      </x:c>
      <x:c r="M404" s="20" t="n">
        <x:v>320</x:v>
      </x:c>
      <x:c r="N404" s="20" t="n">
        <x:f>IF(J404=1,0,K404-L404)</x:f>
        <x:v>432</x:v>
      </x:c>
      <x:c r="O404" s="20" t="n">
        <x:f>N404-M404</x:f>
        <x:v>112</x:v>
      </x:c>
    </x:row>
    <x:row r="405" ht="22" customHeight="1">
      <x:c r="A405" s="11" t="n">
        <x:v>401</x:v>
      </x:c>
      <x:c r="B405" s="11" t="n">
        <x:v>205</x:v>
      </x:c>
      <x:c r="C405" s="18" t="n">
        <x:v>45978</x:v>
      </x:c>
      <x:c r="D405" s="11" t="str">
        <x:v>2025-11</x:v>
      </x:c>
      <x:c r="E405" s="11" t="str">
        <x:v>West</x:v>
      </x:c>
      <x:c r="F405" s="11" t="str">
        <x:v>Technology</x:v>
      </x:c>
      <x:c r="G405" s="11" t="str">
        <x:v>Keyboard</x:v>
      </x:c>
      <x:c r="H405" s="11" t="n">
        <x:v>5</x:v>
      </x:c>
      <x:c r="I405" s="19" t="n">
        <x:v>0</x:v>
      </x:c>
      <x:c r="J405" s="11" t="n">
        <x:v>0</x:v>
      </x:c>
      <x:c r="K405" s="20" t="n">
        <x:v>325</x:v>
      </x:c>
      <x:c r="L405" s="20" t="n">
        <x:v>0</x:v>
      </x:c>
      <x:c r="M405" s="20" t="n">
        <x:v>160</x:v>
      </x:c>
      <x:c r="N405" s="20" t="n">
        <x:f>IF(J405=1,0,K405-L405)</x:f>
        <x:v>325</x:v>
      </x:c>
      <x:c r="O405" s="20" t="n">
        <x:f>N405-M405</x:f>
        <x:v>165</x:v>
      </x:c>
    </x:row>
    <x:row r="406" ht="22" customHeight="1">
      <x:c r="A406" s="11" t="n">
        <x:v>402</x:v>
      </x:c>
      <x:c r="B406" s="11" t="n">
        <x:v>205</x:v>
      </x:c>
      <x:c r="C406" s="18" t="n">
        <x:v>45978</x:v>
      </x:c>
      <x:c r="D406" s="11" t="str">
        <x:v>2025-11</x:v>
      </x:c>
      <x:c r="E406" s="11" t="str">
        <x:v>West</x:v>
      </x:c>
      <x:c r="F406" s="11" t="str">
        <x:v>Office Supplies</x:v>
      </x:c>
      <x:c r="G406" s="11" t="str">
        <x:v>Notebook pack</x:v>
      </x:c>
      <x:c r="H406" s="11" t="n">
        <x:v>4</x:v>
      </x:c>
      <x:c r="I406" s="19" t="n">
        <x:v>0.15</x:v>
      </x:c>
      <x:c r="J406" s="11" t="n">
        <x:v>0</x:v>
      </x:c>
      <x:c r="K406" s="20" t="n">
        <x:v>72</x:v>
      </x:c>
      <x:c r="L406" s="20" t="n">
        <x:v>10.8</x:v>
      </x:c>
      <x:c r="M406" s="20" t="n">
        <x:v>28</x:v>
      </x:c>
      <x:c r="N406" s="20" t="n">
        <x:f>IF(J406=1,0,K406-L406)</x:f>
        <x:v>61.2</x:v>
      </x:c>
      <x:c r="O406" s="20" t="n">
        <x:f>N406-M406</x:f>
        <x:v>33.2</x:v>
      </x:c>
    </x:row>
    <x:row r="407" ht="22" customHeight="1">
      <x:c r="A407" s="11" t="n">
        <x:v>403</x:v>
      </x:c>
      <x:c r="B407" s="11" t="n">
        <x:v>205</x:v>
      </x:c>
      <x:c r="C407" s="18" t="n">
        <x:v>45978</x:v>
      </x:c>
      <x:c r="D407" s="11" t="str">
        <x:v>2025-11</x:v>
      </x:c>
      <x:c r="E407" s="11" t="str">
        <x:v>West</x:v>
      </x:c>
      <x:c r="F407" s="11" t="str">
        <x:v>Office Supplies</x:v>
      </x:c>
      <x:c r="G407" s="11" t="str">
        <x:v>Storage box</x:v>
      </x:c>
      <x:c r="H407" s="11" t="n">
        <x:v>3</x:v>
      </x:c>
      <x:c r="I407" s="19" t="n">
        <x:v>0.15</x:v>
      </x:c>
      <x:c r="J407" s="11" t="n">
        <x:v>0</x:v>
      </x:c>
      <x:c r="K407" s="20" t="n">
        <x:v>78</x:v>
      </x:c>
      <x:c r="L407" s="20" t="n">
        <x:v>11.7</x:v>
      </x:c>
      <x:c r="M407" s="20" t="n">
        <x:v>36</x:v>
      </x:c>
      <x:c r="N407" s="20" t="n">
        <x:f>IF(J407=1,0,K407-L407)</x:f>
        <x:v>66.3</x:v>
      </x:c>
      <x:c r="O407" s="20" t="n">
        <x:f>N407-M407</x:f>
        <x:v>30.299999999999997</x:v>
      </x:c>
    </x:row>
    <x:row r="408" ht="22" customHeight="1">
      <x:c r="A408" s="11" t="n">
        <x:v>404</x:v>
      </x:c>
      <x:c r="B408" s="11" t="n">
        <x:v>206</x:v>
      </x:c>
      <x:c r="C408" s="18" t="n">
        <x:v>45980</x:v>
      </x:c>
      <x:c r="D408" s="11" t="str">
        <x:v>2025-11</x:v>
      </x:c>
      <x:c r="E408" s="11" t="str">
        <x:v>East</x:v>
      </x:c>
      <x:c r="F408" s="11" t="str">
        <x:v>Furniture</x:v>
      </x:c>
      <x:c r="G408" s="11" t="str">
        <x:v>Chair</x:v>
      </x:c>
      <x:c r="H408" s="11" t="n">
        <x:v>3</x:v>
      </x:c>
      <x:c r="I408" s="19" t="n">
        <x:v>0</x:v>
      </x:c>
      <x:c r="J408" s="11" t="n">
        <x:v>0</x:v>
      </x:c>
      <x:c r="K408" s="20" t="n">
        <x:v>510</x:v>
      </x:c>
      <x:c r="L408" s="20" t="n">
        <x:v>0</x:v>
      </x:c>
      <x:c r="M408" s="20" t="n">
        <x:v>330</x:v>
      </x:c>
      <x:c r="N408" s="20" t="n">
        <x:f>IF(J408=1,0,K408-L408)</x:f>
        <x:v>510</x:v>
      </x:c>
      <x:c r="O408" s="20" t="n">
        <x:f>N408-M408</x:f>
        <x:v>180</x:v>
      </x:c>
    </x:row>
    <x:row r="409" ht="22" customHeight="1">
      <x:c r="A409" s="11" t="n">
        <x:v>405</x:v>
      </x:c>
      <x:c r="B409" s="11" t="n">
        <x:v>207</x:v>
      </x:c>
      <x:c r="C409" s="18" t="n">
        <x:v>46002</x:v>
      </x:c>
      <x:c r="D409" s="11" t="str">
        <x:v>2025-12</x:v>
      </x:c>
      <x:c r="E409" s="11" t="str">
        <x:v>South</x:v>
      </x:c>
      <x:c r="F409" s="11" t="str">
        <x:v>Office Supplies</x:v>
      </x:c>
      <x:c r="G409" s="11" t="str">
        <x:v>Notebook pack</x:v>
      </x:c>
      <x:c r="H409" s="11" t="n">
        <x:v>5</x:v>
      </x:c>
      <x:c r="I409" s="19" t="n">
        <x:v>0.1</x:v>
      </x:c>
      <x:c r="J409" s="11" t="n">
        <x:v>0</x:v>
      </x:c>
      <x:c r="K409" s="20" t="n">
        <x:v>90</x:v>
      </x:c>
      <x:c r="L409" s="20" t="n">
        <x:v>9</x:v>
      </x:c>
      <x:c r="M409" s="20" t="n">
        <x:v>35</x:v>
      </x:c>
      <x:c r="N409" s="20" t="n">
        <x:f>IF(J409=1,0,K409-L409)</x:f>
        <x:v>81</x:v>
      </x:c>
      <x:c r="O409" s="20" t="n">
        <x:f>N409-M409</x:f>
        <x:v>46</x:v>
      </x:c>
    </x:row>
    <x:row r="410" ht="22" customHeight="1">
      <x:c r="A410" s="11" t="n">
        <x:v>406</x:v>
      </x:c>
      <x:c r="B410" s="11" t="n">
        <x:v>207</x:v>
      </x:c>
      <x:c r="C410" s="18" t="n">
        <x:v>46002</x:v>
      </x:c>
      <x:c r="D410" s="11" t="str">
        <x:v>2025-12</x:v>
      </x:c>
      <x:c r="E410" s="11" t="str">
        <x:v>South</x:v>
      </x:c>
      <x:c r="F410" s="11" t="str">
        <x:v>Furniture</x:v>
      </x:c>
      <x:c r="G410" s="11" t="str">
        <x:v>Chair</x:v>
      </x:c>
      <x:c r="H410" s="11" t="n">
        <x:v>4</x:v>
      </x:c>
      <x:c r="I410" s="19" t="n">
        <x:v>0</x:v>
      </x:c>
      <x:c r="J410" s="11" t="n">
        <x:v>0</x:v>
      </x:c>
      <x:c r="K410" s="20" t="n">
        <x:v>680</x:v>
      </x:c>
      <x:c r="L410" s="20" t="n">
        <x:v>0</x:v>
      </x:c>
      <x:c r="M410" s="20" t="n">
        <x:v>440</x:v>
      </x:c>
      <x:c r="N410" s="20" t="n">
        <x:f>IF(J410=1,0,K410-L410)</x:f>
        <x:v>680</x:v>
      </x:c>
      <x:c r="O410" s="20" t="n">
        <x:f>N410-M410</x:f>
        <x:v>240</x:v>
      </x:c>
    </x:row>
    <x:row r="411" ht="22" customHeight="1">
      <x:c r="A411" s="11" t="n">
        <x:v>407</x:v>
      </x:c>
      <x:c r="B411" s="11" t="n">
        <x:v>208</x:v>
      </x:c>
      <x:c r="C411" s="18" t="n">
        <x:v>45793</x:v>
      </x:c>
      <x:c r="D411" s="11" t="str">
        <x:v>2025-05</x:v>
      </x:c>
      <x:c r="E411" s="11" t="str">
        <x:v>South</x:v>
      </x:c>
      <x:c r="F411" s="11" t="str">
        <x:v>Technology</x:v>
      </x:c>
      <x:c r="G411" s="11" t="str">
        <x:v>Monitor</x:v>
      </x:c>
      <x:c r="H411" s="11" t="n">
        <x:v>4</x:v>
      </x:c>
      <x:c r="I411" s="19" t="n">
        <x:v>0.15</x:v>
      </x:c>
      <x:c r="J411" s="11" t="n">
        <x:v>1</x:v>
      </x:c>
      <x:c r="K411" s="20" t="n">
        <x:v>960</x:v>
      </x:c>
      <x:c r="L411" s="20" t="n">
        <x:v>144</x:v>
      </x:c>
      <x:c r="M411" s="20" t="n">
        <x:v>0</x:v>
      </x:c>
      <x:c r="N411" s="20" t="n">
        <x:f>IF(J411=1,0,K411-L411)</x:f>
        <x:v>0</x:v>
      </x:c>
      <x:c r="O411" s="20" t="n">
        <x:f>N411-M411</x:f>
        <x:v>0</x:v>
      </x:c>
    </x:row>
    <x:row r="412" ht="22" customHeight="1">
      <x:c r="A412" s="11" t="n">
        <x:v>408</x:v>
      </x:c>
      <x:c r="B412" s="11" t="n">
        <x:v>209</x:v>
      </x:c>
      <x:c r="C412" s="18" t="n">
        <x:v>45659</x:v>
      </x:c>
      <x:c r="D412" s="11" t="str">
        <x:v>2025-01</x:v>
      </x:c>
      <x:c r="E412" s="11" t="str">
        <x:v>West</x:v>
      </x:c>
      <x:c r="F412" s="11" t="str">
        <x:v>Furniture</x:v>
      </x:c>
      <x:c r="G412" s="11" t="str">
        <x:v>Chair</x:v>
      </x:c>
      <x:c r="H412" s="11" t="n">
        <x:v>4</x:v>
      </x:c>
      <x:c r="I412" s="19" t="n">
        <x:v>0.35</x:v>
      </x:c>
      <x:c r="J412" s="11" t="n">
        <x:v>0</x:v>
      </x:c>
      <x:c r="K412" s="20" t="n">
        <x:v>680</x:v>
      </x:c>
      <x:c r="L412" s="20" t="n">
        <x:v>238</x:v>
      </x:c>
      <x:c r="M412" s="20" t="n">
        <x:v>440</x:v>
      </x:c>
      <x:c r="N412" s="20" t="n">
        <x:f>IF(J412=1,0,K412-L412)</x:f>
        <x:v>442</x:v>
      </x:c>
      <x:c r="O412" s="20" t="n">
        <x:f>N412-M412</x:f>
        <x:v>2</x:v>
      </x:c>
    </x:row>
    <x:row r="413" ht="22" customHeight="1">
      <x:c r="A413" s="11" t="n">
        <x:v>409</x:v>
      </x:c>
      <x:c r="B413" s="11" t="n">
        <x:v>210</x:v>
      </x:c>
      <x:c r="C413" s="18" t="n">
        <x:v>45795</x:v>
      </x:c>
      <x:c r="D413" s="11" t="str">
        <x:v>2025-05</x:v>
      </x:c>
      <x:c r="E413" s="11" t="str">
        <x:v>South</x:v>
      </x:c>
      <x:c r="F413" s="11" t="str">
        <x:v>Furniture</x:v>
      </x:c>
      <x:c r="G413" s="11" t="str">
        <x:v>Chair</x:v>
      </x:c>
      <x:c r="H413" s="11" t="n">
        <x:v>5</x:v>
      </x:c>
      <x:c r="I413" s="19" t="n">
        <x:v>0</x:v>
      </x:c>
      <x:c r="J413" s="11" t="n">
        <x:v>0</x:v>
      </x:c>
      <x:c r="K413" s="20" t="n">
        <x:v>850</x:v>
      </x:c>
      <x:c r="L413" s="20" t="n">
        <x:v>0</x:v>
      </x:c>
      <x:c r="M413" s="20" t="n">
        <x:v>550</x:v>
      </x:c>
      <x:c r="N413" s="20" t="n">
        <x:f>IF(J413=1,0,K413-L413)</x:f>
        <x:v>850</x:v>
      </x:c>
      <x:c r="O413" s="20" t="n">
        <x:f>N413-M413</x:f>
        <x:v>300</x:v>
      </x:c>
    </x:row>
    <x:row r="414" ht="22" customHeight="1">
      <x:c r="A414" s="11" t="n">
        <x:v>410</x:v>
      </x:c>
      <x:c r="B414" s="11" t="n">
        <x:v>210</x:v>
      </x:c>
      <x:c r="C414" s="18" t="n">
        <x:v>45795</x:v>
      </x:c>
      <x:c r="D414" s="11" t="str">
        <x:v>2025-05</x:v>
      </x:c>
      <x:c r="E414" s="11" t="str">
        <x:v>South</x:v>
      </x:c>
      <x:c r="F414" s="11" t="str">
        <x:v>Furniture</x:v>
      </x:c>
      <x:c r="G414" s="11" t="str">
        <x:v>Desk</x:v>
      </x:c>
      <x:c r="H414" s="11" t="n">
        <x:v>2</x:v>
      </x:c>
      <x:c r="I414" s="19" t="n">
        <x:v>0.1</x:v>
      </x:c>
      <x:c r="J414" s="11" t="n">
        <x:v>1</x:v>
      </x:c>
      <x:c r="K414" s="20" t="n">
        <x:v>560</x:v>
      </x:c>
      <x:c r="L414" s="20" t="n">
        <x:v>56</x:v>
      </x:c>
      <x:c r="M414" s="20" t="n">
        <x:v>0</x:v>
      </x:c>
      <x:c r="N414" s="20" t="n">
        <x:f>IF(J414=1,0,K414-L414)</x:f>
        <x:v>0</x:v>
      </x:c>
      <x:c r="O414" s="20" t="n">
        <x:f>N414-M414</x:f>
        <x:v>0</x:v>
      </x:c>
    </x:row>
    <x:row r="415" ht="22" customHeight="1">
      <x:c r="A415" s="11" t="n">
        <x:v>411</x:v>
      </x:c>
      <x:c r="B415" s="11" t="n">
        <x:v>211</x:v>
      </x:c>
      <x:c r="C415" s="18" t="n">
        <x:v>45522</x:v>
      </x:c>
      <x:c r="D415" s="11" t="str">
        <x:v>2024-08</x:v>
      </x:c>
      <x:c r="E415" s="11" t="str">
        <x:v>Central</x:v>
      </x:c>
      <x:c r="F415" s="11" t="str">
        <x:v>Technology</x:v>
      </x:c>
      <x:c r="G415" s="11" t="str">
        <x:v>Keyboard</x:v>
      </x:c>
      <x:c r="H415" s="11" t="n">
        <x:v>5</x:v>
      </x:c>
      <x:c r="I415" s="19" t="n">
        <x:v>0.1</x:v>
      </x:c>
      <x:c r="J415" s="11" t="n">
        <x:v>0</x:v>
      </x:c>
      <x:c r="K415" s="20" t="n">
        <x:v>325</x:v>
      </x:c>
      <x:c r="L415" s="20" t="n">
        <x:v>32.5</x:v>
      </x:c>
      <x:c r="M415" s="20" t="n">
        <x:v>160</x:v>
      </x:c>
      <x:c r="N415" s="20" t="n">
        <x:f>IF(J415=1,0,K415-L415)</x:f>
        <x:v>292.5</x:v>
      </x:c>
      <x:c r="O415" s="20" t="n">
        <x:f>N415-M415</x:f>
        <x:v>132.5</x:v>
      </x:c>
    </x:row>
    <x:row r="416" ht="22" customHeight="1">
      <x:c r="A416" s="11" t="n">
        <x:v>412</x:v>
      </x:c>
      <x:c r="B416" s="11" t="n">
        <x:v>212</x:v>
      </x:c>
      <x:c r="C416" s="18" t="n">
        <x:v>45407</x:v>
      </x:c>
      <x:c r="D416" s="11" t="str">
        <x:v>2024-04</x:v>
      </x:c>
      <x:c r="E416" s="11" t="str">
        <x:v>Central</x:v>
      </x:c>
      <x:c r="F416" s="11" t="str">
        <x:v>Office Supplies</x:v>
      </x:c>
      <x:c r="G416" s="11" t="str">
        <x:v>Notebook pack</x:v>
      </x:c>
      <x:c r="H416" s="11" t="n">
        <x:v>5</x:v>
      </x:c>
      <x:c r="I416" s="19" t="n">
        <x:v>0</x:v>
      </x:c>
      <x:c r="J416" s="11" t="n">
        <x:v>0</x:v>
      </x:c>
      <x:c r="K416" s="20" t="n">
        <x:v>90</x:v>
      </x:c>
      <x:c r="L416" s="20" t="n">
        <x:v>0</x:v>
      </x:c>
      <x:c r="M416" s="20" t="n">
        <x:v>35</x:v>
      </x:c>
      <x:c r="N416" s="20" t="n">
        <x:f>IF(J416=1,0,K416-L416)</x:f>
        <x:v>90</x:v>
      </x:c>
      <x:c r="O416" s="20" t="n">
        <x:f>N416-M416</x:f>
        <x:v>55</x:v>
      </x:c>
    </x:row>
    <x:row r="417" ht="22" customHeight="1">
      <x:c r="A417" s="11" t="n">
        <x:v>413</x:v>
      </x:c>
      <x:c r="B417" s="11" t="n">
        <x:v>212</x:v>
      </x:c>
      <x:c r="C417" s="18" t="n">
        <x:v>45407</x:v>
      </x:c>
      <x:c r="D417" s="11" t="str">
        <x:v>2024-04</x:v>
      </x:c>
      <x:c r="E417" s="11" t="str">
        <x:v>Central</x:v>
      </x:c>
      <x:c r="F417" s="11" t="str">
        <x:v>Technology</x:v>
      </x:c>
      <x:c r="G417" s="11" t="str">
        <x:v>Monitor</x:v>
      </x:c>
      <x:c r="H417" s="11" t="n">
        <x:v>4</x:v>
      </x:c>
      <x:c r="I417" s="19" t="n">
        <x:v>0.15</x:v>
      </x:c>
      <x:c r="J417" s="11" t="n">
        <x:v>0</x:v>
      </x:c>
      <x:c r="K417" s="20" t="n">
        <x:v>960</x:v>
      </x:c>
      <x:c r="L417" s="20" t="n">
        <x:v>144</x:v>
      </x:c>
      <x:c r="M417" s="20" t="n">
        <x:v>640</x:v>
      </x:c>
      <x:c r="N417" s="20" t="n">
        <x:f>IF(J417=1,0,K417-L417)</x:f>
        <x:v>816</x:v>
      </x:c>
      <x:c r="O417" s="20" t="n">
        <x:f>N417-M417</x:f>
        <x:v>176</x:v>
      </x:c>
    </x:row>
    <x:row r="418" ht="22" customHeight="1">
      <x:c r="A418" s="11" t="n">
        <x:v>414</x:v>
      </x:c>
      <x:c r="B418" s="11" t="n">
        <x:v>213</x:v>
      </x:c>
      <x:c r="C418" s="18" t="n">
        <x:v>45727</x:v>
      </x:c>
      <x:c r="D418" s="11" t="str">
        <x:v>2025-03</x:v>
      </x:c>
      <x:c r="E418" s="11" t="str">
        <x:v>South</x:v>
      </x:c>
      <x:c r="F418" s="11" t="str">
        <x:v>Furniture</x:v>
      </x:c>
      <x:c r="G418" s="11" t="str">
        <x:v>Desk</x:v>
      </x:c>
      <x:c r="H418" s="11" t="n">
        <x:v>3</x:v>
      </x:c>
      <x:c r="I418" s="19" t="n">
        <x:v>0.15</x:v>
      </x:c>
      <x:c r="J418" s="11" t="n">
        <x:v>0</x:v>
      </x:c>
      <x:c r="K418" s="20" t="n">
        <x:v>840</x:v>
      </x:c>
      <x:c r="L418" s="20" t="n">
        <x:v>126</x:v>
      </x:c>
      <x:c r="M418" s="20" t="n">
        <x:v>570</x:v>
      </x:c>
      <x:c r="N418" s="20" t="n">
        <x:f>IF(J418=1,0,K418-L418)</x:f>
        <x:v>714</x:v>
      </x:c>
      <x:c r="O418" s="20" t="n">
        <x:f>N418-M418</x:f>
        <x:v>144</x:v>
      </x:c>
    </x:row>
    <x:row r="419" ht="22" customHeight="1">
      <x:c r="A419" s="11" t="n">
        <x:v>415</x:v>
      </x:c>
      <x:c r="B419" s="11" t="n">
        <x:v>213</x:v>
      </x:c>
      <x:c r="C419" s="18" t="n">
        <x:v>45727</x:v>
      </x:c>
      <x:c r="D419" s="11" t="str">
        <x:v>2025-03</x:v>
      </x:c>
      <x:c r="E419" s="11" t="str">
        <x:v>South</x:v>
      </x:c>
      <x:c r="F419" s="11" t="str">
        <x:v>Technology</x:v>
      </x:c>
      <x:c r="G419" s="11" t="str">
        <x:v>Keyboard</x:v>
      </x:c>
      <x:c r="H419" s="11" t="n">
        <x:v>1</x:v>
      </x:c>
      <x:c r="I419" s="19" t="n">
        <x:v>0.1</x:v>
      </x:c>
      <x:c r="J419" s="11" t="n">
        <x:v>0</x:v>
      </x:c>
      <x:c r="K419" s="20" t="n">
        <x:v>65</x:v>
      </x:c>
      <x:c r="L419" s="20" t="n">
        <x:v>6.5</x:v>
      </x:c>
      <x:c r="M419" s="20" t="n">
        <x:v>32</x:v>
      </x:c>
      <x:c r="N419" s="20" t="n">
        <x:f>IF(J419=1,0,K419-L419)</x:f>
        <x:v>58.5</x:v>
      </x:c>
      <x:c r="O419" s="20" t="n">
        <x:f>N419-M419</x:f>
        <x:v>26.5</x:v>
      </x:c>
    </x:row>
    <x:row r="420" ht="22" customHeight="1">
      <x:c r="A420" s="11" t="n">
        <x:v>416</x:v>
      </x:c>
      <x:c r="B420" s="11" t="n">
        <x:v>214</x:v>
      </x:c>
      <x:c r="C420" s="18" t="n">
        <x:v>45412</x:v>
      </x:c>
      <x:c r="D420" s="11" t="str">
        <x:v>2024-04</x:v>
      </x:c>
      <x:c r="E420" s="11" t="str">
        <x:v>South</x:v>
      </x:c>
      <x:c r="F420" s="11" t="str">
        <x:v>Office Supplies</x:v>
      </x:c>
      <x:c r="G420" s="11" t="str">
        <x:v>Storage box</x:v>
      </x:c>
      <x:c r="H420" s="11" t="n">
        <x:v>5</x:v>
      </x:c>
      <x:c r="I420" s="19" t="n">
        <x:v>0.05</x:v>
      </x:c>
      <x:c r="J420" s="11" t="n">
        <x:v>0</x:v>
      </x:c>
      <x:c r="K420" s="20" t="n">
        <x:v>130</x:v>
      </x:c>
      <x:c r="L420" s="20" t="n">
        <x:v>6.5</x:v>
      </x:c>
      <x:c r="M420" s="20" t="n">
        <x:v>60</x:v>
      </x:c>
      <x:c r="N420" s="20" t="n">
        <x:f>IF(J420=1,0,K420-L420)</x:f>
        <x:v>123.5</x:v>
      </x:c>
      <x:c r="O420" s="20" t="n">
        <x:f>N420-M420</x:f>
        <x:v>63.5</x:v>
      </x:c>
    </x:row>
    <x:row r="421" ht="22" customHeight="1">
      <x:c r="A421" s="11" t="n">
        <x:v>417</x:v>
      </x:c>
      <x:c r="B421" s="11" t="n">
        <x:v>215</x:v>
      </x:c>
      <x:c r="C421" s="18" t="n">
        <x:v>45916</x:v>
      </x:c>
      <x:c r="D421" s="11" t="str">
        <x:v>2025-09</x:v>
      </x:c>
      <x:c r="E421" s="11" t="str">
        <x:v>East</x:v>
      </x:c>
      <x:c r="F421" s="11" t="str">
        <x:v>Office Supplies</x:v>
      </x:c>
      <x:c r="G421" s="11" t="str">
        <x:v>Notebook pack</x:v>
      </x:c>
      <x:c r="H421" s="11" t="n">
        <x:v>2</x:v>
      </x:c>
      <x:c r="I421" s="19" t="n">
        <x:v>0</x:v>
      </x:c>
      <x:c r="J421" s="11" t="n">
        <x:v>0</x:v>
      </x:c>
      <x:c r="K421" s="20" t="n">
        <x:v>36</x:v>
      </x:c>
      <x:c r="L421" s="20" t="n">
        <x:v>0</x:v>
      </x:c>
      <x:c r="M421" s="20" t="n">
        <x:v>14</x:v>
      </x:c>
      <x:c r="N421" s="20" t="n">
        <x:f>IF(J421=1,0,K421-L421)</x:f>
        <x:v>36</x:v>
      </x:c>
      <x:c r="O421" s="20" t="n">
        <x:f>N421-M421</x:f>
        <x:v>22</x:v>
      </x:c>
    </x:row>
    <x:row r="422" ht="22" customHeight="1">
      <x:c r="A422" s="11" t="n">
        <x:v>418</x:v>
      </x:c>
      <x:c r="B422" s="11" t="n">
        <x:v>216</x:v>
      </x:c>
      <x:c r="C422" s="18" t="n">
        <x:v>45352</x:v>
      </x:c>
      <x:c r="D422" s="11" t="str">
        <x:v>2024-03</x:v>
      </x:c>
      <x:c r="E422" s="11" t="str">
        <x:v>East</x:v>
      </x:c>
      <x:c r="F422" s="11" t="str">
        <x:v>Technology</x:v>
      </x:c>
      <x:c r="G422" s="11" t="str">
        <x:v>Monitor</x:v>
      </x:c>
      <x:c r="H422" s="11" t="n">
        <x:v>3</x:v>
      </x:c>
      <x:c r="I422" s="19" t="n">
        <x:v>0.05</x:v>
      </x:c>
      <x:c r="J422" s="11" t="n">
        <x:v>0</x:v>
      </x:c>
      <x:c r="K422" s="20" t="n">
        <x:v>720</x:v>
      </x:c>
      <x:c r="L422" s="20" t="n">
        <x:v>36</x:v>
      </x:c>
      <x:c r="M422" s="20" t="n">
        <x:v>480</x:v>
      </x:c>
      <x:c r="N422" s="20" t="n">
        <x:f>IF(J422=1,0,K422-L422)</x:f>
        <x:v>684</x:v>
      </x:c>
      <x:c r="O422" s="20" t="n">
        <x:f>N422-M422</x:f>
        <x:v>204</x:v>
      </x:c>
    </x:row>
    <x:row r="423" ht="22" customHeight="1">
      <x:c r="A423" s="11" t="n">
        <x:v>419</x:v>
      </x:c>
      <x:c r="B423" s="11" t="n">
        <x:v>216</x:v>
      </x:c>
      <x:c r="C423" s="18" t="n">
        <x:v>45352</x:v>
      </x:c>
      <x:c r="D423" s="11" t="str">
        <x:v>2024-03</x:v>
      </x:c>
      <x:c r="E423" s="11" t="str">
        <x:v>East</x:v>
      </x:c>
      <x:c r="F423" s="11" t="str">
        <x:v>Office Supplies</x:v>
      </x:c>
      <x:c r="G423" s="11" t="str">
        <x:v>Notebook pack</x:v>
      </x:c>
      <x:c r="H423" s="11" t="n">
        <x:v>3</x:v>
      </x:c>
      <x:c r="I423" s="19" t="n">
        <x:v>0.15</x:v>
      </x:c>
      <x:c r="J423" s="11" t="n">
        <x:v>0</x:v>
      </x:c>
      <x:c r="K423" s="20" t="n">
        <x:v>54</x:v>
      </x:c>
      <x:c r="L423" s="20" t="n">
        <x:v>8.1</x:v>
      </x:c>
      <x:c r="M423" s="20" t="n">
        <x:v>21</x:v>
      </x:c>
      <x:c r="N423" s="20" t="n">
        <x:f>IF(J423=1,0,K423-L423)</x:f>
        <x:v>45.9</x:v>
      </x:c>
      <x:c r="O423" s="20" t="n">
        <x:f>N423-M423</x:f>
        <x:v>24.9</x:v>
      </x:c>
    </x:row>
    <x:row r="424" ht="22" customHeight="1">
      <x:c r="A424" s="11" t="n">
        <x:v>420</x:v>
      </x:c>
      <x:c r="B424" s="11" t="n">
        <x:v>216</x:v>
      </x:c>
      <x:c r="C424" s="18" t="n">
        <x:v>45352</x:v>
      </x:c>
      <x:c r="D424" s="11" t="str">
        <x:v>2024-03</x:v>
      </x:c>
      <x:c r="E424" s="11" t="str">
        <x:v>East</x:v>
      </x:c>
      <x:c r="F424" s="11" t="str">
        <x:v>Furniture</x:v>
      </x:c>
      <x:c r="G424" s="11" t="str">
        <x:v>Chair</x:v>
      </x:c>
      <x:c r="H424" s="11" t="n">
        <x:v>1</x:v>
      </x:c>
      <x:c r="I424" s="19" t="n">
        <x:v>0</x:v>
      </x:c>
      <x:c r="J424" s="11" t="n">
        <x:v>0</x:v>
      </x:c>
      <x:c r="K424" s="20" t="n">
        <x:v>170</x:v>
      </x:c>
      <x:c r="L424" s="20" t="n">
        <x:v>0</x:v>
      </x:c>
      <x:c r="M424" s="20" t="n">
        <x:v>110</x:v>
      </x:c>
      <x:c r="N424" s="20" t="n">
        <x:f>IF(J424=1,0,K424-L424)</x:f>
        <x:v>170</x:v>
      </x:c>
      <x:c r="O424" s="20" t="n">
        <x:f>N424-M424</x:f>
        <x:v>60</x:v>
      </x:c>
    </x:row>
    <x:row r="425" ht="22" customHeight="1">
      <x:c r="A425" s="11" t="n">
        <x:v>421</x:v>
      </x:c>
      <x:c r="B425" s="11" t="n">
        <x:v>217</x:v>
      </x:c>
      <x:c r="C425" s="18" t="n">
        <x:v>45713</x:v>
      </x:c>
      <x:c r="D425" s="11" t="str">
        <x:v>2025-02</x:v>
      </x:c>
      <x:c r="E425" s="11" t="str">
        <x:v>South</x:v>
      </x:c>
      <x:c r="F425" s="11" t="str">
        <x:v>Furniture</x:v>
      </x:c>
      <x:c r="G425" s="11" t="str">
        <x:v>Chair</x:v>
      </x:c>
      <x:c r="H425" s="11" t="n">
        <x:v>2</x:v>
      </x:c>
      <x:c r="I425" s="19" t="n">
        <x:v>0.15</x:v>
      </x:c>
      <x:c r="J425" s="11" t="n">
        <x:v>0</x:v>
      </x:c>
      <x:c r="K425" s="20" t="n">
        <x:v>340</x:v>
      </x:c>
      <x:c r="L425" s="20" t="n">
        <x:v>51</x:v>
      </x:c>
      <x:c r="M425" s="20" t="n">
        <x:v>220</x:v>
      </x:c>
      <x:c r="N425" s="20" t="n">
        <x:f>IF(J425=1,0,K425-L425)</x:f>
        <x:v>289</x:v>
      </x:c>
      <x:c r="O425" s="20" t="n">
        <x:f>N425-M425</x:f>
        <x:v>69</x:v>
      </x:c>
    </x:row>
    <x:row r="426" ht="22" customHeight="1">
      <x:c r="A426" s="11" t="n">
        <x:v>422</x:v>
      </x:c>
      <x:c r="B426" s="11" t="n">
        <x:v>217</x:v>
      </x:c>
      <x:c r="C426" s="18" t="n">
        <x:v>45713</x:v>
      </x:c>
      <x:c r="D426" s="11" t="str">
        <x:v>2025-02</x:v>
      </x:c>
      <x:c r="E426" s="11" t="str">
        <x:v>South</x:v>
      </x:c>
      <x:c r="F426" s="11" t="str">
        <x:v>Office Supplies</x:v>
      </x:c>
      <x:c r="G426" s="11" t="str">
        <x:v>Storage box</x:v>
      </x:c>
      <x:c r="H426" s="11" t="n">
        <x:v>4</x:v>
      </x:c>
      <x:c r="I426" s="19" t="n">
        <x:v>0.1</x:v>
      </x:c>
      <x:c r="J426" s="11" t="n">
        <x:v>0</x:v>
      </x:c>
      <x:c r="K426" s="20" t="n">
        <x:v>104</x:v>
      </x:c>
      <x:c r="L426" s="20" t="n">
        <x:v>10.4</x:v>
      </x:c>
      <x:c r="M426" s="20" t="n">
        <x:v>48</x:v>
      </x:c>
      <x:c r="N426" s="20" t="n">
        <x:f>IF(J426=1,0,K426-L426)</x:f>
        <x:v>93.6</x:v>
      </x:c>
      <x:c r="O426" s="20" t="n">
        <x:f>N426-M426</x:f>
        <x:v>45.599999999999994</x:v>
      </x:c>
    </x:row>
    <x:row r="427" ht="22" customHeight="1">
      <x:c r="A427" s="11" t="n">
        <x:v>423</x:v>
      </x:c>
      <x:c r="B427" s="11" t="n">
        <x:v>217</x:v>
      </x:c>
      <x:c r="C427" s="18" t="n">
        <x:v>45713</x:v>
      </x:c>
      <x:c r="D427" s="11" t="str">
        <x:v>2025-02</x:v>
      </x:c>
      <x:c r="E427" s="11" t="str">
        <x:v>South</x:v>
      </x:c>
      <x:c r="F427" s="11" t="str">
        <x:v>Office Supplies</x:v>
      </x:c>
      <x:c r="G427" s="11" t="str">
        <x:v>Notebook pack</x:v>
      </x:c>
      <x:c r="H427" s="11" t="n">
        <x:v>3</x:v>
      </x:c>
      <x:c r="I427" s="19" t="n">
        <x:v>0.1</x:v>
      </x:c>
      <x:c r="J427" s="11" t="n">
        <x:v>0</x:v>
      </x:c>
      <x:c r="K427" s="20" t="n">
        <x:v>54</x:v>
      </x:c>
      <x:c r="L427" s="20" t="n">
        <x:v>5.4</x:v>
      </x:c>
      <x:c r="M427" s="20" t="n">
        <x:v>21</x:v>
      </x:c>
      <x:c r="N427" s="20" t="n">
        <x:f>IF(J427=1,0,K427-L427)</x:f>
        <x:v>48.6</x:v>
      </x:c>
      <x:c r="O427" s="20" t="n">
        <x:f>N427-M427</x:f>
        <x:v>27.6</x:v>
      </x:c>
    </x:row>
    <x:row r="428" ht="22" customHeight="1">
      <x:c r="A428" s="11" t="n">
        <x:v>424</x:v>
      </x:c>
      <x:c r="B428" s="11" t="n">
        <x:v>218</x:v>
      </x:c>
      <x:c r="C428" s="18" t="n">
        <x:v>45369</x:v>
      </x:c>
      <x:c r="D428" s="11" t="str">
        <x:v>2024-03</x:v>
      </x:c>
      <x:c r="E428" s="11" t="str">
        <x:v>Central</x:v>
      </x:c>
      <x:c r="F428" s="11" t="str">
        <x:v>Office Supplies</x:v>
      </x:c>
      <x:c r="G428" s="11" t="str">
        <x:v>Notebook pack</x:v>
      </x:c>
      <x:c r="H428" s="11" t="n">
        <x:v>3</x:v>
      </x:c>
      <x:c r="I428" s="19" t="n">
        <x:v>0.1</x:v>
      </x:c>
      <x:c r="J428" s="11" t="n">
        <x:v>0</x:v>
      </x:c>
      <x:c r="K428" s="20" t="n">
        <x:v>54</x:v>
      </x:c>
      <x:c r="L428" s="20" t="n">
        <x:v>5.4</x:v>
      </x:c>
      <x:c r="M428" s="20" t="n">
        <x:v>21</x:v>
      </x:c>
      <x:c r="N428" s="20" t="n">
        <x:f>IF(J428=1,0,K428-L428)</x:f>
        <x:v>48.6</x:v>
      </x:c>
      <x:c r="O428" s="20" t="n">
        <x:f>N428-M428</x:f>
        <x:v>27.6</x:v>
      </x:c>
    </x:row>
    <x:row r="429" ht="22" customHeight="1">
      <x:c r="A429" s="11" t="n">
        <x:v>425</x:v>
      </x:c>
      <x:c r="B429" s="11" t="n">
        <x:v>218</x:v>
      </x:c>
      <x:c r="C429" s="18" t="n">
        <x:v>45369</x:v>
      </x:c>
      <x:c r="D429" s="11" t="str">
        <x:v>2024-03</x:v>
      </x:c>
      <x:c r="E429" s="11" t="str">
        <x:v>Central</x:v>
      </x:c>
      <x:c r="F429" s="11" t="str">
        <x:v>Technology</x:v>
      </x:c>
      <x:c r="G429" s="11" t="str">
        <x:v>Monitor</x:v>
      </x:c>
      <x:c r="H429" s="11" t="n">
        <x:v>3</x:v>
      </x:c>
      <x:c r="I429" s="19" t="n">
        <x:v>0.15</x:v>
      </x:c>
      <x:c r="J429" s="11" t="n">
        <x:v>1</x:v>
      </x:c>
      <x:c r="K429" s="20" t="n">
        <x:v>720</x:v>
      </x:c>
      <x:c r="L429" s="20" t="n">
        <x:v>108</x:v>
      </x:c>
      <x:c r="M429" s="20" t="n">
        <x:v>0</x:v>
      </x:c>
      <x:c r="N429" s="20" t="n">
        <x:f>IF(J429=1,0,K429-L429)</x:f>
        <x:v>0</x:v>
      </x:c>
      <x:c r="O429" s="20" t="n">
        <x:f>N429-M429</x:f>
        <x:v>0</x:v>
      </x:c>
    </x:row>
    <x:row r="430" ht="22" customHeight="1">
      <x:c r="A430" s="11" t="n">
        <x:v>426</x:v>
      </x:c>
      <x:c r="B430" s="11" t="n">
        <x:v>219</x:v>
      </x:c>
      <x:c r="C430" s="18" t="n">
        <x:v>45387</x:v>
      </x:c>
      <x:c r="D430" s="11" t="str">
        <x:v>2024-04</x:v>
      </x:c>
      <x:c r="E430" s="11" t="str">
        <x:v>East</x:v>
      </x:c>
      <x:c r="F430" s="11" t="str">
        <x:v>Office Supplies</x:v>
      </x:c>
      <x:c r="G430" s="11" t="str">
        <x:v>Storage box</x:v>
      </x:c>
      <x:c r="H430" s="11" t="n">
        <x:v>5</x:v>
      </x:c>
      <x:c r="I430" s="19" t="n">
        <x:v>0.1</x:v>
      </x:c>
      <x:c r="J430" s="11" t="n">
        <x:v>0</x:v>
      </x:c>
      <x:c r="K430" s="20" t="n">
        <x:v>130</x:v>
      </x:c>
      <x:c r="L430" s="20" t="n">
        <x:v>13</x:v>
      </x:c>
      <x:c r="M430" s="20" t="n">
        <x:v>60</x:v>
      </x:c>
      <x:c r="N430" s="20" t="n">
        <x:f>IF(J430=1,0,K430-L430)</x:f>
        <x:v>117</x:v>
      </x:c>
      <x:c r="O430" s="20" t="n">
        <x:f>N430-M430</x:f>
        <x:v>57</x:v>
      </x:c>
    </x:row>
    <x:row r="431" ht="22" customHeight="1">
      <x:c r="A431" s="11" t="n">
        <x:v>427</x:v>
      </x:c>
      <x:c r="B431" s="11" t="n">
        <x:v>219</x:v>
      </x:c>
      <x:c r="C431" s="18" t="n">
        <x:v>45387</x:v>
      </x:c>
      <x:c r="D431" s="11" t="str">
        <x:v>2024-04</x:v>
      </x:c>
      <x:c r="E431" s="11" t="str">
        <x:v>East</x:v>
      </x:c>
      <x:c r="F431" s="11" t="str">
        <x:v>Technology</x:v>
      </x:c>
      <x:c r="G431" s="11" t="str">
        <x:v>Monitor</x:v>
      </x:c>
      <x:c r="H431" s="11" t="n">
        <x:v>4</x:v>
      </x:c>
      <x:c r="I431" s="19" t="n">
        <x:v>0</x:v>
      </x:c>
      <x:c r="J431" s="11" t="n">
        <x:v>0</x:v>
      </x:c>
      <x:c r="K431" s="20" t="n">
        <x:v>960</x:v>
      </x:c>
      <x:c r="L431" s="20" t="n">
        <x:v>0</x:v>
      </x:c>
      <x:c r="M431" s="20" t="n">
        <x:v>640</x:v>
      </x:c>
      <x:c r="N431" s="20" t="n">
        <x:f>IF(J431=1,0,K431-L431)</x:f>
        <x:v>960</x:v>
      </x:c>
      <x:c r="O431" s="20" t="n">
        <x:f>N431-M431</x:f>
        <x:v>320</x:v>
      </x:c>
    </x:row>
    <x:row r="432" ht="22" customHeight="1">
      <x:c r="A432" s="11" t="n">
        <x:v>428</x:v>
      </x:c>
      <x:c r="B432" s="11" t="n">
        <x:v>219</x:v>
      </x:c>
      <x:c r="C432" s="18" t="n">
        <x:v>45387</x:v>
      </x:c>
      <x:c r="D432" s="11" t="str">
        <x:v>2024-04</x:v>
      </x:c>
      <x:c r="E432" s="11" t="str">
        <x:v>East</x:v>
      </x:c>
      <x:c r="F432" s="11" t="str">
        <x:v>Furniture</x:v>
      </x:c>
      <x:c r="G432" s="11" t="str">
        <x:v>Desk</x:v>
      </x:c>
      <x:c r="H432" s="11" t="n">
        <x:v>3</x:v>
      </x:c>
      <x:c r="I432" s="19" t="n">
        <x:v>0.1</x:v>
      </x:c>
      <x:c r="J432" s="11" t="n">
        <x:v>0</x:v>
      </x:c>
      <x:c r="K432" s="20" t="n">
        <x:v>840</x:v>
      </x:c>
      <x:c r="L432" s="20" t="n">
        <x:v>84</x:v>
      </x:c>
      <x:c r="M432" s="20" t="n">
        <x:v>570</x:v>
      </x:c>
      <x:c r="N432" s="20" t="n">
        <x:f>IF(J432=1,0,K432-L432)</x:f>
        <x:v>756</x:v>
      </x:c>
      <x:c r="O432" s="20" t="n">
        <x:f>N432-M432</x:f>
        <x:v>186</x:v>
      </x:c>
    </x:row>
    <x:row r="433" ht="22" customHeight="1">
      <x:c r="A433" s="11" t="n">
        <x:v>429</x:v>
      </x:c>
      <x:c r="B433" s="11" t="n">
        <x:v>220</x:v>
      </x:c>
      <x:c r="C433" s="18" t="n">
        <x:v>45883</x:v>
      </x:c>
      <x:c r="D433" s="11" t="str">
        <x:v>2025-08</x:v>
      </x:c>
      <x:c r="E433" s="11" t="str">
        <x:v>West</x:v>
      </x:c>
      <x:c r="F433" s="11" t="str">
        <x:v>Office Supplies</x:v>
      </x:c>
      <x:c r="G433" s="11" t="str">
        <x:v>Storage box</x:v>
      </x:c>
      <x:c r="H433" s="11" t="n">
        <x:v>1</x:v>
      </x:c>
      <x:c r="I433" s="19" t="n">
        <x:v>0</x:v>
      </x:c>
      <x:c r="J433" s="11" t="n">
        <x:v>0</x:v>
      </x:c>
      <x:c r="K433" s="20" t="n">
        <x:v>26</x:v>
      </x:c>
      <x:c r="L433" s="20" t="n">
        <x:v>0</x:v>
      </x:c>
      <x:c r="M433" s="20" t="n">
        <x:v>12</x:v>
      </x:c>
      <x:c r="N433" s="20" t="n">
        <x:f>IF(J433=1,0,K433-L433)</x:f>
        <x:v>26</x:v>
      </x:c>
      <x:c r="O433" s="20" t="n">
        <x:f>N433-M433</x:f>
        <x:v>14</x:v>
      </x:c>
    </x:row>
    <x:row r="434" ht="22" customHeight="1">
      <x:c r="A434" s="11" t="n">
        <x:v>430</x:v>
      </x:c>
      <x:c r="B434" s="11" t="n">
        <x:v>220</x:v>
      </x:c>
      <x:c r="C434" s="18" t="n">
        <x:v>45883</x:v>
      </x:c>
      <x:c r="D434" s="11" t="str">
        <x:v>2025-08</x:v>
      </x:c>
      <x:c r="E434" s="11" t="str">
        <x:v>West</x:v>
      </x:c>
      <x:c r="F434" s="11" t="str">
        <x:v>Furniture</x:v>
      </x:c>
      <x:c r="G434" s="11" t="str">
        <x:v>Desk</x:v>
      </x:c>
      <x:c r="H434" s="11" t="n">
        <x:v>4</x:v>
      </x:c>
      <x:c r="I434" s="19" t="n">
        <x:v>0</x:v>
      </x:c>
      <x:c r="J434" s="11" t="n">
        <x:v>0</x:v>
      </x:c>
      <x:c r="K434" s="20" t="n">
        <x:v>1120</x:v>
      </x:c>
      <x:c r="L434" s="20" t="n">
        <x:v>0</x:v>
      </x:c>
      <x:c r="M434" s="20" t="n">
        <x:v>760</x:v>
      </x:c>
      <x:c r="N434" s="20" t="n">
        <x:f>IF(J434=1,0,K434-L434)</x:f>
        <x:v>1120</x:v>
      </x:c>
      <x:c r="O434" s="20" t="n">
        <x:f>N434-M434</x:f>
        <x:v>360</x:v>
      </x:c>
    </x:row>
    <x:row r="435" ht="22" customHeight="1">
      <x:c r="A435" s="11" t="n">
        <x:v>431</x:v>
      </x:c>
      <x:c r="B435" s="11" t="n">
        <x:v>221</x:v>
      </x:c>
      <x:c r="C435" s="18" t="n">
        <x:v>45453</x:v>
      </x:c>
      <x:c r="D435" s="11" t="str">
        <x:v>2024-06</x:v>
      </x:c>
      <x:c r="E435" s="11" t="str">
        <x:v>East</x:v>
      </x:c>
      <x:c r="F435" s="11" t="str">
        <x:v>Technology</x:v>
      </x:c>
      <x:c r="G435" s="11" t="str">
        <x:v>Keyboard</x:v>
      </x:c>
      <x:c r="H435" s="11" t="n">
        <x:v>2</x:v>
      </x:c>
      <x:c r="I435" s="19" t="n">
        <x:v>0</x:v>
      </x:c>
      <x:c r="J435" s="11" t="n">
        <x:v>0</x:v>
      </x:c>
      <x:c r="K435" s="20" t="n">
        <x:v>130</x:v>
      </x:c>
      <x:c r="L435" s="20" t="n">
        <x:v>0</x:v>
      </x:c>
      <x:c r="M435" s="20" t="n">
        <x:v>64</x:v>
      </x:c>
      <x:c r="N435" s="20" t="n">
        <x:f>IF(J435=1,0,K435-L435)</x:f>
        <x:v>130</x:v>
      </x:c>
      <x:c r="O435" s="20" t="n">
        <x:f>N435-M435</x:f>
        <x:v>66</x:v>
      </x:c>
    </x:row>
    <x:row r="436" ht="22" customHeight="1">
      <x:c r="A436" s="11" t="n">
        <x:v>432</x:v>
      </x:c>
      <x:c r="B436" s="11" t="n">
        <x:v>222</x:v>
      </x:c>
      <x:c r="C436" s="18" t="n">
        <x:v>45601</x:v>
      </x:c>
      <x:c r="D436" s="11" t="str">
        <x:v>2024-11</x:v>
      </x:c>
      <x:c r="E436" s="11" t="str">
        <x:v>South</x:v>
      </x:c>
      <x:c r="F436" s="11" t="str">
        <x:v>Office Supplies</x:v>
      </x:c>
      <x:c r="G436" s="11" t="str">
        <x:v>Storage box</x:v>
      </x:c>
      <x:c r="H436" s="11" t="n">
        <x:v>3</x:v>
      </x:c>
      <x:c r="I436" s="19" t="n">
        <x:v>0.05</x:v>
      </x:c>
      <x:c r="J436" s="11" t="n">
        <x:v>0</x:v>
      </x:c>
      <x:c r="K436" s="20" t="n">
        <x:v>78</x:v>
      </x:c>
      <x:c r="L436" s="20" t="n">
        <x:v>3.9</x:v>
      </x:c>
      <x:c r="M436" s="20" t="n">
        <x:v>36</x:v>
      </x:c>
      <x:c r="N436" s="20" t="n">
        <x:f>IF(J436=1,0,K436-L436)</x:f>
        <x:v>74.1</x:v>
      </x:c>
      <x:c r="O436" s="20" t="n">
        <x:f>N436-M436</x:f>
        <x:v>38.099999999999994</x:v>
      </x:c>
    </x:row>
    <x:row r="437" ht="22" customHeight="1">
      <x:c r="A437" s="11" t="n">
        <x:v>433</x:v>
      </x:c>
      <x:c r="B437" s="11" t="n">
        <x:v>223</x:v>
      </x:c>
      <x:c r="C437" s="18" t="n">
        <x:v>45972</x:v>
      </x:c>
      <x:c r="D437" s="11" t="str">
        <x:v>2025-11</x:v>
      </x:c>
      <x:c r="E437" s="11" t="str">
        <x:v>South</x:v>
      </x:c>
      <x:c r="F437" s="11" t="str">
        <x:v>Technology</x:v>
      </x:c>
      <x:c r="G437" s="11" t="str">
        <x:v>Keyboard</x:v>
      </x:c>
      <x:c r="H437" s="11" t="n">
        <x:v>3</x:v>
      </x:c>
      <x:c r="I437" s="19" t="n">
        <x:v>0</x:v>
      </x:c>
      <x:c r="J437" s="11" t="n">
        <x:v>0</x:v>
      </x:c>
      <x:c r="K437" s="20" t="n">
        <x:v>195</x:v>
      </x:c>
      <x:c r="L437" s="20" t="n">
        <x:v>0</x:v>
      </x:c>
      <x:c r="M437" s="20" t="n">
        <x:v>96</x:v>
      </x:c>
      <x:c r="N437" s="20" t="n">
        <x:f>IF(J437=1,0,K437-L437)</x:f>
        <x:v>195</x:v>
      </x:c>
      <x:c r="O437" s="20" t="n">
        <x:f>N437-M437</x:f>
        <x:v>99</x:v>
      </x:c>
    </x:row>
    <x:row r="438" ht="22" customHeight="1">
      <x:c r="A438" s="11" t="n">
        <x:v>434</x:v>
      </x:c>
      <x:c r="B438" s="11" t="n">
        <x:v>224</x:v>
      </x:c>
      <x:c r="C438" s="18" t="n">
        <x:v>45385</x:v>
      </x:c>
      <x:c r="D438" s="11" t="str">
        <x:v>2024-04</x:v>
      </x:c>
      <x:c r="E438" s="11" t="str">
        <x:v>South</x:v>
      </x:c>
      <x:c r="F438" s="11" t="str">
        <x:v>Furniture</x:v>
      </x:c>
      <x:c r="G438" s="11" t="str">
        <x:v>Chair</x:v>
      </x:c>
      <x:c r="H438" s="11" t="n">
        <x:v>4</x:v>
      </x:c>
      <x:c r="I438" s="19" t="n">
        <x:v>0</x:v>
      </x:c>
      <x:c r="J438" s="11" t="n">
        <x:v>0</x:v>
      </x:c>
      <x:c r="K438" s="20" t="n">
        <x:v>680</x:v>
      </x:c>
      <x:c r="L438" s="20" t="n">
        <x:v>0</x:v>
      </x:c>
      <x:c r="M438" s="20" t="n">
        <x:v>440</x:v>
      </x:c>
      <x:c r="N438" s="20" t="n">
        <x:f>IF(J438=1,0,K438-L438)</x:f>
        <x:v>680</x:v>
      </x:c>
      <x:c r="O438" s="20" t="n">
        <x:f>N438-M438</x:f>
        <x:v>240</x:v>
      </x:c>
    </x:row>
    <x:row r="439" ht="22" customHeight="1">
      <x:c r="A439" s="11" t="n">
        <x:v>435</x:v>
      </x:c>
      <x:c r="B439" s="11" t="n">
        <x:v>225</x:v>
      </x:c>
      <x:c r="C439" s="18" t="n">
        <x:v>45523</x:v>
      </x:c>
      <x:c r="D439" s="11" t="str">
        <x:v>2024-08</x:v>
      </x:c>
      <x:c r="E439" s="11" t="str">
        <x:v>West</x:v>
      </x:c>
      <x:c r="F439" s="11" t="str">
        <x:v>Furniture</x:v>
      </x:c>
      <x:c r="G439" s="11" t="str">
        <x:v>Desk</x:v>
      </x:c>
      <x:c r="H439" s="11" t="n">
        <x:v>3</x:v>
      </x:c>
      <x:c r="I439" s="19" t="n">
        <x:v>0</x:v>
      </x:c>
      <x:c r="J439" s="11" t="n">
        <x:v>0</x:v>
      </x:c>
      <x:c r="K439" s="20" t="n">
        <x:v>840</x:v>
      </x:c>
      <x:c r="L439" s="20" t="n">
        <x:v>0</x:v>
      </x:c>
      <x:c r="M439" s="20" t="n">
        <x:v>570</x:v>
      </x:c>
      <x:c r="N439" s="20" t="n">
        <x:f>IF(J439=1,0,K439-L439)</x:f>
        <x:v>840</x:v>
      </x:c>
      <x:c r="O439" s="20" t="n">
        <x:f>N439-M439</x:f>
        <x:v>270</x:v>
      </x:c>
    </x:row>
    <x:row r="440" ht="22" customHeight="1">
      <x:c r="A440" s="11" t="n">
        <x:v>436</x:v>
      </x:c>
      <x:c r="B440" s="11" t="n">
        <x:v>226</x:v>
      </x:c>
      <x:c r="C440" s="18" t="n">
        <x:v>45724</x:v>
      </x:c>
      <x:c r="D440" s="11" t="str">
        <x:v>2025-03</x:v>
      </x:c>
      <x:c r="E440" s="11" t="str">
        <x:v>Central</x:v>
      </x:c>
      <x:c r="F440" s="11" t="str">
        <x:v>Furniture</x:v>
      </x:c>
      <x:c r="G440" s="11" t="str">
        <x:v>Desk</x:v>
      </x:c>
      <x:c r="H440" s="11" t="n">
        <x:v>4</x:v>
      </x:c>
      <x:c r="I440" s="19" t="n">
        <x:v>0</x:v>
      </x:c>
      <x:c r="J440" s="11" t="n">
        <x:v>0</x:v>
      </x:c>
      <x:c r="K440" s="20" t="n">
        <x:v>1120</x:v>
      </x:c>
      <x:c r="L440" s="20" t="n">
        <x:v>0</x:v>
      </x:c>
      <x:c r="M440" s="20" t="n">
        <x:v>760</x:v>
      </x:c>
      <x:c r="N440" s="20" t="n">
        <x:f>IF(J440=1,0,K440-L440)</x:f>
        <x:v>1120</x:v>
      </x:c>
      <x:c r="O440" s="20" t="n">
        <x:f>N440-M440</x:f>
        <x:v>360</x:v>
      </x:c>
    </x:row>
    <x:row r="441" ht="22" customHeight="1">
      <x:c r="A441" s="11" t="n">
        <x:v>437</x:v>
      </x:c>
      <x:c r="B441" s="11" t="n">
        <x:v>226</x:v>
      </x:c>
      <x:c r="C441" s="18" t="n">
        <x:v>45724</x:v>
      </x:c>
      <x:c r="D441" s="11" t="str">
        <x:v>2025-03</x:v>
      </x:c>
      <x:c r="E441" s="11" t="str">
        <x:v>Central</x:v>
      </x:c>
      <x:c r="F441" s="11" t="str">
        <x:v>Furniture</x:v>
      </x:c>
      <x:c r="G441" s="11" t="str">
        <x:v>Chair</x:v>
      </x:c>
      <x:c r="H441" s="11" t="n">
        <x:v>1</x:v>
      </x:c>
      <x:c r="I441" s="19" t="n">
        <x:v>0</x:v>
      </x:c>
      <x:c r="J441" s="11" t="n">
        <x:v>0</x:v>
      </x:c>
      <x:c r="K441" s="20" t="n">
        <x:v>170</x:v>
      </x:c>
      <x:c r="L441" s="20" t="n">
        <x:v>0</x:v>
      </x:c>
      <x:c r="M441" s="20" t="n">
        <x:v>110</x:v>
      </x:c>
      <x:c r="N441" s="20" t="n">
        <x:f>IF(J441=1,0,K441-L441)</x:f>
        <x:v>170</x:v>
      </x:c>
      <x:c r="O441" s="20" t="n">
        <x:f>N441-M441</x:f>
        <x:v>60</x:v>
      </x:c>
    </x:row>
    <x:row r="442" ht="22" customHeight="1">
      <x:c r="A442" s="11" t="n">
        <x:v>438</x:v>
      </x:c>
      <x:c r="B442" s="11" t="n">
        <x:v>227</x:v>
      </x:c>
      <x:c r="C442" s="18" t="n">
        <x:v>45598</x:v>
      </x:c>
      <x:c r="D442" s="11" t="str">
        <x:v>2024-11</x:v>
      </x:c>
      <x:c r="E442" s="11" t="str">
        <x:v>East</x:v>
      </x:c>
      <x:c r="F442" s="11" t="str">
        <x:v>Office Supplies</x:v>
      </x:c>
      <x:c r="G442" s="11" t="str">
        <x:v>Storage box</x:v>
      </x:c>
      <x:c r="H442" s="11" t="n">
        <x:v>2</x:v>
      </x:c>
      <x:c r="I442" s="19" t="n">
        <x:v>0</x:v>
      </x:c>
      <x:c r="J442" s="11" t="n">
        <x:v>0</x:v>
      </x:c>
      <x:c r="K442" s="20" t="n">
        <x:v>52</x:v>
      </x:c>
      <x:c r="L442" s="20" t="n">
        <x:v>0</x:v>
      </x:c>
      <x:c r="M442" s="20" t="n">
        <x:v>24</x:v>
      </x:c>
      <x:c r="N442" s="20" t="n">
        <x:f>IF(J442=1,0,K442-L442)</x:f>
        <x:v>52</x:v>
      </x:c>
      <x:c r="O442" s="20" t="n">
        <x:f>N442-M442</x:f>
        <x:v>28</x:v>
      </x:c>
    </x:row>
    <x:row r="443" ht="22" customHeight="1">
      <x:c r="A443" s="11" t="n">
        <x:v>439</x:v>
      </x:c>
      <x:c r="B443" s="11" t="n">
        <x:v>228</x:v>
      </x:c>
      <x:c r="C443" s="18" t="n">
        <x:v>45300</x:v>
      </x:c>
      <x:c r="D443" s="11" t="str">
        <x:v>2024-01</x:v>
      </x:c>
      <x:c r="E443" s="11" t="str">
        <x:v>West</x:v>
      </x:c>
      <x:c r="F443" s="11" t="str">
        <x:v>Technology</x:v>
      </x:c>
      <x:c r="G443" s="11" t="str">
        <x:v>Monitor</x:v>
      </x:c>
      <x:c r="H443" s="11" t="n">
        <x:v>2</x:v>
      </x:c>
      <x:c r="I443" s="19" t="n">
        <x:v>0.1</x:v>
      </x:c>
      <x:c r="J443" s="11" t="n">
        <x:v>0</x:v>
      </x:c>
      <x:c r="K443" s="20" t="n">
        <x:v>480</x:v>
      </x:c>
      <x:c r="L443" s="20" t="n">
        <x:v>48</x:v>
      </x:c>
      <x:c r="M443" s="20" t="n">
        <x:v>320</x:v>
      </x:c>
      <x:c r="N443" s="20" t="n">
        <x:f>IF(J443=1,0,K443-L443)</x:f>
        <x:v>432</x:v>
      </x:c>
      <x:c r="O443" s="20" t="n">
        <x:f>N443-M443</x:f>
        <x:v>112</x:v>
      </x:c>
    </x:row>
    <x:row r="444" ht="22" customHeight="1">
      <x:c r="A444" s="11" t="n">
        <x:v>440</x:v>
      </x:c>
      <x:c r="B444" s="11" t="n">
        <x:v>228</x:v>
      </x:c>
      <x:c r="C444" s="18" t="n">
        <x:v>45300</x:v>
      </x:c>
      <x:c r="D444" s="11" t="str">
        <x:v>2024-01</x:v>
      </x:c>
      <x:c r="E444" s="11" t="str">
        <x:v>West</x:v>
      </x:c>
      <x:c r="F444" s="11" t="str">
        <x:v>Furniture</x:v>
      </x:c>
      <x:c r="G444" s="11" t="str">
        <x:v>Chair</x:v>
      </x:c>
      <x:c r="H444" s="11" t="n">
        <x:v>4</x:v>
      </x:c>
      <x:c r="I444" s="19" t="n">
        <x:v>0.05</x:v>
      </x:c>
      <x:c r="J444" s="11" t="n">
        <x:v>0</x:v>
      </x:c>
      <x:c r="K444" s="20" t="n">
        <x:v>680</x:v>
      </x:c>
      <x:c r="L444" s="20" t="n">
        <x:v>34</x:v>
      </x:c>
      <x:c r="M444" s="20" t="n">
        <x:v>440</x:v>
      </x:c>
      <x:c r="N444" s="20" t="n">
        <x:f>IF(J444=1,0,K444-L444)</x:f>
        <x:v>646</x:v>
      </x:c>
      <x:c r="O444" s="20" t="n">
        <x:f>N444-M444</x:f>
        <x:v>206</x:v>
      </x:c>
    </x:row>
    <x:row r="445" ht="22" customHeight="1">
      <x:c r="A445" s="11" t="n">
        <x:v>441</x:v>
      </x:c>
      <x:c r="B445" s="11" t="n">
        <x:v>229</x:v>
      </x:c>
      <x:c r="C445" s="18" t="n">
        <x:v>45394</x:v>
      </x:c>
      <x:c r="D445" s="11" t="str">
        <x:v>2024-04</x:v>
      </x:c>
      <x:c r="E445" s="11" t="str">
        <x:v>East</x:v>
      </x:c>
      <x:c r="F445" s="11" t="str">
        <x:v>Office Supplies</x:v>
      </x:c>
      <x:c r="G445" s="11" t="str">
        <x:v>Storage box</x:v>
      </x:c>
      <x:c r="H445" s="11" t="n">
        <x:v>4</x:v>
      </x:c>
      <x:c r="I445" s="19" t="n">
        <x:v>0.05</x:v>
      </x:c>
      <x:c r="J445" s="11" t="n">
        <x:v>0</x:v>
      </x:c>
      <x:c r="K445" s="20" t="n">
        <x:v>104</x:v>
      </x:c>
      <x:c r="L445" s="20" t="n">
        <x:v>5.2</x:v>
      </x:c>
      <x:c r="M445" s="20" t="n">
        <x:v>48</x:v>
      </x:c>
      <x:c r="N445" s="20" t="n">
        <x:f>IF(J445=1,0,K445-L445)</x:f>
        <x:v>98.8</x:v>
      </x:c>
      <x:c r="O445" s="20" t="n">
        <x:f>N445-M445</x:f>
        <x:v>50.8</x:v>
      </x:c>
    </x:row>
    <x:row r="446" ht="22" customHeight="1">
      <x:c r="A446" s="11" t="n">
        <x:v>442</x:v>
      </x:c>
      <x:c r="B446" s="11" t="n">
        <x:v>229</x:v>
      </x:c>
      <x:c r="C446" s="18" t="n">
        <x:v>45394</x:v>
      </x:c>
      <x:c r="D446" s="11" t="str">
        <x:v>2024-04</x:v>
      </x:c>
      <x:c r="E446" s="11" t="str">
        <x:v>East</x:v>
      </x:c>
      <x:c r="F446" s="11" t="str">
        <x:v>Technology</x:v>
      </x:c>
      <x:c r="G446" s="11" t="str">
        <x:v>Keyboard</x:v>
      </x:c>
      <x:c r="H446" s="11" t="n">
        <x:v>2</x:v>
      </x:c>
      <x:c r="I446" s="19" t="n">
        <x:v>0.05</x:v>
      </x:c>
      <x:c r="J446" s="11" t="n">
        <x:v>0</x:v>
      </x:c>
      <x:c r="K446" s="20" t="n">
        <x:v>130</x:v>
      </x:c>
      <x:c r="L446" s="20" t="n">
        <x:v>6.5</x:v>
      </x:c>
      <x:c r="M446" s="20" t="n">
        <x:v>64</x:v>
      </x:c>
      <x:c r="N446" s="20" t="n">
        <x:f>IF(J446=1,0,K446-L446)</x:f>
        <x:v>123.5</x:v>
      </x:c>
      <x:c r="O446" s="20" t="n">
        <x:f>N446-M446</x:f>
        <x:v>59.5</x:v>
      </x:c>
    </x:row>
    <x:row r="447" ht="22" customHeight="1">
      <x:c r="A447" s="11" t="n">
        <x:v>443</x:v>
      </x:c>
      <x:c r="B447" s="11" t="n">
        <x:v>229</x:v>
      </x:c>
      <x:c r="C447" s="18" t="n">
        <x:v>45394</x:v>
      </x:c>
      <x:c r="D447" s="11" t="str">
        <x:v>2024-04</x:v>
      </x:c>
      <x:c r="E447" s="11" t="str">
        <x:v>East</x:v>
      </x:c>
      <x:c r="F447" s="11" t="str">
        <x:v>Technology</x:v>
      </x:c>
      <x:c r="G447" s="11" t="str">
        <x:v>Monitor</x:v>
      </x:c>
      <x:c r="H447" s="11" t="n">
        <x:v>2</x:v>
      </x:c>
      <x:c r="I447" s="19" t="n">
        <x:v>0.15</x:v>
      </x:c>
      <x:c r="J447" s="11" t="n">
        <x:v>0</x:v>
      </x:c>
      <x:c r="K447" s="20" t="n">
        <x:v>480</x:v>
      </x:c>
      <x:c r="L447" s="20" t="n">
        <x:v>72</x:v>
      </x:c>
      <x:c r="M447" s="20" t="n">
        <x:v>320</x:v>
      </x:c>
      <x:c r="N447" s="20" t="n">
        <x:f>IF(J447=1,0,K447-L447)</x:f>
        <x:v>408</x:v>
      </x:c>
      <x:c r="O447" s="20" t="n">
        <x:f>N447-M447</x:f>
        <x:v>88</x:v>
      </x:c>
    </x:row>
    <x:row r="448" ht="22" customHeight="1">
      <x:c r="A448" s="11" t="n">
        <x:v>444</x:v>
      </x:c>
      <x:c r="B448" s="11" t="n">
        <x:v>230</x:v>
      </x:c>
      <x:c r="C448" s="18" t="n">
        <x:v>45914</x:v>
      </x:c>
      <x:c r="D448" s="11" t="str">
        <x:v>2025-09</x:v>
      </x:c>
      <x:c r="E448" s="11" t="str">
        <x:v>South</x:v>
      </x:c>
      <x:c r="F448" s="11" t="str">
        <x:v>Technology</x:v>
      </x:c>
      <x:c r="G448" s="11" t="str">
        <x:v>Monitor</x:v>
      </x:c>
      <x:c r="H448" s="11" t="n">
        <x:v>4</x:v>
      </x:c>
      <x:c r="I448" s="19" t="n">
        <x:v>0.05</x:v>
      </x:c>
      <x:c r="J448" s="11" t="n">
        <x:v>0</x:v>
      </x:c>
      <x:c r="K448" s="20" t="n">
        <x:v>960</x:v>
      </x:c>
      <x:c r="L448" s="20" t="n">
        <x:v>48</x:v>
      </x:c>
      <x:c r="M448" s="20" t="n">
        <x:v>640</x:v>
      </x:c>
      <x:c r="N448" s="20" t="n">
        <x:f>IF(J448=1,0,K448-L448)</x:f>
        <x:v>912</x:v>
      </x:c>
      <x:c r="O448" s="20" t="n">
        <x:f>N448-M448</x:f>
        <x:v>272</x:v>
      </x:c>
    </x:row>
    <x:row r="449" ht="22" customHeight="1">
      <x:c r="A449" s="11" t="n">
        <x:v>445</x:v>
      </x:c>
      <x:c r="B449" s="11" t="n">
        <x:v>230</x:v>
      </x:c>
      <x:c r="C449" s="18" t="n">
        <x:v>45914</x:v>
      </x:c>
      <x:c r="D449" s="11" t="str">
        <x:v>2025-09</x:v>
      </x:c>
      <x:c r="E449" s="11" t="str">
        <x:v>South</x:v>
      </x:c>
      <x:c r="F449" s="11" t="str">
        <x:v>Furniture</x:v>
      </x:c>
      <x:c r="G449" s="11" t="str">
        <x:v>Chair</x:v>
      </x:c>
      <x:c r="H449" s="11" t="n">
        <x:v>2</x:v>
      </x:c>
      <x:c r="I449" s="19" t="n">
        <x:v>0.35</x:v>
      </x:c>
      <x:c r="J449" s="11" t="n">
        <x:v>0</x:v>
      </x:c>
      <x:c r="K449" s="20" t="n">
        <x:v>340</x:v>
      </x:c>
      <x:c r="L449" s="20" t="n">
        <x:v>119</x:v>
      </x:c>
      <x:c r="M449" s="20" t="n">
        <x:v>220</x:v>
      </x:c>
      <x:c r="N449" s="20" t="n">
        <x:f>IF(J449=1,0,K449-L449)</x:f>
        <x:v>221</x:v>
      </x:c>
      <x:c r="O449" s="20" t="n">
        <x:f>N449-M449</x:f>
        <x:v>1</x:v>
      </x:c>
    </x:row>
    <x:row r="450" ht="22" customHeight="1">
      <x:c r="A450" s="11" t="n">
        <x:v>446</x:v>
      </x:c>
      <x:c r="B450" s="11" t="n">
        <x:v>230</x:v>
      </x:c>
      <x:c r="C450" s="18" t="n">
        <x:v>45914</x:v>
      </x:c>
      <x:c r="D450" s="11" t="str">
        <x:v>2025-09</x:v>
      </x:c>
      <x:c r="E450" s="11" t="str">
        <x:v>South</x:v>
      </x:c>
      <x:c r="F450" s="11" t="str">
        <x:v>Office Supplies</x:v>
      </x:c>
      <x:c r="G450" s="11" t="str">
        <x:v>Notebook pack</x:v>
      </x:c>
      <x:c r="H450" s="11" t="n">
        <x:v>2</x:v>
      </x:c>
      <x:c r="I450" s="19" t="n">
        <x:v>0.1</x:v>
      </x:c>
      <x:c r="J450" s="11" t="n">
        <x:v>0</x:v>
      </x:c>
      <x:c r="K450" s="20" t="n">
        <x:v>36</x:v>
      </x:c>
      <x:c r="L450" s="20" t="n">
        <x:v>3.6</x:v>
      </x:c>
      <x:c r="M450" s="20" t="n">
        <x:v>14</x:v>
      </x:c>
      <x:c r="N450" s="20" t="n">
        <x:f>IF(J450=1,0,K450-L450)</x:f>
        <x:v>32.4</x:v>
      </x:c>
      <x:c r="O450" s="20" t="n">
        <x:f>N450-M450</x:f>
        <x:v>18.4</x:v>
      </x:c>
    </x:row>
    <x:row r="451" ht="22" customHeight="1">
      <x:c r="A451" s="11" t="n">
        <x:v>447</x:v>
      </x:c>
      <x:c r="B451" s="11" t="n">
        <x:v>231</x:v>
      </x:c>
      <x:c r="C451" s="18" t="n">
        <x:v>45364</x:v>
      </x:c>
      <x:c r="D451" s="11" t="str">
        <x:v>2024-03</x:v>
      </x:c>
      <x:c r="E451" s="11" t="str">
        <x:v>East</x:v>
      </x:c>
      <x:c r="F451" s="11" t="str">
        <x:v>Technology</x:v>
      </x:c>
      <x:c r="G451" s="11" t="str">
        <x:v>Monitor</x:v>
      </x:c>
      <x:c r="H451" s="11" t="n">
        <x:v>4</x:v>
      </x:c>
      <x:c r="I451" s="19" t="n">
        <x:v>0.15</x:v>
      </x:c>
      <x:c r="J451" s="11" t="n">
        <x:v>0</x:v>
      </x:c>
      <x:c r="K451" s="20" t="n">
        <x:v>960</x:v>
      </x:c>
      <x:c r="L451" s="20" t="n">
        <x:v>144</x:v>
      </x:c>
      <x:c r="M451" s="20" t="n">
        <x:v>640</x:v>
      </x:c>
      <x:c r="N451" s="20" t="n">
        <x:f>IF(J451=1,0,K451-L451)</x:f>
        <x:v>816</x:v>
      </x:c>
      <x:c r="O451" s="20" t="n">
        <x:f>N451-M451</x:f>
        <x:v>176</x:v>
      </x:c>
    </x:row>
    <x:row r="452" ht="22" customHeight="1">
      <x:c r="A452" s="11" t="n">
        <x:v>448</x:v>
      </x:c>
      <x:c r="B452" s="11" t="n">
        <x:v>231</x:v>
      </x:c>
      <x:c r="C452" s="18" t="n">
        <x:v>45364</x:v>
      </x:c>
      <x:c r="D452" s="11" t="str">
        <x:v>2024-03</x:v>
      </x:c>
      <x:c r="E452" s="11" t="str">
        <x:v>East</x:v>
      </x:c>
      <x:c r="F452" s="11" t="str">
        <x:v>Furniture</x:v>
      </x:c>
      <x:c r="G452" s="11" t="str">
        <x:v>Chair</x:v>
      </x:c>
      <x:c r="H452" s="11" t="n">
        <x:v>5</x:v>
      </x:c>
      <x:c r="I452" s="19" t="n">
        <x:v>0</x:v>
      </x:c>
      <x:c r="J452" s="11" t="n">
        <x:v>0</x:v>
      </x:c>
      <x:c r="K452" s="20" t="n">
        <x:v>850</x:v>
      </x:c>
      <x:c r="L452" s="20" t="n">
        <x:v>0</x:v>
      </x:c>
      <x:c r="M452" s="20" t="n">
        <x:v>550</x:v>
      </x:c>
      <x:c r="N452" s="20" t="n">
        <x:f>IF(J452=1,0,K452-L452)</x:f>
        <x:v>850</x:v>
      </x:c>
      <x:c r="O452" s="20" t="n">
        <x:f>N452-M452</x:f>
        <x:v>300</x:v>
      </x:c>
    </x:row>
    <x:row r="453" ht="22" customHeight="1">
      <x:c r="A453" s="11" t="n">
        <x:v>449</x:v>
      </x:c>
      <x:c r="B453" s="11" t="n">
        <x:v>232</x:v>
      </x:c>
      <x:c r="C453" s="18" t="n">
        <x:v>45366</x:v>
      </x:c>
      <x:c r="D453" s="11" t="str">
        <x:v>2024-03</x:v>
      </x:c>
      <x:c r="E453" s="11" t="str">
        <x:v>South</x:v>
      </x:c>
      <x:c r="F453" s="11" t="str">
        <x:v>Technology</x:v>
      </x:c>
      <x:c r="G453" s="11" t="str">
        <x:v>Monitor</x:v>
      </x:c>
      <x:c r="H453" s="11" t="n">
        <x:v>2</x:v>
      </x:c>
      <x:c r="I453" s="19" t="n">
        <x:v>0</x:v>
      </x:c>
      <x:c r="J453" s="11" t="n">
        <x:v>0</x:v>
      </x:c>
      <x:c r="K453" s="20" t="n">
        <x:v>480</x:v>
      </x:c>
      <x:c r="L453" s="20" t="n">
        <x:v>0</x:v>
      </x:c>
      <x:c r="M453" s="20" t="n">
        <x:v>320</x:v>
      </x:c>
      <x:c r="N453" s="20" t="n">
        <x:f>IF(J453=1,0,K453-L453)</x:f>
        <x:v>480</x:v>
      </x:c>
      <x:c r="O453" s="20" t="n">
        <x:f>N453-M453</x:f>
        <x:v>160</x:v>
      </x:c>
    </x:row>
    <x:row r="454" ht="22" customHeight="1">
      <x:c r="A454" s="11" t="n">
        <x:v>450</x:v>
      </x:c>
      <x:c r="B454" s="11" t="n">
        <x:v>233</x:v>
      </x:c>
      <x:c r="C454" s="18" t="n">
        <x:v>45699</x:v>
      </x:c>
      <x:c r="D454" s="11" t="str">
        <x:v>2025-02</x:v>
      </x:c>
      <x:c r="E454" s="11" t="str">
        <x:v>East</x:v>
      </x:c>
      <x:c r="F454" s="11" t="str">
        <x:v>Office Supplies</x:v>
      </x:c>
      <x:c r="G454" s="11" t="str">
        <x:v>Storage box</x:v>
      </x:c>
      <x:c r="H454" s="11" t="n">
        <x:v>4</x:v>
      </x:c>
      <x:c r="I454" s="19" t="n">
        <x:v>0.1</x:v>
      </x:c>
      <x:c r="J454" s="11" t="n">
        <x:v>0</x:v>
      </x:c>
      <x:c r="K454" s="20" t="n">
        <x:v>104</x:v>
      </x:c>
      <x:c r="L454" s="20" t="n">
        <x:v>10.4</x:v>
      </x:c>
      <x:c r="M454" s="20" t="n">
        <x:v>48</x:v>
      </x:c>
      <x:c r="N454" s="20" t="n">
        <x:f>IF(J454=1,0,K454-L454)</x:f>
        <x:v>93.6</x:v>
      </x:c>
      <x:c r="O454" s="20" t="n">
        <x:f>N454-M454</x:f>
        <x:v>45.599999999999994</x:v>
      </x:c>
    </x:row>
    <x:row r="455" ht="22" customHeight="1">
      <x:c r="A455" s="11" t="n">
        <x:v>451</x:v>
      </x:c>
      <x:c r="B455" s="11" t="n">
        <x:v>233</x:v>
      </x:c>
      <x:c r="C455" s="18" t="n">
        <x:v>45699</x:v>
      </x:c>
      <x:c r="D455" s="11" t="str">
        <x:v>2025-02</x:v>
      </x:c>
      <x:c r="E455" s="11" t="str">
        <x:v>East</x:v>
      </x:c>
      <x:c r="F455" s="11" t="str">
        <x:v>Office Supplies</x:v>
      </x:c>
      <x:c r="G455" s="11" t="str">
        <x:v>Notebook pack</x:v>
      </x:c>
      <x:c r="H455" s="11" t="n">
        <x:v>5</x:v>
      </x:c>
      <x:c r="I455" s="19" t="n">
        <x:v>0.15</x:v>
      </x:c>
      <x:c r="J455" s="11" t="n">
        <x:v>0</x:v>
      </x:c>
      <x:c r="K455" s="20" t="n">
        <x:v>90</x:v>
      </x:c>
      <x:c r="L455" s="20" t="n">
        <x:v>13.5</x:v>
      </x:c>
      <x:c r="M455" s="20" t="n">
        <x:v>35</x:v>
      </x:c>
      <x:c r="N455" s="20" t="n">
        <x:f>IF(J455=1,0,K455-L455)</x:f>
        <x:v>76.5</x:v>
      </x:c>
      <x:c r="O455" s="20" t="n">
        <x:f>N455-M455</x:f>
        <x:v>41.5</x:v>
      </x:c>
    </x:row>
    <x:row r="456" ht="22" customHeight="1">
      <x:c r="A456" s="11" t="n">
        <x:v>452</x:v>
      </x:c>
      <x:c r="B456" s="11" t="n">
        <x:v>233</x:v>
      </x:c>
      <x:c r="C456" s="18" t="n">
        <x:v>45699</x:v>
      </x:c>
      <x:c r="D456" s="11" t="str">
        <x:v>2025-02</x:v>
      </x:c>
      <x:c r="E456" s="11" t="str">
        <x:v>East</x:v>
      </x:c>
      <x:c r="F456" s="11" t="str">
        <x:v>Technology</x:v>
      </x:c>
      <x:c r="G456" s="11" t="str">
        <x:v>Keyboard</x:v>
      </x:c>
      <x:c r="H456" s="11" t="n">
        <x:v>3</x:v>
      </x:c>
      <x:c r="I456" s="19" t="n">
        <x:v>0</x:v>
      </x:c>
      <x:c r="J456" s="11" t="n">
        <x:v>0</x:v>
      </x:c>
      <x:c r="K456" s="20" t="n">
        <x:v>195</x:v>
      </x:c>
      <x:c r="L456" s="20" t="n">
        <x:v>0</x:v>
      </x:c>
      <x:c r="M456" s="20" t="n">
        <x:v>96</x:v>
      </x:c>
      <x:c r="N456" s="20" t="n">
        <x:f>IF(J456=1,0,K456-L456)</x:f>
        <x:v>195</x:v>
      </x:c>
      <x:c r="O456" s="20" t="n">
        <x:f>N456-M456</x:f>
        <x:v>99</x:v>
      </x:c>
    </x:row>
    <x:row r="457" ht="22" customHeight="1">
      <x:c r="A457" s="11" t="n">
        <x:v>453</x:v>
      </x:c>
      <x:c r="B457" s="11" t="n">
        <x:v>234</x:v>
      </x:c>
      <x:c r="C457" s="18" t="n">
        <x:v>45815</x:v>
      </x:c>
      <x:c r="D457" s="11" t="str">
        <x:v>2025-06</x:v>
      </x:c>
      <x:c r="E457" s="11" t="str">
        <x:v>East</x:v>
      </x:c>
      <x:c r="F457" s="11" t="str">
        <x:v>Technology</x:v>
      </x:c>
      <x:c r="G457" s="11" t="str">
        <x:v>Monitor</x:v>
      </x:c>
      <x:c r="H457" s="11" t="n">
        <x:v>3</x:v>
      </x:c>
      <x:c r="I457" s="19" t="n">
        <x:v>0.1</x:v>
      </x:c>
      <x:c r="J457" s="11" t="n">
        <x:v>0</x:v>
      </x:c>
      <x:c r="K457" s="20" t="n">
        <x:v>720</x:v>
      </x:c>
      <x:c r="L457" s="20" t="n">
        <x:v>72</x:v>
      </x:c>
      <x:c r="M457" s="20" t="n">
        <x:v>480</x:v>
      </x:c>
      <x:c r="N457" s="20" t="n">
        <x:f>IF(J457=1,0,K457-L457)</x:f>
        <x:v>648</x:v>
      </x:c>
      <x:c r="O457" s="20" t="n">
        <x:f>N457-M457</x:f>
        <x:v>168</x:v>
      </x:c>
    </x:row>
    <x:row r="458" ht="22" customHeight="1">
      <x:c r="A458" s="11" t="n">
        <x:v>454</x:v>
      </x:c>
      <x:c r="B458" s="11" t="n">
        <x:v>234</x:v>
      </x:c>
      <x:c r="C458" s="18" t="n">
        <x:v>45815</x:v>
      </x:c>
      <x:c r="D458" s="11" t="str">
        <x:v>2025-06</x:v>
      </x:c>
      <x:c r="E458" s="11" t="str">
        <x:v>East</x:v>
      </x:c>
      <x:c r="F458" s="11" t="str">
        <x:v>Technology</x:v>
      </x:c>
      <x:c r="G458" s="11" t="str">
        <x:v>Keyboard</x:v>
      </x:c>
      <x:c r="H458" s="11" t="n">
        <x:v>2</x:v>
      </x:c>
      <x:c r="I458" s="19" t="n">
        <x:v>0</x:v>
      </x:c>
      <x:c r="J458" s="11" t="n">
        <x:v>0</x:v>
      </x:c>
      <x:c r="K458" s="20" t="n">
        <x:v>130</x:v>
      </x:c>
      <x:c r="L458" s="20" t="n">
        <x:v>0</x:v>
      </x:c>
      <x:c r="M458" s="20" t="n">
        <x:v>64</x:v>
      </x:c>
      <x:c r="N458" s="20" t="n">
        <x:f>IF(J458=1,0,K458-L458)</x:f>
        <x:v>130</x:v>
      </x:c>
      <x:c r="O458" s="20" t="n">
        <x:f>N458-M458</x:f>
        <x:v>66</x:v>
      </x:c>
    </x:row>
    <x:row r="459" ht="22" customHeight="1">
      <x:c r="A459" s="11" t="n">
        <x:v>455</x:v>
      </x:c>
      <x:c r="B459" s="11" t="n">
        <x:v>234</x:v>
      </x:c>
      <x:c r="C459" s="18" t="n">
        <x:v>45815</x:v>
      </x:c>
      <x:c r="D459" s="11" t="str">
        <x:v>2025-06</x:v>
      </x:c>
      <x:c r="E459" s="11" t="str">
        <x:v>East</x:v>
      </x:c>
      <x:c r="F459" s="11" t="str">
        <x:v>Furniture</x:v>
      </x:c>
      <x:c r="G459" s="11" t="str">
        <x:v>Desk</x:v>
      </x:c>
      <x:c r="H459" s="11" t="n">
        <x:v>4</x:v>
      </x:c>
      <x:c r="I459" s="19" t="n">
        <x:v>0</x:v>
      </x:c>
      <x:c r="J459" s="11" t="n">
        <x:v>0</x:v>
      </x:c>
      <x:c r="K459" s="20" t="n">
        <x:v>1120</x:v>
      </x:c>
      <x:c r="L459" s="20" t="n">
        <x:v>0</x:v>
      </x:c>
      <x:c r="M459" s="20" t="n">
        <x:v>760</x:v>
      </x:c>
      <x:c r="N459" s="20" t="n">
        <x:f>IF(J459=1,0,K459-L459)</x:f>
        <x:v>1120</x:v>
      </x:c>
      <x:c r="O459" s="20" t="n">
        <x:f>N459-M459</x:f>
        <x:v>360</x:v>
      </x:c>
    </x:row>
    <x:row r="460" ht="22" customHeight="1">
      <x:c r="A460" s="11" t="n">
        <x:v>456</x:v>
      </x:c>
      <x:c r="B460" s="11" t="n">
        <x:v>235</x:v>
      </x:c>
      <x:c r="C460" s="18" t="n">
        <x:v>45915</x:v>
      </x:c>
      <x:c r="D460" s="11" t="str">
        <x:v>2025-09</x:v>
      </x:c>
      <x:c r="E460" s="11" t="str">
        <x:v>East</x:v>
      </x:c>
      <x:c r="F460" s="11" t="str">
        <x:v>Office Supplies</x:v>
      </x:c>
      <x:c r="G460" s="11" t="str">
        <x:v>Storage box</x:v>
      </x:c>
      <x:c r="H460" s="11" t="n">
        <x:v>1</x:v>
      </x:c>
      <x:c r="I460" s="19" t="n">
        <x:v>0</x:v>
      </x:c>
      <x:c r="J460" s="11" t="n">
        <x:v>0</x:v>
      </x:c>
      <x:c r="K460" s="20" t="n">
        <x:v>26</x:v>
      </x:c>
      <x:c r="L460" s="20" t="n">
        <x:v>0</x:v>
      </x:c>
      <x:c r="M460" s="20" t="n">
        <x:v>12</x:v>
      </x:c>
      <x:c r="N460" s="20" t="n">
        <x:f>IF(J460=1,0,K460-L460)</x:f>
        <x:v>26</x:v>
      </x:c>
      <x:c r="O460" s="20" t="n">
        <x:f>N460-M460</x:f>
        <x:v>14</x:v>
      </x:c>
    </x:row>
    <x:row r="461" ht="22" customHeight="1">
      <x:c r="A461" s="11" t="n">
        <x:v>457</x:v>
      </x:c>
      <x:c r="B461" s="11" t="n">
        <x:v>235</x:v>
      </x:c>
      <x:c r="C461" s="18" t="n">
        <x:v>45915</x:v>
      </x:c>
      <x:c r="D461" s="11" t="str">
        <x:v>2025-09</x:v>
      </x:c>
      <x:c r="E461" s="11" t="str">
        <x:v>East</x:v>
      </x:c>
      <x:c r="F461" s="11" t="str">
        <x:v>Furniture</x:v>
      </x:c>
      <x:c r="G461" s="11" t="str">
        <x:v>Chair</x:v>
      </x:c>
      <x:c r="H461" s="11" t="n">
        <x:v>2</x:v>
      </x:c>
      <x:c r="I461" s="19" t="n">
        <x:v>0.35</x:v>
      </x:c>
      <x:c r="J461" s="11" t="n">
        <x:v>0</x:v>
      </x:c>
      <x:c r="K461" s="20" t="n">
        <x:v>340</x:v>
      </x:c>
      <x:c r="L461" s="20" t="n">
        <x:v>119</x:v>
      </x:c>
      <x:c r="M461" s="20" t="n">
        <x:v>220</x:v>
      </x:c>
      <x:c r="N461" s="20" t="n">
        <x:f>IF(J461=1,0,K461-L461)</x:f>
        <x:v>221</x:v>
      </x:c>
      <x:c r="O461" s="20" t="n">
        <x:f>N461-M461</x:f>
        <x:v>1</x:v>
      </x:c>
    </x:row>
    <x:row r="462" ht="22" customHeight="1">
      <x:c r="A462" s="11" t="n">
        <x:v>458</x:v>
      </x:c>
      <x:c r="B462" s="11" t="n">
        <x:v>235</x:v>
      </x:c>
      <x:c r="C462" s="18" t="n">
        <x:v>45915</x:v>
      </x:c>
      <x:c r="D462" s="11" t="str">
        <x:v>2025-09</x:v>
      </x:c>
      <x:c r="E462" s="11" t="str">
        <x:v>East</x:v>
      </x:c>
      <x:c r="F462" s="11" t="str">
        <x:v>Furniture</x:v>
      </x:c>
      <x:c r="G462" s="11" t="str">
        <x:v>Desk</x:v>
      </x:c>
      <x:c r="H462" s="11" t="n">
        <x:v>5</x:v>
      </x:c>
      <x:c r="I462" s="19" t="n">
        <x:v>0.1</x:v>
      </x:c>
      <x:c r="J462" s="11" t="n">
        <x:v>0</x:v>
      </x:c>
      <x:c r="K462" s="20" t="n">
        <x:v>1400</x:v>
      </x:c>
      <x:c r="L462" s="20" t="n">
        <x:v>140</x:v>
      </x:c>
      <x:c r="M462" s="20" t="n">
        <x:v>950</x:v>
      </x:c>
      <x:c r="N462" s="20" t="n">
        <x:f>IF(J462=1,0,K462-L462)</x:f>
        <x:v>1260</x:v>
      </x:c>
      <x:c r="O462" s="20" t="n">
        <x:f>N462-M462</x:f>
        <x:v>310</x:v>
      </x:c>
    </x:row>
    <x:row r="463" ht="22" customHeight="1">
      <x:c r="A463" s="11" t="n">
        <x:v>459</x:v>
      </x:c>
      <x:c r="B463" s="11" t="n">
        <x:v>236</x:v>
      </x:c>
      <x:c r="C463" s="18" t="n">
        <x:v>45421</x:v>
      </x:c>
      <x:c r="D463" s="11" t="str">
        <x:v>2024-05</x:v>
      </x:c>
      <x:c r="E463" s="11" t="str">
        <x:v>West</x:v>
      </x:c>
      <x:c r="F463" s="11" t="str">
        <x:v>Furniture</x:v>
      </x:c>
      <x:c r="G463" s="11" t="str">
        <x:v>Desk</x:v>
      </x:c>
      <x:c r="H463" s="11" t="n">
        <x:v>4</x:v>
      </x:c>
      <x:c r="I463" s="19" t="n">
        <x:v>0.1</x:v>
      </x:c>
      <x:c r="J463" s="11" t="n">
        <x:v>0</x:v>
      </x:c>
      <x:c r="K463" s="20" t="n">
        <x:v>1120</x:v>
      </x:c>
      <x:c r="L463" s="20" t="n">
        <x:v>112</x:v>
      </x:c>
      <x:c r="M463" s="20" t="n">
        <x:v>760</x:v>
      </x:c>
      <x:c r="N463" s="20" t="n">
        <x:f>IF(J463=1,0,K463-L463)</x:f>
        <x:v>1008</x:v>
      </x:c>
      <x:c r="O463" s="20" t="n">
        <x:f>N463-M463</x:f>
        <x:v>248</x:v>
      </x:c>
    </x:row>
    <x:row r="464" ht="22" customHeight="1">
      <x:c r="A464" s="11" t="n">
        <x:v>460</x:v>
      </x:c>
      <x:c r="B464" s="11" t="n">
        <x:v>236</x:v>
      </x:c>
      <x:c r="C464" s="18" t="n">
        <x:v>45421</x:v>
      </x:c>
      <x:c r="D464" s="11" t="str">
        <x:v>2024-05</x:v>
      </x:c>
      <x:c r="E464" s="11" t="str">
        <x:v>West</x:v>
      </x:c>
      <x:c r="F464" s="11" t="str">
        <x:v>Office Supplies</x:v>
      </x:c>
      <x:c r="G464" s="11" t="str">
        <x:v>Storage box</x:v>
      </x:c>
      <x:c r="H464" s="11" t="n">
        <x:v>3</x:v>
      </x:c>
      <x:c r="I464" s="19" t="n">
        <x:v>0.15</x:v>
      </x:c>
      <x:c r="J464" s="11" t="n">
        <x:v>0</x:v>
      </x:c>
      <x:c r="K464" s="20" t="n">
        <x:v>78</x:v>
      </x:c>
      <x:c r="L464" s="20" t="n">
        <x:v>11.7</x:v>
      </x:c>
      <x:c r="M464" s="20" t="n">
        <x:v>36</x:v>
      </x:c>
      <x:c r="N464" s="20" t="n">
        <x:f>IF(J464=1,0,K464-L464)</x:f>
        <x:v>66.3</x:v>
      </x:c>
      <x:c r="O464" s="20" t="n">
        <x:f>N464-M464</x:f>
        <x:v>30.299999999999997</x:v>
      </x:c>
    </x:row>
    <x:row r="465" ht="22" customHeight="1">
      <x:c r="A465" s="11" t="n">
        <x:v>461</x:v>
      </x:c>
      <x:c r="B465" s="11" t="n">
        <x:v>236</x:v>
      </x:c>
      <x:c r="C465" s="18" t="n">
        <x:v>45421</x:v>
      </x:c>
      <x:c r="D465" s="11" t="str">
        <x:v>2024-05</x:v>
      </x:c>
      <x:c r="E465" s="11" t="str">
        <x:v>West</x:v>
      </x:c>
      <x:c r="F465" s="11" t="str">
        <x:v>Technology</x:v>
      </x:c>
      <x:c r="G465" s="11" t="str">
        <x:v>Monitor</x:v>
      </x:c>
      <x:c r="H465" s="11" t="n">
        <x:v>4</x:v>
      </x:c>
      <x:c r="I465" s="19" t="n">
        <x:v>0.1</x:v>
      </x:c>
      <x:c r="J465" s="11" t="n">
        <x:v>0</x:v>
      </x:c>
      <x:c r="K465" s="20" t="n">
        <x:v>960</x:v>
      </x:c>
      <x:c r="L465" s="20" t="n">
        <x:v>96</x:v>
      </x:c>
      <x:c r="M465" s="20" t="n">
        <x:v>640</x:v>
      </x:c>
      <x:c r="N465" s="20" t="n">
        <x:f>IF(J465=1,0,K465-L465)</x:f>
        <x:v>864</x:v>
      </x:c>
      <x:c r="O465" s="20" t="n">
        <x:f>N465-M465</x:f>
        <x:v>224</x:v>
      </x:c>
    </x:row>
    <x:row r="466" ht="22" customHeight="1">
      <x:c r="A466" s="11" t="n">
        <x:v>462</x:v>
      </x:c>
      <x:c r="B466" s="11" t="n">
        <x:v>237</x:v>
      </x:c>
      <x:c r="C466" s="18" t="n">
        <x:v>45348</x:v>
      </x:c>
      <x:c r="D466" s="11" t="str">
        <x:v>2024-02</x:v>
      </x:c>
      <x:c r="E466" s="11" t="str">
        <x:v>East</x:v>
      </x:c>
      <x:c r="F466" s="11" t="str">
        <x:v>Furniture</x:v>
      </x:c>
      <x:c r="G466" s="11" t="str">
        <x:v>Chair</x:v>
      </x:c>
      <x:c r="H466" s="11" t="n">
        <x:v>1</x:v>
      </x:c>
      <x:c r="I466" s="19" t="n">
        <x:v>0</x:v>
      </x:c>
      <x:c r="J466" s="11" t="n">
        <x:v>0</x:v>
      </x:c>
      <x:c r="K466" s="20" t="n">
        <x:v>170</x:v>
      </x:c>
      <x:c r="L466" s="20" t="n">
        <x:v>0</x:v>
      </x:c>
      <x:c r="M466" s="20" t="n">
        <x:v>110</x:v>
      </x:c>
      <x:c r="N466" s="20" t="n">
        <x:f>IF(J466=1,0,K466-L466)</x:f>
        <x:v>170</x:v>
      </x:c>
      <x:c r="O466" s="20" t="n">
        <x:f>N466-M466</x:f>
        <x:v>60</x:v>
      </x:c>
    </x:row>
    <x:row r="467" ht="22" customHeight="1">
      <x:c r="A467" s="11" t="n">
        <x:v>463</x:v>
      </x:c>
      <x:c r="B467" s="11" t="n">
        <x:v>237</x:v>
      </x:c>
      <x:c r="C467" s="18" t="n">
        <x:v>45348</x:v>
      </x:c>
      <x:c r="D467" s="11" t="str">
        <x:v>2024-02</x:v>
      </x:c>
      <x:c r="E467" s="11" t="str">
        <x:v>East</x:v>
      </x:c>
      <x:c r="F467" s="11" t="str">
        <x:v>Technology</x:v>
      </x:c>
      <x:c r="G467" s="11" t="str">
        <x:v>Monitor</x:v>
      </x:c>
      <x:c r="H467" s="11" t="n">
        <x:v>5</x:v>
      </x:c>
      <x:c r="I467" s="19" t="n">
        <x:v>0</x:v>
      </x:c>
      <x:c r="J467" s="11" t="n">
        <x:v>1</x:v>
      </x:c>
      <x:c r="K467" s="20" t="n">
        <x:v>1200</x:v>
      </x:c>
      <x:c r="L467" s="20" t="n">
        <x:v>0</x:v>
      </x:c>
      <x:c r="M467" s="20" t="n">
        <x:v>0</x:v>
      </x:c>
      <x:c r="N467" s="20" t="n">
        <x:f>IF(J467=1,0,K467-L467)</x:f>
        <x:v>0</x:v>
      </x:c>
      <x:c r="O467" s="20" t="n">
        <x:f>N467-M467</x:f>
        <x:v>0</x:v>
      </x:c>
    </x:row>
    <x:row r="468" ht="22" customHeight="1">
      <x:c r="A468" s="11" t="n">
        <x:v>464</x:v>
      </x:c>
      <x:c r="B468" s="11" t="n">
        <x:v>238</x:v>
      </x:c>
      <x:c r="C468" s="18" t="n">
        <x:v>45304</x:v>
      </x:c>
      <x:c r="D468" s="11" t="str">
        <x:v>2024-01</x:v>
      </x:c>
      <x:c r="E468" s="11" t="str">
        <x:v>East</x:v>
      </x:c>
      <x:c r="F468" s="11" t="str">
        <x:v>Technology</x:v>
      </x:c>
      <x:c r="G468" s="11" t="str">
        <x:v>Monitor</x:v>
      </x:c>
      <x:c r="H468" s="11" t="n">
        <x:v>2</x:v>
      </x:c>
      <x:c r="I468" s="19" t="n">
        <x:v>0</x:v>
      </x:c>
      <x:c r="J468" s="11" t="n">
        <x:v>0</x:v>
      </x:c>
      <x:c r="K468" s="20" t="n">
        <x:v>480</x:v>
      </x:c>
      <x:c r="L468" s="20" t="n">
        <x:v>0</x:v>
      </x:c>
      <x:c r="M468" s="20" t="n">
        <x:v>320</x:v>
      </x:c>
      <x:c r="N468" s="20" t="n">
        <x:f>IF(J468=1,0,K468-L468)</x:f>
        <x:v>480</x:v>
      </x:c>
      <x:c r="O468" s="20" t="n">
        <x:f>N468-M468</x:f>
        <x:v>160</x:v>
      </x:c>
    </x:row>
    <x:row r="469" ht="22" customHeight="1">
      <x:c r="A469" s="11" t="n">
        <x:v>465</x:v>
      </x:c>
      <x:c r="B469" s="11" t="n">
        <x:v>238</x:v>
      </x:c>
      <x:c r="C469" s="18" t="n">
        <x:v>45304</x:v>
      </x:c>
      <x:c r="D469" s="11" t="str">
        <x:v>2024-01</x:v>
      </x:c>
      <x:c r="E469" s="11" t="str">
        <x:v>East</x:v>
      </x:c>
      <x:c r="F469" s="11" t="str">
        <x:v>Technology</x:v>
      </x:c>
      <x:c r="G469" s="11" t="str">
        <x:v>Keyboard</x:v>
      </x:c>
      <x:c r="H469" s="11" t="n">
        <x:v>1</x:v>
      </x:c>
      <x:c r="I469" s="19" t="n">
        <x:v>0.15</x:v>
      </x:c>
      <x:c r="J469" s="11" t="n">
        <x:v>0</x:v>
      </x:c>
      <x:c r="K469" s="20" t="n">
        <x:v>65</x:v>
      </x:c>
      <x:c r="L469" s="20" t="n">
        <x:v>9.75</x:v>
      </x:c>
      <x:c r="M469" s="20" t="n">
        <x:v>32</x:v>
      </x:c>
      <x:c r="N469" s="20" t="n">
        <x:f>IF(J469=1,0,K469-L469)</x:f>
        <x:v>55.25</x:v>
      </x:c>
      <x:c r="O469" s="20" t="n">
        <x:f>N469-M469</x:f>
        <x:v>23.25</x:v>
      </x:c>
    </x:row>
    <x:row r="470" ht="22" customHeight="1">
      <x:c r="A470" s="11" t="n">
        <x:v>466</x:v>
      </x:c>
      <x:c r="B470" s="11" t="n">
        <x:v>239</x:v>
      </x:c>
      <x:c r="C470" s="18" t="n">
        <x:v>45963</x:v>
      </x:c>
      <x:c r="D470" s="11" t="str">
        <x:v>2025-11</x:v>
      </x:c>
      <x:c r="E470" s="11" t="str">
        <x:v>South</x:v>
      </x:c>
      <x:c r="F470" s="11" t="str">
        <x:v>Furniture</x:v>
      </x:c>
      <x:c r="G470" s="11" t="str">
        <x:v>Chair</x:v>
      </x:c>
      <x:c r="H470" s="11" t="n">
        <x:v>3</x:v>
      </x:c>
      <x:c r="I470" s="19" t="n">
        <x:v>0.1</x:v>
      </x:c>
      <x:c r="J470" s="11" t="n">
        <x:v>0</x:v>
      </x:c>
      <x:c r="K470" s="20" t="n">
        <x:v>510</x:v>
      </x:c>
      <x:c r="L470" s="20" t="n">
        <x:v>51</x:v>
      </x:c>
      <x:c r="M470" s="20" t="n">
        <x:v>330</x:v>
      </x:c>
      <x:c r="N470" s="20" t="n">
        <x:f>IF(J470=1,0,K470-L470)</x:f>
        <x:v>459</x:v>
      </x:c>
      <x:c r="O470" s="20" t="n">
        <x:f>N470-M470</x:f>
        <x:v>129</x:v>
      </x:c>
    </x:row>
    <x:row r="471" ht="22" customHeight="1">
      <x:c r="A471" s="11" t="n">
        <x:v>467</x:v>
      </x:c>
      <x:c r="B471" s="11" t="n">
        <x:v>239</x:v>
      </x:c>
      <x:c r="C471" s="18" t="n">
        <x:v>45963</x:v>
      </x:c>
      <x:c r="D471" s="11" t="str">
        <x:v>2025-11</x:v>
      </x:c>
      <x:c r="E471" s="11" t="str">
        <x:v>South</x:v>
      </x:c>
      <x:c r="F471" s="11" t="str">
        <x:v>Technology</x:v>
      </x:c>
      <x:c r="G471" s="11" t="str">
        <x:v>Keyboard</x:v>
      </x:c>
      <x:c r="H471" s="11" t="n">
        <x:v>5</x:v>
      </x:c>
      <x:c r="I471" s="19" t="n">
        <x:v>0.05</x:v>
      </x:c>
      <x:c r="J471" s="11" t="n">
        <x:v>0</x:v>
      </x:c>
      <x:c r="K471" s="20" t="n">
        <x:v>325</x:v>
      </x:c>
      <x:c r="L471" s="20" t="n">
        <x:v>16.25</x:v>
      </x:c>
      <x:c r="M471" s="20" t="n">
        <x:v>160</x:v>
      </x:c>
      <x:c r="N471" s="20" t="n">
        <x:f>IF(J471=1,0,K471-L471)</x:f>
        <x:v>308.75</x:v>
      </x:c>
      <x:c r="O471" s="20" t="n">
        <x:f>N471-M471</x:f>
        <x:v>148.75</x:v>
      </x:c>
    </x:row>
    <x:row r="472" ht="22" customHeight="1">
      <x:c r="A472" s="11" t="n">
        <x:v>468</x:v>
      </x:c>
      <x:c r="B472" s="11" t="n">
        <x:v>240</x:v>
      </x:c>
      <x:c r="C472" s="18" t="n">
        <x:v>45981</x:v>
      </x:c>
      <x:c r="D472" s="11" t="str">
        <x:v>2025-11</x:v>
      </x:c>
      <x:c r="E472" s="11" t="str">
        <x:v>West</x:v>
      </x:c>
      <x:c r="F472" s="11" t="str">
        <x:v>Office Supplies</x:v>
      </x:c>
      <x:c r="G472" s="11" t="str">
        <x:v>Notebook pack</x:v>
      </x:c>
      <x:c r="H472" s="11" t="n">
        <x:v>1</x:v>
      </x:c>
      <x:c r="I472" s="19" t="n">
        <x:v>0.1</x:v>
      </x:c>
      <x:c r="J472" s="11" t="n">
        <x:v>0</x:v>
      </x:c>
      <x:c r="K472" s="20" t="n">
        <x:v>18</x:v>
      </x:c>
      <x:c r="L472" s="20" t="n">
        <x:v>1.8</x:v>
      </x:c>
      <x:c r="M472" s="20" t="n">
        <x:v>7</x:v>
      </x:c>
      <x:c r="N472" s="20" t="n">
        <x:f>IF(J472=1,0,K472-L472)</x:f>
        <x:v>16.2</x:v>
      </x:c>
      <x:c r="O472" s="20" t="n">
        <x:f>N472-M472</x:f>
        <x:v>9.2</x:v>
      </x:c>
    </x:row>
    <x:row r="473" ht="22" customHeight="1">
      <x:c r="A473" s="11" t="n">
        <x:v>469</x:v>
      </x:c>
      <x:c r="B473" s="11" t="n">
        <x:v>241</x:v>
      </x:c>
      <x:c r="C473" s="18" t="n">
        <x:v>45768</x:v>
      </x:c>
      <x:c r="D473" s="11" t="str">
        <x:v>2025-04</x:v>
      </x:c>
      <x:c r="E473" s="11" t="str">
        <x:v>South</x:v>
      </x:c>
      <x:c r="F473" s="11" t="str">
        <x:v>Furniture</x:v>
      </x:c>
      <x:c r="G473" s="11" t="str">
        <x:v>Desk</x:v>
      </x:c>
      <x:c r="H473" s="11" t="n">
        <x:v>4</x:v>
      </x:c>
      <x:c r="I473" s="19" t="n">
        <x:v>0</x:v>
      </x:c>
      <x:c r="J473" s="11" t="n">
        <x:v>0</x:v>
      </x:c>
      <x:c r="K473" s="20" t="n">
        <x:v>1120</x:v>
      </x:c>
      <x:c r="L473" s="20" t="n">
        <x:v>0</x:v>
      </x:c>
      <x:c r="M473" s="20" t="n">
        <x:v>760</x:v>
      </x:c>
      <x:c r="N473" s="20" t="n">
        <x:f>IF(J473=1,0,K473-L473)</x:f>
        <x:v>1120</x:v>
      </x:c>
      <x:c r="O473" s="20" t="n">
        <x:f>N473-M473</x:f>
        <x:v>360</x:v>
      </x:c>
    </x:row>
    <x:row r="474" ht="22" customHeight="1">
      <x:c r="A474" s="11" t="n">
        <x:v>470</x:v>
      </x:c>
      <x:c r="B474" s="11" t="n">
        <x:v>241</x:v>
      </x:c>
      <x:c r="C474" s="18" t="n">
        <x:v>45768</x:v>
      </x:c>
      <x:c r="D474" s="11" t="str">
        <x:v>2025-04</x:v>
      </x:c>
      <x:c r="E474" s="11" t="str">
        <x:v>South</x:v>
      </x:c>
      <x:c r="F474" s="11" t="str">
        <x:v>Office Supplies</x:v>
      </x:c>
      <x:c r="G474" s="11" t="str">
        <x:v>Notebook pack</x:v>
      </x:c>
      <x:c r="H474" s="11" t="n">
        <x:v>3</x:v>
      </x:c>
      <x:c r="I474" s="19" t="n">
        <x:v>0.15</x:v>
      </x:c>
      <x:c r="J474" s="11" t="n">
        <x:v>0</x:v>
      </x:c>
      <x:c r="K474" s="20" t="n">
        <x:v>54</x:v>
      </x:c>
      <x:c r="L474" s="20" t="n">
        <x:v>8.1</x:v>
      </x:c>
      <x:c r="M474" s="20" t="n">
        <x:v>21</x:v>
      </x:c>
      <x:c r="N474" s="20" t="n">
        <x:f>IF(J474=1,0,K474-L474)</x:f>
        <x:v>45.9</x:v>
      </x:c>
      <x:c r="O474" s="20" t="n">
        <x:f>N474-M474</x:f>
        <x:v>24.9</x:v>
      </x:c>
    </x:row>
    <x:row r="475" ht="22" customHeight="1">
      <x:c r="A475" s="11" t="n">
        <x:v>471</x:v>
      </x:c>
      <x:c r="B475" s="11" t="n">
        <x:v>242</x:v>
      </x:c>
      <x:c r="C475" s="18" t="n">
        <x:v>45929</x:v>
      </x:c>
      <x:c r="D475" s="11" t="str">
        <x:v>2025-09</x:v>
      </x:c>
      <x:c r="E475" s="11" t="str">
        <x:v>East</x:v>
      </x:c>
      <x:c r="F475" s="11" t="str">
        <x:v>Office Supplies</x:v>
      </x:c>
      <x:c r="G475" s="11" t="str">
        <x:v>Notebook pack</x:v>
      </x:c>
      <x:c r="H475" s="11" t="n">
        <x:v>2</x:v>
      </x:c>
      <x:c r="I475" s="19" t="n">
        <x:v>0.15</x:v>
      </x:c>
      <x:c r="J475" s="11" t="n">
        <x:v>0</x:v>
      </x:c>
      <x:c r="K475" s="20" t="n">
        <x:v>36</x:v>
      </x:c>
      <x:c r="L475" s="20" t="n">
        <x:v>5.4</x:v>
      </x:c>
      <x:c r="M475" s="20" t="n">
        <x:v>14</x:v>
      </x:c>
      <x:c r="N475" s="20" t="n">
        <x:f>IF(J475=1,0,K475-L475)</x:f>
        <x:v>30.6</x:v>
      </x:c>
      <x:c r="O475" s="20" t="n">
        <x:f>N475-M475</x:f>
        <x:v>16.6</x:v>
      </x:c>
    </x:row>
    <x:row r="476" ht="22" customHeight="1">
      <x:c r="A476" s="11" t="n">
        <x:v>472</x:v>
      </x:c>
      <x:c r="B476" s="11" t="n">
        <x:v>242</x:v>
      </x:c>
      <x:c r="C476" s="18" t="n">
        <x:v>45929</x:v>
      </x:c>
      <x:c r="D476" s="11" t="str">
        <x:v>2025-09</x:v>
      </x:c>
      <x:c r="E476" s="11" t="str">
        <x:v>East</x:v>
      </x:c>
      <x:c r="F476" s="11" t="str">
        <x:v>Technology</x:v>
      </x:c>
      <x:c r="G476" s="11" t="str">
        <x:v>Keyboard</x:v>
      </x:c>
      <x:c r="H476" s="11" t="n">
        <x:v>2</x:v>
      </x:c>
      <x:c r="I476" s="19" t="n">
        <x:v>0</x:v>
      </x:c>
      <x:c r="J476" s="11" t="n">
        <x:v>1</x:v>
      </x:c>
      <x:c r="K476" s="20" t="n">
        <x:v>130</x:v>
      </x:c>
      <x:c r="L476" s="20" t="n">
        <x:v>0</x:v>
      </x:c>
      <x:c r="M476" s="20" t="n">
        <x:v>0</x:v>
      </x:c>
      <x:c r="N476" s="20" t="n">
        <x:f>IF(J476=1,0,K476-L476)</x:f>
        <x:v>0</x:v>
      </x:c>
      <x:c r="O476" s="20" t="n">
        <x:f>N476-M476</x:f>
        <x:v>0</x:v>
      </x:c>
    </x:row>
    <x:row r="477" ht="22" customHeight="1">
      <x:c r="A477" s="11" t="n">
        <x:v>473</x:v>
      </x:c>
      <x:c r="B477" s="11" t="n">
        <x:v>243</x:v>
      </x:c>
      <x:c r="C477" s="18" t="n">
        <x:v>45711</x:v>
      </x:c>
      <x:c r="D477" s="11" t="str">
        <x:v>2025-02</x:v>
      </x:c>
      <x:c r="E477" s="11" t="str">
        <x:v>West</x:v>
      </x:c>
      <x:c r="F477" s="11" t="str">
        <x:v>Technology</x:v>
      </x:c>
      <x:c r="G477" s="11" t="str">
        <x:v>Monitor</x:v>
      </x:c>
      <x:c r="H477" s="11" t="n">
        <x:v>1</x:v>
      </x:c>
      <x:c r="I477" s="19" t="n">
        <x:v>0.1</x:v>
      </x:c>
      <x:c r="J477" s="11" t="n">
        <x:v>0</x:v>
      </x:c>
      <x:c r="K477" s="20" t="n">
        <x:v>240</x:v>
      </x:c>
      <x:c r="L477" s="20" t="n">
        <x:v>24</x:v>
      </x:c>
      <x:c r="M477" s="20" t="n">
        <x:v>160</x:v>
      </x:c>
      <x:c r="N477" s="20" t="n">
        <x:f>IF(J477=1,0,K477-L477)</x:f>
        <x:v>216</x:v>
      </x:c>
      <x:c r="O477" s="20" t="n">
        <x:f>N477-M477</x:f>
        <x:v>56</x:v>
      </x:c>
    </x:row>
    <x:row r="478" ht="22" customHeight="1">
      <x:c r="A478" s="11" t="n">
        <x:v>474</x:v>
      </x:c>
      <x:c r="B478" s="11" t="n">
        <x:v>243</x:v>
      </x:c>
      <x:c r="C478" s="18" t="n">
        <x:v>45711</x:v>
      </x:c>
      <x:c r="D478" s="11" t="str">
        <x:v>2025-02</x:v>
      </x:c>
      <x:c r="E478" s="11" t="str">
        <x:v>West</x:v>
      </x:c>
      <x:c r="F478" s="11" t="str">
        <x:v>Furniture</x:v>
      </x:c>
      <x:c r="G478" s="11" t="str">
        <x:v>Desk</x:v>
      </x:c>
      <x:c r="H478" s="11" t="n">
        <x:v>3</x:v>
      </x:c>
      <x:c r="I478" s="19" t="n">
        <x:v>0</x:v>
      </x:c>
      <x:c r="J478" s="11" t="n">
        <x:v>0</x:v>
      </x:c>
      <x:c r="K478" s="20" t="n">
        <x:v>840</x:v>
      </x:c>
      <x:c r="L478" s="20" t="n">
        <x:v>0</x:v>
      </x:c>
      <x:c r="M478" s="20" t="n">
        <x:v>570</x:v>
      </x:c>
      <x:c r="N478" s="20" t="n">
        <x:f>IF(J478=1,0,K478-L478)</x:f>
        <x:v>840</x:v>
      </x:c>
      <x:c r="O478" s="20" t="n">
        <x:f>N478-M478</x:f>
        <x:v>270</x:v>
      </x:c>
    </x:row>
    <x:row r="479" ht="22" customHeight="1">
      <x:c r="A479" s="11" t="n">
        <x:v>475</x:v>
      </x:c>
      <x:c r="B479" s="11" t="n">
        <x:v>243</x:v>
      </x:c>
      <x:c r="C479" s="18" t="n">
        <x:v>45711</x:v>
      </x:c>
      <x:c r="D479" s="11" t="str">
        <x:v>2025-02</x:v>
      </x:c>
      <x:c r="E479" s="11" t="str">
        <x:v>West</x:v>
      </x:c>
      <x:c r="F479" s="11" t="str">
        <x:v>Office Supplies</x:v>
      </x:c>
      <x:c r="G479" s="11" t="str">
        <x:v>Storage box</x:v>
      </x:c>
      <x:c r="H479" s="11" t="n">
        <x:v>2</x:v>
      </x:c>
      <x:c r="I479" s="19" t="n">
        <x:v>0.1</x:v>
      </x:c>
      <x:c r="J479" s="11" t="n">
        <x:v>0</x:v>
      </x:c>
      <x:c r="K479" s="20" t="n">
        <x:v>52</x:v>
      </x:c>
      <x:c r="L479" s="20" t="n">
        <x:v>5.2</x:v>
      </x:c>
      <x:c r="M479" s="20" t="n">
        <x:v>24</x:v>
      </x:c>
      <x:c r="N479" s="20" t="n">
        <x:f>IF(J479=1,0,K479-L479)</x:f>
        <x:v>46.8</x:v>
      </x:c>
      <x:c r="O479" s="20" t="n">
        <x:f>N479-M479</x:f>
        <x:v>22.799999999999997</x:v>
      </x:c>
    </x:row>
    <x:row r="480" ht="22" customHeight="1">
      <x:c r="A480" s="11" t="n">
        <x:v>476</x:v>
      </x:c>
      <x:c r="B480" s="11" t="n">
        <x:v>244</x:v>
      </x:c>
      <x:c r="C480" s="18" t="n">
        <x:v>45353</x:v>
      </x:c>
      <x:c r="D480" s="11" t="str">
        <x:v>2024-03</x:v>
      </x:c>
      <x:c r="E480" s="11" t="str">
        <x:v>South</x:v>
      </x:c>
      <x:c r="F480" s="11" t="str">
        <x:v>Furniture</x:v>
      </x:c>
      <x:c r="G480" s="11" t="str">
        <x:v>Desk</x:v>
      </x:c>
      <x:c r="H480" s="11" t="n">
        <x:v>2</x:v>
      </x:c>
      <x:c r="I480" s="19" t="n">
        <x:v>0.25</x:v>
      </x:c>
      <x:c r="J480" s="11" t="n">
        <x:v>0</x:v>
      </x:c>
      <x:c r="K480" s="20" t="n">
        <x:v>560</x:v>
      </x:c>
      <x:c r="L480" s="20" t="n">
        <x:v>140</x:v>
      </x:c>
      <x:c r="M480" s="20" t="n">
        <x:v>380</x:v>
      </x:c>
      <x:c r="N480" s="20" t="n">
        <x:f>IF(J480=1,0,K480-L480)</x:f>
        <x:v>420</x:v>
      </x:c>
      <x:c r="O480" s="20" t="n">
        <x:f>N480-M480</x:f>
        <x:v>40</x:v>
      </x:c>
    </x:row>
    <x:row r="481" ht="22" customHeight="1">
      <x:c r="A481" s="11" t="n">
        <x:v>477</x:v>
      </x:c>
      <x:c r="B481" s="11" t="n">
        <x:v>245</x:v>
      </x:c>
      <x:c r="C481" s="18" t="n">
        <x:v>45673</x:v>
      </x:c>
      <x:c r="D481" s="11" t="str">
        <x:v>2025-01</x:v>
      </x:c>
      <x:c r="E481" s="11" t="str">
        <x:v>East</x:v>
      </x:c>
      <x:c r="F481" s="11" t="str">
        <x:v>Furniture</x:v>
      </x:c>
      <x:c r="G481" s="11" t="str">
        <x:v>Desk</x:v>
      </x:c>
      <x:c r="H481" s="11" t="n">
        <x:v>4</x:v>
      </x:c>
      <x:c r="I481" s="19" t="n">
        <x:v>0</x:v>
      </x:c>
      <x:c r="J481" s="11" t="n">
        <x:v>0</x:v>
      </x:c>
      <x:c r="K481" s="20" t="n">
        <x:v>1120</x:v>
      </x:c>
      <x:c r="L481" s="20" t="n">
        <x:v>0</x:v>
      </x:c>
      <x:c r="M481" s="20" t="n">
        <x:v>760</x:v>
      </x:c>
      <x:c r="N481" s="20" t="n">
        <x:f>IF(J481=1,0,K481-L481)</x:f>
        <x:v>1120</x:v>
      </x:c>
      <x:c r="O481" s="20" t="n">
        <x:f>N481-M481</x:f>
        <x:v>360</x:v>
      </x:c>
    </x:row>
    <x:row r="482" ht="22" customHeight="1">
      <x:c r="A482" s="11" t="n">
        <x:v>478</x:v>
      </x:c>
      <x:c r="B482" s="11" t="n">
        <x:v>245</x:v>
      </x:c>
      <x:c r="C482" s="18" t="n">
        <x:v>45673</x:v>
      </x:c>
      <x:c r="D482" s="11" t="str">
        <x:v>2025-01</x:v>
      </x:c>
      <x:c r="E482" s="11" t="str">
        <x:v>East</x:v>
      </x:c>
      <x:c r="F482" s="11" t="str">
        <x:v>Office Supplies</x:v>
      </x:c>
      <x:c r="G482" s="11" t="str">
        <x:v>Notebook pack</x:v>
      </x:c>
      <x:c r="H482" s="11" t="n">
        <x:v>1</x:v>
      </x:c>
      <x:c r="I482" s="19" t="n">
        <x:v>0.1</x:v>
      </x:c>
      <x:c r="J482" s="11" t="n">
        <x:v>0</x:v>
      </x:c>
      <x:c r="K482" s="20" t="n">
        <x:v>18</x:v>
      </x:c>
      <x:c r="L482" s="20" t="n">
        <x:v>1.8</x:v>
      </x:c>
      <x:c r="M482" s="20" t="n">
        <x:v>7</x:v>
      </x:c>
      <x:c r="N482" s="20" t="n">
        <x:f>IF(J482=1,0,K482-L482)</x:f>
        <x:v>16.2</x:v>
      </x:c>
      <x:c r="O482" s="20" t="n">
        <x:f>N482-M482</x:f>
        <x:v>9.2</x:v>
      </x:c>
    </x:row>
    <x:row r="483" ht="22" customHeight="1">
      <x:c r="A483" s="11" t="n">
        <x:v>479</x:v>
      </x:c>
      <x:c r="B483" s="11" t="n">
        <x:v>245</x:v>
      </x:c>
      <x:c r="C483" s="18" t="n">
        <x:v>45673</x:v>
      </x:c>
      <x:c r="D483" s="11" t="str">
        <x:v>2025-01</x:v>
      </x:c>
      <x:c r="E483" s="11" t="str">
        <x:v>East</x:v>
      </x:c>
      <x:c r="F483" s="11" t="str">
        <x:v>Furniture</x:v>
      </x:c>
      <x:c r="G483" s="11" t="str">
        <x:v>Chair</x:v>
      </x:c>
      <x:c r="H483" s="11" t="n">
        <x:v>2</x:v>
      </x:c>
      <x:c r="I483" s="19" t="n">
        <x:v>0.05</x:v>
      </x:c>
      <x:c r="J483" s="11" t="n">
        <x:v>0</x:v>
      </x:c>
      <x:c r="K483" s="20" t="n">
        <x:v>340</x:v>
      </x:c>
      <x:c r="L483" s="20" t="n">
        <x:v>17</x:v>
      </x:c>
      <x:c r="M483" s="20" t="n">
        <x:v>220</x:v>
      </x:c>
      <x:c r="N483" s="20" t="n">
        <x:f>IF(J483=1,0,K483-L483)</x:f>
        <x:v>323</x:v>
      </x:c>
      <x:c r="O483" s="20" t="n">
        <x:f>N483-M483</x:f>
        <x:v>103</x:v>
      </x:c>
    </x:row>
    <x:row r="484" ht="22" customHeight="1">
      <x:c r="A484" s="11" t="n">
        <x:v>480</x:v>
      </x:c>
      <x:c r="B484" s="11" t="n">
        <x:v>246</x:v>
      </x:c>
      <x:c r="C484" s="18" t="n">
        <x:v>45614</x:v>
      </x:c>
      <x:c r="D484" s="11" t="str">
        <x:v>2024-11</x:v>
      </x:c>
      <x:c r="E484" s="11" t="str">
        <x:v>East</x:v>
      </x:c>
      <x:c r="F484" s="11" t="str">
        <x:v>Technology</x:v>
      </x:c>
      <x:c r="G484" s="11" t="str">
        <x:v>Keyboard</x:v>
      </x:c>
      <x:c r="H484" s="11" t="n">
        <x:v>2</x:v>
      </x:c>
      <x:c r="I484" s="19" t="n">
        <x:v>0</x:v>
      </x:c>
      <x:c r="J484" s="11" t="n">
        <x:v>0</x:v>
      </x:c>
      <x:c r="K484" s="20" t="n">
        <x:v>130</x:v>
      </x:c>
      <x:c r="L484" s="20" t="n">
        <x:v>0</x:v>
      </x:c>
      <x:c r="M484" s="20" t="n">
        <x:v>64</x:v>
      </x:c>
      <x:c r="N484" s="20" t="n">
        <x:f>IF(J484=1,0,K484-L484)</x:f>
        <x:v>130</x:v>
      </x:c>
      <x:c r="O484" s="20" t="n">
        <x:f>N484-M484</x:f>
        <x:v>66</x:v>
      </x:c>
    </x:row>
    <x:row r="485" ht="22" customHeight="1">
      <x:c r="A485" s="11" t="n">
        <x:v>481</x:v>
      </x:c>
      <x:c r="B485" s="11" t="n">
        <x:v>246</x:v>
      </x:c>
      <x:c r="C485" s="18" t="n">
        <x:v>45614</x:v>
      </x:c>
      <x:c r="D485" s="11" t="str">
        <x:v>2024-11</x:v>
      </x:c>
      <x:c r="E485" s="11" t="str">
        <x:v>East</x:v>
      </x:c>
      <x:c r="F485" s="11" t="str">
        <x:v>Technology</x:v>
      </x:c>
      <x:c r="G485" s="11" t="str">
        <x:v>Monitor</x:v>
      </x:c>
      <x:c r="H485" s="11" t="n">
        <x:v>2</x:v>
      </x:c>
      <x:c r="I485" s="19" t="n">
        <x:v>0.15</x:v>
      </x:c>
      <x:c r="J485" s="11" t="n">
        <x:v>0</x:v>
      </x:c>
      <x:c r="K485" s="20" t="n">
        <x:v>480</x:v>
      </x:c>
      <x:c r="L485" s="20" t="n">
        <x:v>72</x:v>
      </x:c>
      <x:c r="M485" s="20" t="n">
        <x:v>320</x:v>
      </x:c>
      <x:c r="N485" s="20" t="n">
        <x:f>IF(J485=1,0,K485-L485)</x:f>
        <x:v>408</x:v>
      </x:c>
      <x:c r="O485" s="20" t="n">
        <x:f>N485-M485</x:f>
        <x:v>88</x:v>
      </x:c>
    </x:row>
    <x:row r="486" ht="22" customHeight="1">
      <x:c r="A486" s="11" t="n">
        <x:v>482</x:v>
      </x:c>
      <x:c r="B486" s="11" t="n">
        <x:v>247</x:v>
      </x:c>
      <x:c r="C486" s="18" t="n">
        <x:v>45400</x:v>
      </x:c>
      <x:c r="D486" s="11" t="str">
        <x:v>2024-04</x:v>
      </x:c>
      <x:c r="E486" s="11" t="str">
        <x:v>West</x:v>
      </x:c>
      <x:c r="F486" s="11" t="str">
        <x:v>Technology</x:v>
      </x:c>
      <x:c r="G486" s="11" t="str">
        <x:v>Monitor</x:v>
      </x:c>
      <x:c r="H486" s="11" t="n">
        <x:v>1</x:v>
      </x:c>
      <x:c r="I486" s="19" t="n">
        <x:v>0.15</x:v>
      </x:c>
      <x:c r="J486" s="11" t="n">
        <x:v>0</x:v>
      </x:c>
      <x:c r="K486" s="20" t="n">
        <x:v>240</x:v>
      </x:c>
      <x:c r="L486" s="20" t="n">
        <x:v>36</x:v>
      </x:c>
      <x:c r="M486" s="20" t="n">
        <x:v>160</x:v>
      </x:c>
      <x:c r="N486" s="20" t="n">
        <x:f>IF(J486=1,0,K486-L486)</x:f>
        <x:v>204</x:v>
      </x:c>
      <x:c r="O486" s="20" t="n">
        <x:f>N486-M486</x:f>
        <x:v>44</x:v>
      </x:c>
    </x:row>
    <x:row r="487" ht="22" customHeight="1">
      <x:c r="A487" s="11" t="n">
        <x:v>483</x:v>
      </x:c>
      <x:c r="B487" s="11" t="n">
        <x:v>247</x:v>
      </x:c>
      <x:c r="C487" s="18" t="n">
        <x:v>45400</x:v>
      </x:c>
      <x:c r="D487" s="11" t="str">
        <x:v>2024-04</x:v>
      </x:c>
      <x:c r="E487" s="11" t="str">
        <x:v>West</x:v>
      </x:c>
      <x:c r="F487" s="11" t="str">
        <x:v>Technology</x:v>
      </x:c>
      <x:c r="G487" s="11" t="str">
        <x:v>Keyboard</x:v>
      </x:c>
      <x:c r="H487" s="11" t="n">
        <x:v>2</x:v>
      </x:c>
      <x:c r="I487" s="19" t="n">
        <x:v>0.1</x:v>
      </x:c>
      <x:c r="J487" s="11" t="n">
        <x:v>0</x:v>
      </x:c>
      <x:c r="K487" s="20" t="n">
        <x:v>130</x:v>
      </x:c>
      <x:c r="L487" s="20" t="n">
        <x:v>13</x:v>
      </x:c>
      <x:c r="M487" s="20" t="n">
        <x:v>64</x:v>
      </x:c>
      <x:c r="N487" s="20" t="n">
        <x:f>IF(J487=1,0,K487-L487)</x:f>
        <x:v>117</x:v>
      </x:c>
      <x:c r="O487" s="20" t="n">
        <x:f>N487-M487</x:f>
        <x:v>53</x:v>
      </x:c>
    </x:row>
    <x:row r="488" ht="22" customHeight="1">
      <x:c r="A488" s="11" t="n">
        <x:v>484</x:v>
      </x:c>
      <x:c r="B488" s="11" t="n">
        <x:v>248</x:v>
      </x:c>
      <x:c r="C488" s="18" t="n">
        <x:v>45563</x:v>
      </x:c>
      <x:c r="D488" s="11" t="str">
        <x:v>2024-09</x:v>
      </x:c>
      <x:c r="E488" s="11" t="str">
        <x:v>West</x:v>
      </x:c>
      <x:c r="F488" s="11" t="str">
        <x:v>Office Supplies</x:v>
      </x:c>
      <x:c r="G488" s="11" t="str">
        <x:v>Storage box</x:v>
      </x:c>
      <x:c r="H488" s="11" t="n">
        <x:v>3</x:v>
      </x:c>
      <x:c r="I488" s="19" t="n">
        <x:v>0.15</x:v>
      </x:c>
      <x:c r="J488" s="11" t="n">
        <x:v>1</x:v>
      </x:c>
      <x:c r="K488" s="20" t="n">
        <x:v>78</x:v>
      </x:c>
      <x:c r="L488" s="20" t="n">
        <x:v>11.7</x:v>
      </x:c>
      <x:c r="M488" s="20" t="n">
        <x:v>0</x:v>
      </x:c>
      <x:c r="N488" s="20" t="n">
        <x:f>IF(J488=1,0,K488-L488)</x:f>
        <x:v>0</x:v>
      </x:c>
      <x:c r="O488" s="20" t="n">
        <x:f>N488-M488</x:f>
        <x:v>0</x:v>
      </x:c>
    </x:row>
    <x:row r="489" ht="22" customHeight="1">
      <x:c r="A489" s="11" t="n">
        <x:v>485</x:v>
      </x:c>
      <x:c r="B489" s="11" t="n">
        <x:v>249</x:v>
      </x:c>
      <x:c r="C489" s="18" t="n">
        <x:v>45627</x:v>
      </x:c>
      <x:c r="D489" s="11" t="str">
        <x:v>2024-12</x:v>
      </x:c>
      <x:c r="E489" s="11" t="str">
        <x:v>East</x:v>
      </x:c>
      <x:c r="F489" s="11" t="str">
        <x:v>Furniture</x:v>
      </x:c>
      <x:c r="G489" s="11" t="str">
        <x:v>Chair</x:v>
      </x:c>
      <x:c r="H489" s="11" t="n">
        <x:v>5</x:v>
      </x:c>
      <x:c r="I489" s="19" t="n">
        <x:v>0</x:v>
      </x:c>
      <x:c r="J489" s="11" t="n">
        <x:v>0</x:v>
      </x:c>
      <x:c r="K489" s="20" t="n">
        <x:v>850</x:v>
      </x:c>
      <x:c r="L489" s="20" t="n">
        <x:v>0</x:v>
      </x:c>
      <x:c r="M489" s="20" t="n">
        <x:v>550</x:v>
      </x:c>
      <x:c r="N489" s="20" t="n">
        <x:f>IF(J489=1,0,K489-L489)</x:f>
        <x:v>850</x:v>
      </x:c>
      <x:c r="O489" s="20" t="n">
        <x:f>N489-M489</x:f>
        <x:v>300</x:v>
      </x:c>
    </x:row>
    <x:row r="490" ht="22" customHeight="1">
      <x:c r="A490" s="11" t="n">
        <x:v>486</x:v>
      </x:c>
      <x:c r="B490" s="11" t="n">
        <x:v>249</x:v>
      </x:c>
      <x:c r="C490" s="18" t="n">
        <x:v>45627</x:v>
      </x:c>
      <x:c r="D490" s="11" t="str">
        <x:v>2024-12</x:v>
      </x:c>
      <x:c r="E490" s="11" t="str">
        <x:v>East</x:v>
      </x:c>
      <x:c r="F490" s="11" t="str">
        <x:v>Technology</x:v>
      </x:c>
      <x:c r="G490" s="11" t="str">
        <x:v>Monitor</x:v>
      </x:c>
      <x:c r="H490" s="11" t="n">
        <x:v>3</x:v>
      </x:c>
      <x:c r="I490" s="19" t="n">
        <x:v>0</x:v>
      </x:c>
      <x:c r="J490" s="11" t="n">
        <x:v>1</x:v>
      </x:c>
      <x:c r="K490" s="20" t="n">
        <x:v>720</x:v>
      </x:c>
      <x:c r="L490" s="20" t="n">
        <x:v>0</x:v>
      </x:c>
      <x:c r="M490" s="20" t="n">
        <x:v>0</x:v>
      </x:c>
      <x:c r="N490" s="20" t="n">
        <x:f>IF(J490=1,0,K490-L490)</x:f>
        <x:v>0</x:v>
      </x:c>
      <x:c r="O490" s="20" t="n">
        <x:f>N490-M490</x:f>
        <x:v>0</x:v>
      </x:c>
    </x:row>
    <x:row r="491" ht="22" customHeight="1">
      <x:c r="A491" s="11" t="n">
        <x:v>487</x:v>
      </x:c>
      <x:c r="B491" s="11" t="n">
        <x:v>249</x:v>
      </x:c>
      <x:c r="C491" s="18" t="n">
        <x:v>45627</x:v>
      </x:c>
      <x:c r="D491" s="11" t="str">
        <x:v>2024-12</x:v>
      </x:c>
      <x:c r="E491" s="11" t="str">
        <x:v>East</x:v>
      </x:c>
      <x:c r="F491" s="11" t="str">
        <x:v>Technology</x:v>
      </x:c>
      <x:c r="G491" s="11" t="str">
        <x:v>Keyboard</x:v>
      </x:c>
      <x:c r="H491" s="11" t="n">
        <x:v>4</x:v>
      </x:c>
      <x:c r="I491" s="19" t="n">
        <x:v>0.1</x:v>
      </x:c>
      <x:c r="J491" s="11" t="n">
        <x:v>0</x:v>
      </x:c>
      <x:c r="K491" s="20" t="n">
        <x:v>260</x:v>
      </x:c>
      <x:c r="L491" s="20" t="n">
        <x:v>26</x:v>
      </x:c>
      <x:c r="M491" s="20" t="n">
        <x:v>128</x:v>
      </x:c>
      <x:c r="N491" s="20" t="n">
        <x:f>IF(J491=1,0,K491-L491)</x:f>
        <x:v>234</x:v>
      </x:c>
      <x:c r="O491" s="20" t="n">
        <x:f>N491-M491</x:f>
        <x:v>106</x:v>
      </x:c>
    </x:row>
    <x:row r="492" ht="22" customHeight="1">
      <x:c r="A492" s="11" t="n">
        <x:v>488</x:v>
      </x:c>
      <x:c r="B492" s="11" t="n">
        <x:v>250</x:v>
      </x:c>
      <x:c r="C492" s="18" t="n">
        <x:v>45855</x:v>
      </x:c>
      <x:c r="D492" s="11" t="str">
        <x:v>2025-07</x:v>
      </x:c>
      <x:c r="E492" s="11" t="str">
        <x:v>Central</x:v>
      </x:c>
      <x:c r="F492" s="11" t="str">
        <x:v>Furniture</x:v>
      </x:c>
      <x:c r="G492" s="11" t="str">
        <x:v>Desk</x:v>
      </x:c>
      <x:c r="H492" s="11" t="n">
        <x:v>1</x:v>
      </x:c>
      <x:c r="I492" s="19" t="n">
        <x:v>0</x:v>
      </x:c>
      <x:c r="J492" s="11" t="n">
        <x:v>0</x:v>
      </x:c>
      <x:c r="K492" s="20" t="n">
        <x:v>280</x:v>
      </x:c>
      <x:c r="L492" s="20" t="n">
        <x:v>0</x:v>
      </x:c>
      <x:c r="M492" s="20" t="n">
        <x:v>190</x:v>
      </x:c>
      <x:c r="N492" s="20" t="n">
        <x:f>IF(J492=1,0,K492-L492)</x:f>
        <x:v>280</x:v>
      </x:c>
      <x:c r="O492" s="20" t="n">
        <x:f>N492-M492</x:f>
        <x:v>90</x:v>
      </x:c>
    </x:row>
    <x:row r="493" ht="22" customHeight="1">
      <x:c r="A493" s="11" t="n">
        <x:v>489</x:v>
      </x:c>
      <x:c r="B493" s="11" t="n">
        <x:v>250</x:v>
      </x:c>
      <x:c r="C493" s="18" t="n">
        <x:v>45855</x:v>
      </x:c>
      <x:c r="D493" s="11" t="str">
        <x:v>2025-07</x:v>
      </x:c>
      <x:c r="E493" s="11" t="str">
        <x:v>Central</x:v>
      </x:c>
      <x:c r="F493" s="11" t="str">
        <x:v>Furniture</x:v>
      </x:c>
      <x:c r="G493" s="11" t="str">
        <x:v>Chair</x:v>
      </x:c>
      <x:c r="H493" s="11" t="n">
        <x:v>2</x:v>
      </x:c>
      <x:c r="I493" s="19" t="n">
        <x:v>0</x:v>
      </x:c>
      <x:c r="J493" s="11" t="n">
        <x:v>0</x:v>
      </x:c>
      <x:c r="K493" s="20" t="n">
        <x:v>340</x:v>
      </x:c>
      <x:c r="L493" s="20" t="n">
        <x:v>0</x:v>
      </x:c>
      <x:c r="M493" s="20" t="n">
        <x:v>220</x:v>
      </x:c>
      <x:c r="N493" s="20" t="n">
        <x:f>IF(J493=1,0,K493-L493)</x:f>
        <x:v>340</x:v>
      </x:c>
      <x:c r="O493" s="20" t="n">
        <x:f>N493-M493</x:f>
        <x:v>120</x:v>
      </x:c>
    </x:row>
    <x:row r="494" ht="22" customHeight="1">
      <x:c r="A494" s="11" t="n">
        <x:v>490</x:v>
      </x:c>
      <x:c r="B494" s="11" t="n">
        <x:v>251</x:v>
      </x:c>
      <x:c r="C494" s="18" t="n">
        <x:v>45702</x:v>
      </x:c>
      <x:c r="D494" s="11" t="str">
        <x:v>2025-02</x:v>
      </x:c>
      <x:c r="E494" s="11" t="str">
        <x:v>South</x:v>
      </x:c>
      <x:c r="F494" s="11" t="str">
        <x:v>Office Supplies</x:v>
      </x:c>
      <x:c r="G494" s="11" t="str">
        <x:v>Notebook pack</x:v>
      </x:c>
      <x:c r="H494" s="11" t="n">
        <x:v>1</x:v>
      </x:c>
      <x:c r="I494" s="19" t="n">
        <x:v>0</x:v>
      </x:c>
      <x:c r="J494" s="11" t="n">
        <x:v>0</x:v>
      </x:c>
      <x:c r="K494" s="20" t="n">
        <x:v>18</x:v>
      </x:c>
      <x:c r="L494" s="20" t="n">
        <x:v>0</x:v>
      </x:c>
      <x:c r="M494" s="20" t="n">
        <x:v>7</x:v>
      </x:c>
      <x:c r="N494" s="20" t="n">
        <x:f>IF(J494=1,0,K494-L494)</x:f>
        <x:v>18</x:v>
      </x:c>
      <x:c r="O494" s="20" t="n">
        <x:f>N494-M494</x:f>
        <x:v>11</x:v>
      </x:c>
    </x:row>
    <x:row r="495" ht="22" customHeight="1">
      <x:c r="A495" s="11" t="n">
        <x:v>491</x:v>
      </x:c>
      <x:c r="B495" s="11" t="n">
        <x:v>251</x:v>
      </x:c>
      <x:c r="C495" s="18" t="n">
        <x:v>45702</x:v>
      </x:c>
      <x:c r="D495" s="11" t="str">
        <x:v>2025-02</x:v>
      </x:c>
      <x:c r="E495" s="11" t="str">
        <x:v>South</x:v>
      </x:c>
      <x:c r="F495" s="11" t="str">
        <x:v>Technology</x:v>
      </x:c>
      <x:c r="G495" s="11" t="str">
        <x:v>Monitor</x:v>
      </x:c>
      <x:c r="H495" s="11" t="n">
        <x:v>4</x:v>
      </x:c>
      <x:c r="I495" s="19" t="n">
        <x:v>0</x:v>
      </x:c>
      <x:c r="J495" s="11" t="n">
        <x:v>0</x:v>
      </x:c>
      <x:c r="K495" s="20" t="n">
        <x:v>960</x:v>
      </x:c>
      <x:c r="L495" s="20" t="n">
        <x:v>0</x:v>
      </x:c>
      <x:c r="M495" s="20" t="n">
        <x:v>640</x:v>
      </x:c>
      <x:c r="N495" s="20" t="n">
        <x:f>IF(J495=1,0,K495-L495)</x:f>
        <x:v>960</x:v>
      </x:c>
      <x:c r="O495" s="20" t="n">
        <x:f>N495-M495</x:f>
        <x:v>320</x:v>
      </x:c>
    </x:row>
    <x:row r="496" ht="22" customHeight="1">
      <x:c r="A496" s="11" t="n">
        <x:v>492</x:v>
      </x:c>
      <x:c r="B496" s="11" t="n">
        <x:v>251</x:v>
      </x:c>
      <x:c r="C496" s="18" t="n">
        <x:v>45702</x:v>
      </x:c>
      <x:c r="D496" s="11" t="str">
        <x:v>2025-02</x:v>
      </x:c>
      <x:c r="E496" s="11" t="str">
        <x:v>South</x:v>
      </x:c>
      <x:c r="F496" s="11" t="str">
        <x:v>Furniture</x:v>
      </x:c>
      <x:c r="G496" s="11" t="str">
        <x:v>Desk</x:v>
      </x:c>
      <x:c r="H496" s="11" t="n">
        <x:v>3</x:v>
      </x:c>
      <x:c r="I496" s="19" t="n">
        <x:v>0</x:v>
      </x:c>
      <x:c r="J496" s="11" t="n">
        <x:v>1</x:v>
      </x:c>
      <x:c r="K496" s="20" t="n">
        <x:v>840</x:v>
      </x:c>
      <x:c r="L496" s="20" t="n">
        <x:v>0</x:v>
      </x:c>
      <x:c r="M496" s="20" t="n">
        <x:v>0</x:v>
      </x:c>
      <x:c r="N496" s="20" t="n">
        <x:f>IF(J496=1,0,K496-L496)</x:f>
        <x:v>0</x:v>
      </x:c>
      <x:c r="O496" s="20" t="n">
        <x:f>N496-M496</x:f>
        <x:v>0</x:v>
      </x:c>
    </x:row>
    <x:row r="497" ht="22" customHeight="1">
      <x:c r="A497" s="11" t="n">
        <x:v>493</x:v>
      </x:c>
      <x:c r="B497" s="11" t="n">
        <x:v>252</x:v>
      </x:c>
      <x:c r="C497" s="18" t="n">
        <x:v>45764</x:v>
      </x:c>
      <x:c r="D497" s="11" t="str">
        <x:v>2025-04</x:v>
      </x:c>
      <x:c r="E497" s="11" t="str">
        <x:v>Central</x:v>
      </x:c>
      <x:c r="F497" s="11" t="str">
        <x:v>Technology</x:v>
      </x:c>
      <x:c r="G497" s="11" t="str">
        <x:v>Keyboard</x:v>
      </x:c>
      <x:c r="H497" s="11" t="n">
        <x:v>1</x:v>
      </x:c>
      <x:c r="I497" s="19" t="n">
        <x:v>0.1</x:v>
      </x:c>
      <x:c r="J497" s="11" t="n">
        <x:v>0</x:v>
      </x:c>
      <x:c r="K497" s="20" t="n">
        <x:v>65</x:v>
      </x:c>
      <x:c r="L497" s="20" t="n">
        <x:v>6.5</x:v>
      </x:c>
      <x:c r="M497" s="20" t="n">
        <x:v>32</x:v>
      </x:c>
      <x:c r="N497" s="20" t="n">
        <x:f>IF(J497=1,0,K497-L497)</x:f>
        <x:v>58.5</x:v>
      </x:c>
      <x:c r="O497" s="20" t="n">
        <x:f>N497-M497</x:f>
        <x:v>26.5</x:v>
      </x:c>
    </x:row>
    <x:row r="498" ht="22" customHeight="1">
      <x:c r="A498" s="11" t="n">
        <x:v>494</x:v>
      </x:c>
      <x:c r="B498" s="11" t="n">
        <x:v>252</x:v>
      </x:c>
      <x:c r="C498" s="18" t="n">
        <x:v>45764</x:v>
      </x:c>
      <x:c r="D498" s="11" t="str">
        <x:v>2025-04</x:v>
      </x:c>
      <x:c r="E498" s="11" t="str">
        <x:v>Central</x:v>
      </x:c>
      <x:c r="F498" s="11" t="str">
        <x:v>Office Supplies</x:v>
      </x:c>
      <x:c r="G498" s="11" t="str">
        <x:v>Storage box</x:v>
      </x:c>
      <x:c r="H498" s="11" t="n">
        <x:v>2</x:v>
      </x:c>
      <x:c r="I498" s="19" t="n">
        <x:v>0.05</x:v>
      </x:c>
      <x:c r="J498" s="11" t="n">
        <x:v>0</x:v>
      </x:c>
      <x:c r="K498" s="20" t="n">
        <x:v>52</x:v>
      </x:c>
      <x:c r="L498" s="20" t="n">
        <x:v>2.6</x:v>
      </x:c>
      <x:c r="M498" s="20" t="n">
        <x:v>24</x:v>
      </x:c>
      <x:c r="N498" s="20" t="n">
        <x:f>IF(J498=1,0,K498-L498)</x:f>
        <x:v>49.4</x:v>
      </x:c>
      <x:c r="O498" s="20" t="n">
        <x:f>N498-M498</x:f>
        <x:v>25.4</x:v>
      </x:c>
    </x:row>
    <x:row r="499" ht="22" customHeight="1">
      <x:c r="A499" s="11" t="n">
        <x:v>495</x:v>
      </x:c>
      <x:c r="B499" s="11" t="n">
        <x:v>252</x:v>
      </x:c>
      <x:c r="C499" s="18" t="n">
        <x:v>45764</x:v>
      </x:c>
      <x:c r="D499" s="11" t="str">
        <x:v>2025-04</x:v>
      </x:c>
      <x:c r="E499" s="11" t="str">
        <x:v>Central</x:v>
      </x:c>
      <x:c r="F499" s="11" t="str">
        <x:v>Office Supplies</x:v>
      </x:c>
      <x:c r="G499" s="11" t="str">
        <x:v>Notebook pack</x:v>
      </x:c>
      <x:c r="H499" s="11" t="n">
        <x:v>2</x:v>
      </x:c>
      <x:c r="I499" s="19" t="n">
        <x:v>0.05</x:v>
      </x:c>
      <x:c r="J499" s="11" t="n">
        <x:v>0</x:v>
      </x:c>
      <x:c r="K499" s="20" t="n">
        <x:v>36</x:v>
      </x:c>
      <x:c r="L499" s="20" t="n">
        <x:v>1.8</x:v>
      </x:c>
      <x:c r="M499" s="20" t="n">
        <x:v>14</x:v>
      </x:c>
      <x:c r="N499" s="20" t="n">
        <x:f>IF(J499=1,0,K499-L499)</x:f>
        <x:v>34.2</x:v>
      </x:c>
      <x:c r="O499" s="20" t="n">
        <x:f>N499-M499</x:f>
        <x:v>20.200000000000003</x:v>
      </x:c>
    </x:row>
    <x:row r="500" ht="22" customHeight="1">
      <x:c r="A500" s="11" t="n">
        <x:v>496</x:v>
      </x:c>
      <x:c r="B500" s="11" t="n">
        <x:v>253</x:v>
      </x:c>
      <x:c r="C500" s="18" t="n">
        <x:v>45444</x:v>
      </x:c>
      <x:c r="D500" s="11" t="str">
        <x:v>2024-06</x:v>
      </x:c>
      <x:c r="E500" s="11" t="str">
        <x:v>South</x:v>
      </x:c>
      <x:c r="F500" s="11" t="str">
        <x:v>Technology</x:v>
      </x:c>
      <x:c r="G500" s="11" t="str">
        <x:v>Monitor</x:v>
      </x:c>
      <x:c r="H500" s="11" t="n">
        <x:v>5</x:v>
      </x:c>
      <x:c r="I500" s="19" t="n">
        <x:v>0.1</x:v>
      </x:c>
      <x:c r="J500" s="11" t="n">
        <x:v>0</x:v>
      </x:c>
      <x:c r="K500" s="20" t="n">
        <x:v>1200</x:v>
      </x:c>
      <x:c r="L500" s="20" t="n">
        <x:v>120</x:v>
      </x:c>
      <x:c r="M500" s="20" t="n">
        <x:v>800</x:v>
      </x:c>
      <x:c r="N500" s="20" t="n">
        <x:f>IF(J500=1,0,K500-L500)</x:f>
        <x:v>1080</x:v>
      </x:c>
      <x:c r="O500" s="20" t="n">
        <x:f>N500-M500</x:f>
        <x:v>280</x:v>
      </x:c>
    </x:row>
    <x:row r="501" ht="22" customHeight="1">
      <x:c r="A501" s="11" t="n">
        <x:v>497</x:v>
      </x:c>
      <x:c r="B501" s="11" t="n">
        <x:v>253</x:v>
      </x:c>
      <x:c r="C501" s="18" t="n">
        <x:v>45444</x:v>
      </x:c>
      <x:c r="D501" s="11" t="str">
        <x:v>2024-06</x:v>
      </x:c>
      <x:c r="E501" s="11" t="str">
        <x:v>South</x:v>
      </x:c>
      <x:c r="F501" s="11" t="str">
        <x:v>Technology</x:v>
      </x:c>
      <x:c r="G501" s="11" t="str">
        <x:v>Keyboard</x:v>
      </x:c>
      <x:c r="H501" s="11" t="n">
        <x:v>3</x:v>
      </x:c>
      <x:c r="I501" s="19" t="n">
        <x:v>0.1</x:v>
      </x:c>
      <x:c r="J501" s="11" t="n">
        <x:v>0</x:v>
      </x:c>
      <x:c r="K501" s="20" t="n">
        <x:v>195</x:v>
      </x:c>
      <x:c r="L501" s="20" t="n">
        <x:v>19.5</x:v>
      </x:c>
      <x:c r="M501" s="20" t="n">
        <x:v>96</x:v>
      </x:c>
      <x:c r="N501" s="20" t="n">
        <x:f>IF(J501=1,0,K501-L501)</x:f>
        <x:v>175.5</x:v>
      </x:c>
      <x:c r="O501" s="20" t="n">
        <x:f>N501-M501</x:f>
        <x:v>79.5</x:v>
      </x:c>
    </x:row>
    <x:row r="502" ht="22" customHeight="1">
      <x:c r="A502" s="11" t="n">
        <x:v>498</x:v>
      </x:c>
      <x:c r="B502" s="11" t="n">
        <x:v>253</x:v>
      </x:c>
      <x:c r="C502" s="18" t="n">
        <x:v>45444</x:v>
      </x:c>
      <x:c r="D502" s="11" t="str">
        <x:v>2024-06</x:v>
      </x:c>
      <x:c r="E502" s="11" t="str">
        <x:v>South</x:v>
      </x:c>
      <x:c r="F502" s="11" t="str">
        <x:v>Office Supplies</x:v>
      </x:c>
      <x:c r="G502" s="11" t="str">
        <x:v>Notebook pack</x:v>
      </x:c>
      <x:c r="H502" s="11" t="n">
        <x:v>2</x:v>
      </x:c>
      <x:c r="I502" s="19" t="n">
        <x:v>0.15</x:v>
      </x:c>
      <x:c r="J502" s="11" t="n">
        <x:v>0</x:v>
      </x:c>
      <x:c r="K502" s="20" t="n">
        <x:v>36</x:v>
      </x:c>
      <x:c r="L502" s="20" t="n">
        <x:v>5.4</x:v>
      </x:c>
      <x:c r="M502" s="20" t="n">
        <x:v>14</x:v>
      </x:c>
      <x:c r="N502" s="20" t="n">
        <x:f>IF(J502=1,0,K502-L502)</x:f>
        <x:v>30.6</x:v>
      </x:c>
      <x:c r="O502" s="20" t="n">
        <x:f>N502-M502</x:f>
        <x:v>16.6</x:v>
      </x:c>
    </x:row>
    <x:row r="503" ht="22" customHeight="1">
      <x:c r="A503" s="11" t="n">
        <x:v>499</x:v>
      </x:c>
      <x:c r="B503" s="11" t="n">
        <x:v>254</x:v>
      </x:c>
      <x:c r="C503" s="18" t="n">
        <x:v>45848</x:v>
      </x:c>
      <x:c r="D503" s="11" t="str">
        <x:v>2025-07</x:v>
      </x:c>
      <x:c r="E503" s="11" t="str">
        <x:v>South</x:v>
      </x:c>
      <x:c r="F503" s="11" t="str">
        <x:v>Technology</x:v>
      </x:c>
      <x:c r="G503" s="11" t="str">
        <x:v>Monitor</x:v>
      </x:c>
      <x:c r="H503" s="11" t="n">
        <x:v>3</x:v>
      </x:c>
      <x:c r="I503" s="19" t="n">
        <x:v>0.15</x:v>
      </x:c>
      <x:c r="J503" s="11" t="n">
        <x:v>0</x:v>
      </x:c>
      <x:c r="K503" s="20" t="n">
        <x:v>720</x:v>
      </x:c>
      <x:c r="L503" s="20" t="n">
        <x:v>108</x:v>
      </x:c>
      <x:c r="M503" s="20" t="n">
        <x:v>480</x:v>
      </x:c>
      <x:c r="N503" s="20" t="n">
        <x:f>IF(J503=1,0,K503-L503)</x:f>
        <x:v>612</x:v>
      </x:c>
      <x:c r="O503" s="20" t="n">
        <x:f>N503-M503</x:f>
        <x:v>132</x:v>
      </x:c>
    </x:row>
    <x:row r="504" ht="22" customHeight="1">
      <x:c r="A504" s="11" t="n">
        <x:v>500</x:v>
      </x:c>
      <x:c r="B504" s="11" t="n">
        <x:v>254</x:v>
      </x:c>
      <x:c r="C504" s="18" t="n">
        <x:v>45848</x:v>
      </x:c>
      <x:c r="D504" s="11" t="str">
        <x:v>2025-07</x:v>
      </x:c>
      <x:c r="E504" s="11" t="str">
        <x:v>South</x:v>
      </x:c>
      <x:c r="F504" s="11" t="str">
        <x:v>Technology</x:v>
      </x:c>
      <x:c r="G504" s="11" t="str">
        <x:v>Keyboard</x:v>
      </x:c>
      <x:c r="H504" s="11" t="n">
        <x:v>4</x:v>
      </x:c>
      <x:c r="I504" s="19" t="n">
        <x:v>0.05</x:v>
      </x:c>
      <x:c r="J504" s="11" t="n">
        <x:v>0</x:v>
      </x:c>
      <x:c r="K504" s="20" t="n">
        <x:v>260</x:v>
      </x:c>
      <x:c r="L504" s="20" t="n">
        <x:v>13</x:v>
      </x:c>
      <x:c r="M504" s="20" t="n">
        <x:v>128</x:v>
      </x:c>
      <x:c r="N504" s="20" t="n">
        <x:f>IF(J504=1,0,K504-L504)</x:f>
        <x:v>247</x:v>
      </x:c>
      <x:c r="O504" s="20" t="n">
        <x:f>N504-M504</x:f>
        <x:v>119</x:v>
      </x:c>
    </x:row>
    <x:row r="505" ht="22" customHeight="1">
      <x:c r="A505" s="11" t="n">
        <x:v>501</x:v>
      </x:c>
      <x:c r="B505" s="11" t="n">
        <x:v>254</x:v>
      </x:c>
      <x:c r="C505" s="18" t="n">
        <x:v>45848</x:v>
      </x:c>
      <x:c r="D505" s="11" t="str">
        <x:v>2025-07</x:v>
      </x:c>
      <x:c r="E505" s="11" t="str">
        <x:v>South</x:v>
      </x:c>
      <x:c r="F505" s="11" t="str">
        <x:v>Office Supplies</x:v>
      </x:c>
      <x:c r="G505" s="11" t="str">
        <x:v>Notebook pack</x:v>
      </x:c>
      <x:c r="H505" s="11" t="n">
        <x:v>3</x:v>
      </x:c>
      <x:c r="I505" s="19" t="n">
        <x:v>0.15</x:v>
      </x:c>
      <x:c r="J505" s="11" t="n">
        <x:v>0</x:v>
      </x:c>
      <x:c r="K505" s="20" t="n">
        <x:v>54</x:v>
      </x:c>
      <x:c r="L505" s="20" t="n">
        <x:v>8.1</x:v>
      </x:c>
      <x:c r="M505" s="20" t="n">
        <x:v>21</x:v>
      </x:c>
      <x:c r="N505" s="20" t="n">
        <x:f>IF(J505=1,0,K505-L505)</x:f>
        <x:v>45.9</x:v>
      </x:c>
      <x:c r="O505" s="20" t="n">
        <x:f>N505-M505</x:f>
        <x:v>24.9</x:v>
      </x:c>
    </x:row>
    <x:row r="506" ht="22" customHeight="1">
      <x:c r="A506" s="11" t="n">
        <x:v>502</x:v>
      </x:c>
      <x:c r="B506" s="11" t="n">
        <x:v>255</x:v>
      </x:c>
      <x:c r="C506" s="18" t="n">
        <x:v>45579</x:v>
      </x:c>
      <x:c r="D506" s="11" t="str">
        <x:v>2024-10</x:v>
      </x:c>
      <x:c r="E506" s="11" t="str">
        <x:v>East</x:v>
      </x:c>
      <x:c r="F506" s="11" t="str">
        <x:v>Technology</x:v>
      </x:c>
      <x:c r="G506" s="11" t="str">
        <x:v>Monitor</x:v>
      </x:c>
      <x:c r="H506" s="11" t="n">
        <x:v>2</x:v>
      </x:c>
      <x:c r="I506" s="19" t="n">
        <x:v>0</x:v>
      </x:c>
      <x:c r="J506" s="11" t="n">
        <x:v>0</x:v>
      </x:c>
      <x:c r="K506" s="20" t="n">
        <x:v>480</x:v>
      </x:c>
      <x:c r="L506" s="20" t="n">
        <x:v>0</x:v>
      </x:c>
      <x:c r="M506" s="20" t="n">
        <x:v>320</x:v>
      </x:c>
      <x:c r="N506" s="20" t="n">
        <x:f>IF(J506=1,0,K506-L506)</x:f>
        <x:v>480</x:v>
      </x:c>
      <x:c r="O506" s="20" t="n">
        <x:f>N506-M506</x:f>
        <x:v>160</x:v>
      </x:c>
    </x:row>
    <x:row r="507" ht="22" customHeight="1">
      <x:c r="A507" s="11" t="n">
        <x:v>503</x:v>
      </x:c>
      <x:c r="B507" s="11" t="n">
        <x:v>255</x:v>
      </x:c>
      <x:c r="C507" s="18" t="n">
        <x:v>45579</x:v>
      </x:c>
      <x:c r="D507" s="11" t="str">
        <x:v>2024-10</x:v>
      </x:c>
      <x:c r="E507" s="11" t="str">
        <x:v>East</x:v>
      </x:c>
      <x:c r="F507" s="11" t="str">
        <x:v>Office Supplies</x:v>
      </x:c>
      <x:c r="G507" s="11" t="str">
        <x:v>Notebook pack</x:v>
      </x:c>
      <x:c r="H507" s="11" t="n">
        <x:v>2</x:v>
      </x:c>
      <x:c r="I507" s="19" t="n">
        <x:v>0.05</x:v>
      </x:c>
      <x:c r="J507" s="11" t="n">
        <x:v>0</x:v>
      </x:c>
      <x:c r="K507" s="20" t="n">
        <x:v>36</x:v>
      </x:c>
      <x:c r="L507" s="20" t="n">
        <x:v>1.8</x:v>
      </x:c>
      <x:c r="M507" s="20" t="n">
        <x:v>14</x:v>
      </x:c>
      <x:c r="N507" s="20" t="n">
        <x:f>IF(J507=1,0,K507-L507)</x:f>
        <x:v>34.2</x:v>
      </x:c>
      <x:c r="O507" s="20" t="n">
        <x:f>N507-M507</x:f>
        <x:v>20.200000000000003</x:v>
      </x:c>
    </x:row>
    <x:row r="508" ht="22" customHeight="1">
      <x:c r="A508" s="11" t="n">
        <x:v>504</x:v>
      </x:c>
      <x:c r="B508" s="11" t="n">
        <x:v>255</x:v>
      </x:c>
      <x:c r="C508" s="18" t="n">
        <x:v>45579</x:v>
      </x:c>
      <x:c r="D508" s="11" t="str">
        <x:v>2024-10</x:v>
      </x:c>
      <x:c r="E508" s="11" t="str">
        <x:v>East</x:v>
      </x:c>
      <x:c r="F508" s="11" t="str">
        <x:v>Furniture</x:v>
      </x:c>
      <x:c r="G508" s="11" t="str">
        <x:v>Chair</x:v>
      </x:c>
      <x:c r="H508" s="11" t="n">
        <x:v>1</x:v>
      </x:c>
      <x:c r="I508" s="19" t="n">
        <x:v>0.05</x:v>
      </x:c>
      <x:c r="J508" s="11" t="n">
        <x:v>0</x:v>
      </x:c>
      <x:c r="K508" s="20" t="n">
        <x:v>170</x:v>
      </x:c>
      <x:c r="L508" s="20" t="n">
        <x:v>8.5</x:v>
      </x:c>
      <x:c r="M508" s="20" t="n">
        <x:v>110</x:v>
      </x:c>
      <x:c r="N508" s="20" t="n">
        <x:f>IF(J508=1,0,K508-L508)</x:f>
        <x:v>161.5</x:v>
      </x:c>
      <x:c r="O508" s="20" t="n">
        <x:f>N508-M508</x:f>
        <x:v>51.5</x:v>
      </x:c>
    </x:row>
    <x:row r="509" ht="22" customHeight="1">
      <x:c r="A509" s="11" t="n">
        <x:v>505</x:v>
      </x:c>
      <x:c r="B509" s="11" t="n">
        <x:v>256</x:v>
      </x:c>
      <x:c r="C509" s="18" t="n">
        <x:v>45689</x:v>
      </x:c>
      <x:c r="D509" s="11" t="str">
        <x:v>2025-02</x:v>
      </x:c>
      <x:c r="E509" s="11" t="str">
        <x:v>South</x:v>
      </x:c>
      <x:c r="F509" s="11" t="str">
        <x:v>Furniture</x:v>
      </x:c>
      <x:c r="G509" s="11" t="str">
        <x:v>Chair</x:v>
      </x:c>
      <x:c r="H509" s="11" t="n">
        <x:v>5</x:v>
      </x:c>
      <x:c r="I509" s="19" t="n">
        <x:v>0.15</x:v>
      </x:c>
      <x:c r="J509" s="11" t="n">
        <x:v>0</x:v>
      </x:c>
      <x:c r="K509" s="20" t="n">
        <x:v>850</x:v>
      </x:c>
      <x:c r="L509" s="20" t="n">
        <x:v>127.5</x:v>
      </x:c>
      <x:c r="M509" s="20" t="n">
        <x:v>550</x:v>
      </x:c>
      <x:c r="N509" s="20" t="n">
        <x:f>IF(J509=1,0,K509-L509)</x:f>
        <x:v>722.5</x:v>
      </x:c>
      <x:c r="O509" s="20" t="n">
        <x:f>N509-M509</x:f>
        <x:v>172.5</x:v>
      </x:c>
    </x:row>
    <x:row r="510" ht="22" customHeight="1">
      <x:c r="A510" s="11" t="n">
        <x:v>506</x:v>
      </x:c>
      <x:c r="B510" s="11" t="n">
        <x:v>257</x:v>
      </x:c>
      <x:c r="C510" s="18" t="n">
        <x:v>46006</x:v>
      </x:c>
      <x:c r="D510" s="11" t="str">
        <x:v>2025-12</x:v>
      </x:c>
      <x:c r="E510" s="11" t="str">
        <x:v>East</x:v>
      </x:c>
      <x:c r="F510" s="11" t="str">
        <x:v>Office Supplies</x:v>
      </x:c>
      <x:c r="G510" s="11" t="str">
        <x:v>Storage box</x:v>
      </x:c>
      <x:c r="H510" s="11" t="n">
        <x:v>5</x:v>
      </x:c>
      <x:c r="I510" s="19" t="n">
        <x:v>0</x:v>
      </x:c>
      <x:c r="J510" s="11" t="n">
        <x:v>0</x:v>
      </x:c>
      <x:c r="K510" s="20" t="n">
        <x:v>130</x:v>
      </x:c>
      <x:c r="L510" s="20" t="n">
        <x:v>0</x:v>
      </x:c>
      <x:c r="M510" s="20" t="n">
        <x:v>60</x:v>
      </x:c>
      <x:c r="N510" s="20" t="n">
        <x:f>IF(J510=1,0,K510-L510)</x:f>
        <x:v>130</x:v>
      </x:c>
      <x:c r="O510" s="20" t="n">
        <x:f>N510-M510</x:f>
        <x:v>70</x:v>
      </x:c>
    </x:row>
    <x:row r="511" ht="22" customHeight="1">
      <x:c r="A511" s="11" t="n">
        <x:v>507</x:v>
      </x:c>
      <x:c r="B511" s="11" t="n">
        <x:v>257</x:v>
      </x:c>
      <x:c r="C511" s="18" t="n">
        <x:v>46006</x:v>
      </x:c>
      <x:c r="D511" s="11" t="str">
        <x:v>2025-12</x:v>
      </x:c>
      <x:c r="E511" s="11" t="str">
        <x:v>East</x:v>
      </x:c>
      <x:c r="F511" s="11" t="str">
        <x:v>Technology</x:v>
      </x:c>
      <x:c r="G511" s="11" t="str">
        <x:v>Monitor</x:v>
      </x:c>
      <x:c r="H511" s="11" t="n">
        <x:v>4</x:v>
      </x:c>
      <x:c r="I511" s="19" t="n">
        <x:v>0.15</x:v>
      </x:c>
      <x:c r="J511" s="11" t="n">
        <x:v>0</x:v>
      </x:c>
      <x:c r="K511" s="20" t="n">
        <x:v>960</x:v>
      </x:c>
      <x:c r="L511" s="20" t="n">
        <x:v>144</x:v>
      </x:c>
      <x:c r="M511" s="20" t="n">
        <x:v>640</x:v>
      </x:c>
      <x:c r="N511" s="20" t="n">
        <x:f>IF(J511=1,0,K511-L511)</x:f>
        <x:v>816</x:v>
      </x:c>
      <x:c r="O511" s="20" t="n">
        <x:f>N511-M511</x:f>
        <x:v>176</x:v>
      </x:c>
    </x:row>
    <x:row r="512" ht="22" customHeight="1">
      <x:c r="A512" s="11" t="n">
        <x:v>508</x:v>
      </x:c>
      <x:c r="B512" s="11" t="n">
        <x:v>257</x:v>
      </x:c>
      <x:c r="C512" s="18" t="n">
        <x:v>46006</x:v>
      </x:c>
      <x:c r="D512" s="11" t="str">
        <x:v>2025-12</x:v>
      </x:c>
      <x:c r="E512" s="11" t="str">
        <x:v>East</x:v>
      </x:c>
      <x:c r="F512" s="11" t="str">
        <x:v>Furniture</x:v>
      </x:c>
      <x:c r="G512" s="11" t="str">
        <x:v>Chair</x:v>
      </x:c>
      <x:c r="H512" s="11" t="n">
        <x:v>4</x:v>
      </x:c>
      <x:c r="I512" s="19" t="n">
        <x:v>0</x:v>
      </x:c>
      <x:c r="J512" s="11" t="n">
        <x:v>0</x:v>
      </x:c>
      <x:c r="K512" s="20" t="n">
        <x:v>680</x:v>
      </x:c>
      <x:c r="L512" s="20" t="n">
        <x:v>0</x:v>
      </x:c>
      <x:c r="M512" s="20" t="n">
        <x:v>440</x:v>
      </x:c>
      <x:c r="N512" s="20" t="n">
        <x:f>IF(J512=1,0,K512-L512)</x:f>
        <x:v>680</x:v>
      </x:c>
      <x:c r="O512" s="20" t="n">
        <x:f>N512-M512</x:f>
        <x:v>240</x:v>
      </x:c>
    </x:row>
    <x:row r="513" ht="22" customHeight="1">
      <x:c r="A513" s="11" t="n">
        <x:v>509</x:v>
      </x:c>
      <x:c r="B513" s="11" t="n">
        <x:v>258</x:v>
      </x:c>
      <x:c r="C513" s="18" t="n">
        <x:v>45530</x:v>
      </x:c>
      <x:c r="D513" s="11" t="str">
        <x:v>2024-08</x:v>
      </x:c>
      <x:c r="E513" s="11" t="str">
        <x:v>Central</x:v>
      </x:c>
      <x:c r="F513" s="11" t="str">
        <x:v>Office Supplies</x:v>
      </x:c>
      <x:c r="G513" s="11" t="str">
        <x:v>Notebook pack</x:v>
      </x:c>
      <x:c r="H513" s="11" t="n">
        <x:v>4</x:v>
      </x:c>
      <x:c r="I513" s="19" t="n">
        <x:v>0</x:v>
      </x:c>
      <x:c r="J513" s="11" t="n">
        <x:v>0</x:v>
      </x:c>
      <x:c r="K513" s="20" t="n">
        <x:v>72</x:v>
      </x:c>
      <x:c r="L513" s="20" t="n">
        <x:v>0</x:v>
      </x:c>
      <x:c r="M513" s="20" t="n">
        <x:v>28</x:v>
      </x:c>
      <x:c r="N513" s="20" t="n">
        <x:f>IF(J513=1,0,K513-L513)</x:f>
        <x:v>72</x:v>
      </x:c>
      <x:c r="O513" s="20" t="n">
        <x:f>N513-M513</x:f>
        <x:v>44</x:v>
      </x:c>
    </x:row>
    <x:row r="514" ht="22" customHeight="1">
      <x:c r="A514" s="11" t="n">
        <x:v>510</x:v>
      </x:c>
      <x:c r="B514" s="11" t="n">
        <x:v>259</x:v>
      </x:c>
      <x:c r="C514" s="18" t="n">
        <x:v>45920</x:v>
      </x:c>
      <x:c r="D514" s="11" t="str">
        <x:v>2025-09</x:v>
      </x:c>
      <x:c r="E514" s="11" t="str">
        <x:v>Central</x:v>
      </x:c>
      <x:c r="F514" s="11" t="str">
        <x:v>Office Supplies</x:v>
      </x:c>
      <x:c r="G514" s="11" t="str">
        <x:v>Storage box</x:v>
      </x:c>
      <x:c r="H514" s="11" t="n">
        <x:v>3</x:v>
      </x:c>
      <x:c r="I514" s="19" t="n">
        <x:v>0</x:v>
      </x:c>
      <x:c r="J514" s="11" t="n">
        <x:v>1</x:v>
      </x:c>
      <x:c r="K514" s="20" t="n">
        <x:v>78</x:v>
      </x:c>
      <x:c r="L514" s="20" t="n">
        <x:v>0</x:v>
      </x:c>
      <x:c r="M514" s="20" t="n">
        <x:v>0</x:v>
      </x:c>
      <x:c r="N514" s="20" t="n">
        <x:f>IF(J514=1,0,K514-L514)</x:f>
        <x:v>0</x:v>
      </x:c>
      <x:c r="O514" s="20" t="n">
        <x:f>N514-M514</x:f>
        <x:v>0</x:v>
      </x:c>
    </x:row>
    <x:row r="515" ht="22" customHeight="1">
      <x:c r="A515" s="11" t="n">
        <x:v>511</x:v>
      </x:c>
      <x:c r="B515" s="11" t="n">
        <x:v>259</x:v>
      </x:c>
      <x:c r="C515" s="18" t="n">
        <x:v>45920</x:v>
      </x:c>
      <x:c r="D515" s="11" t="str">
        <x:v>2025-09</x:v>
      </x:c>
      <x:c r="E515" s="11" t="str">
        <x:v>Central</x:v>
      </x:c>
      <x:c r="F515" s="11" t="str">
        <x:v>Furniture</x:v>
      </x:c>
      <x:c r="G515" s="11" t="str">
        <x:v>Chair</x:v>
      </x:c>
      <x:c r="H515" s="11" t="n">
        <x:v>5</x:v>
      </x:c>
      <x:c r="I515" s="19" t="n">
        <x:v>0</x:v>
      </x:c>
      <x:c r="J515" s="11" t="n">
        <x:v>0</x:v>
      </x:c>
      <x:c r="K515" s="20" t="n">
        <x:v>850</x:v>
      </x:c>
      <x:c r="L515" s="20" t="n">
        <x:v>0</x:v>
      </x:c>
      <x:c r="M515" s="20" t="n">
        <x:v>550</x:v>
      </x:c>
      <x:c r="N515" s="20" t="n">
        <x:f>IF(J515=1,0,K515-L515)</x:f>
        <x:v>850</x:v>
      </x:c>
      <x:c r="O515" s="20" t="n">
        <x:f>N515-M515</x:f>
        <x:v>300</x:v>
      </x:c>
    </x:row>
    <x:row r="516" ht="22" customHeight="1">
      <x:c r="A516" s="11" t="n">
        <x:v>512</x:v>
      </x:c>
      <x:c r="B516" s="11" t="n">
        <x:v>260</x:v>
      </x:c>
      <x:c r="C516" s="18" t="n">
        <x:v>45830</x:v>
      </x:c>
      <x:c r="D516" s="11" t="str">
        <x:v>2025-06</x:v>
      </x:c>
      <x:c r="E516" s="11" t="str">
        <x:v>East</x:v>
      </x:c>
      <x:c r="F516" s="11" t="str">
        <x:v>Office Supplies</x:v>
      </x:c>
      <x:c r="G516" s="11" t="str">
        <x:v>Storage box</x:v>
      </x:c>
      <x:c r="H516" s="11" t="n">
        <x:v>5</x:v>
      </x:c>
      <x:c r="I516" s="19" t="n">
        <x:v>0</x:v>
      </x:c>
      <x:c r="J516" s="11" t="n">
        <x:v>0</x:v>
      </x:c>
      <x:c r="K516" s="20" t="n">
        <x:v>130</x:v>
      </x:c>
      <x:c r="L516" s="20" t="n">
        <x:v>0</x:v>
      </x:c>
      <x:c r="M516" s="20" t="n">
        <x:v>60</x:v>
      </x:c>
      <x:c r="N516" s="20" t="n">
        <x:f>IF(J516=1,0,K516-L516)</x:f>
        <x:v>130</x:v>
      </x:c>
      <x:c r="O516" s="20" t="n">
        <x:f>N516-M516</x:f>
        <x:v>70</x:v>
      </x:c>
    </x:row>
    <x:row r="517" ht="22" customHeight="1">
      <x:c r="A517" s="11" t="n">
        <x:v>513</x:v>
      </x:c>
      <x:c r="B517" s="11" t="n">
        <x:v>260</x:v>
      </x:c>
      <x:c r="C517" s="18" t="n">
        <x:v>45830</x:v>
      </x:c>
      <x:c r="D517" s="11" t="str">
        <x:v>2025-06</x:v>
      </x:c>
      <x:c r="E517" s="11" t="str">
        <x:v>East</x:v>
      </x:c>
      <x:c r="F517" s="11" t="str">
        <x:v>Technology</x:v>
      </x:c>
      <x:c r="G517" s="11" t="str">
        <x:v>Keyboard</x:v>
      </x:c>
      <x:c r="H517" s="11" t="n">
        <x:v>3</x:v>
      </x:c>
      <x:c r="I517" s="19" t="n">
        <x:v>0</x:v>
      </x:c>
      <x:c r="J517" s="11" t="n">
        <x:v>0</x:v>
      </x:c>
      <x:c r="K517" s="20" t="n">
        <x:v>195</x:v>
      </x:c>
      <x:c r="L517" s="20" t="n">
        <x:v>0</x:v>
      </x:c>
      <x:c r="M517" s="20" t="n">
        <x:v>96</x:v>
      </x:c>
      <x:c r="N517" s="20" t="n">
        <x:f>IF(J517=1,0,K517-L517)</x:f>
        <x:v>195</x:v>
      </x:c>
      <x:c r="O517" s="20" t="n">
        <x:f>N517-M517</x:f>
        <x:v>99</x:v>
      </x:c>
    </x:row>
    <x:row r="518" ht="22" customHeight="1">
      <x:c r="A518" s="11" t="n">
        <x:v>514</x:v>
      </x:c>
      <x:c r="B518" s="11" t="n">
        <x:v>261</x:v>
      </x:c>
      <x:c r="C518" s="18" t="n">
        <x:v>45739</x:v>
      </x:c>
      <x:c r="D518" s="11" t="str">
        <x:v>2025-03</x:v>
      </x:c>
      <x:c r="E518" s="11" t="str">
        <x:v>West</x:v>
      </x:c>
      <x:c r="F518" s="11" t="str">
        <x:v>Technology</x:v>
      </x:c>
      <x:c r="G518" s="11" t="str">
        <x:v>Monitor</x:v>
      </x:c>
      <x:c r="H518" s="11" t="n">
        <x:v>2</x:v>
      </x:c>
      <x:c r="I518" s="19" t="n">
        <x:v>0.15</x:v>
      </x:c>
      <x:c r="J518" s="11" t="n">
        <x:v>0</x:v>
      </x:c>
      <x:c r="K518" s="20" t="n">
        <x:v>480</x:v>
      </x:c>
      <x:c r="L518" s="20" t="n">
        <x:v>72</x:v>
      </x:c>
      <x:c r="M518" s="20" t="n">
        <x:v>320</x:v>
      </x:c>
      <x:c r="N518" s="20" t="n">
        <x:f>IF(J518=1,0,K518-L518)</x:f>
        <x:v>408</x:v>
      </x:c>
      <x:c r="O518" s="20" t="n">
        <x:f>N518-M518</x:f>
        <x:v>88</x:v>
      </x:c>
    </x:row>
    <x:row r="519" ht="22" customHeight="1">
      <x:c r="A519" s="11" t="n">
        <x:v>515</x:v>
      </x:c>
      <x:c r="B519" s="11" t="n">
        <x:v>261</x:v>
      </x:c>
      <x:c r="C519" s="18" t="n">
        <x:v>45739</x:v>
      </x:c>
      <x:c r="D519" s="11" t="str">
        <x:v>2025-03</x:v>
      </x:c>
      <x:c r="E519" s="11" t="str">
        <x:v>West</x:v>
      </x:c>
      <x:c r="F519" s="11" t="str">
        <x:v>Furniture</x:v>
      </x:c>
      <x:c r="G519" s="11" t="str">
        <x:v>Chair</x:v>
      </x:c>
      <x:c r="H519" s="11" t="n">
        <x:v>4</x:v>
      </x:c>
      <x:c r="I519" s="19" t="n">
        <x:v>0.1</x:v>
      </x:c>
      <x:c r="J519" s="11" t="n">
        <x:v>0</x:v>
      </x:c>
      <x:c r="K519" s="20" t="n">
        <x:v>680</x:v>
      </x:c>
      <x:c r="L519" s="20" t="n">
        <x:v>68</x:v>
      </x:c>
      <x:c r="M519" s="20" t="n">
        <x:v>440</x:v>
      </x:c>
      <x:c r="N519" s="20" t="n">
        <x:f>IF(J519=1,0,K519-L519)</x:f>
        <x:v>612</x:v>
      </x:c>
      <x:c r="O519" s="20" t="n">
        <x:f>N519-M519</x:f>
        <x:v>172</x:v>
      </x:c>
    </x:row>
    <x:row r="520" ht="22" customHeight="1">
      <x:c r="A520" s="11" t="n">
        <x:v>516</x:v>
      </x:c>
      <x:c r="B520" s="11" t="n">
        <x:v>261</x:v>
      </x:c>
      <x:c r="C520" s="18" t="n">
        <x:v>45739</x:v>
      </x:c>
      <x:c r="D520" s="11" t="str">
        <x:v>2025-03</x:v>
      </x:c>
      <x:c r="E520" s="11" t="str">
        <x:v>West</x:v>
      </x:c>
      <x:c r="F520" s="11" t="str">
        <x:v>Office Supplies</x:v>
      </x:c>
      <x:c r="G520" s="11" t="str">
        <x:v>Storage box</x:v>
      </x:c>
      <x:c r="H520" s="11" t="n">
        <x:v>3</x:v>
      </x:c>
      <x:c r="I520" s="19" t="n">
        <x:v>0</x:v>
      </x:c>
      <x:c r="J520" s="11" t="n">
        <x:v>0</x:v>
      </x:c>
      <x:c r="K520" s="20" t="n">
        <x:v>78</x:v>
      </x:c>
      <x:c r="L520" s="20" t="n">
        <x:v>0</x:v>
      </x:c>
      <x:c r="M520" s="20" t="n">
        <x:v>36</x:v>
      </x:c>
      <x:c r="N520" s="20" t="n">
        <x:f>IF(J520=1,0,K520-L520)</x:f>
        <x:v>78</x:v>
      </x:c>
      <x:c r="O520" s="20" t="n">
        <x:f>N520-M520</x:f>
        <x:v>42</x:v>
      </x:c>
    </x:row>
    <x:row r="521" ht="22" customHeight="1">
      <x:c r="A521" s="11" t="n">
        <x:v>517</x:v>
      </x:c>
      <x:c r="B521" s="11" t="n">
        <x:v>262</x:v>
      </x:c>
      <x:c r="C521" s="18" t="n">
        <x:v>45293</x:v>
      </x:c>
      <x:c r="D521" s="11" t="str">
        <x:v>2024-01</x:v>
      </x:c>
      <x:c r="E521" s="11" t="str">
        <x:v>Central</x:v>
      </x:c>
      <x:c r="F521" s="11" t="str">
        <x:v>Furniture</x:v>
      </x:c>
      <x:c r="G521" s="11" t="str">
        <x:v>Desk</x:v>
      </x:c>
      <x:c r="H521" s="11" t="n">
        <x:v>5</x:v>
      </x:c>
      <x:c r="I521" s="19" t="n">
        <x:v>0.05</x:v>
      </x:c>
      <x:c r="J521" s="11" t="n">
        <x:v>0</x:v>
      </x:c>
      <x:c r="K521" s="20" t="n">
        <x:v>1400</x:v>
      </x:c>
      <x:c r="L521" s="20" t="n">
        <x:v>70</x:v>
      </x:c>
      <x:c r="M521" s="20" t="n">
        <x:v>950</x:v>
      </x:c>
      <x:c r="N521" s="20" t="n">
        <x:f>IF(J521=1,0,K521-L521)</x:f>
        <x:v>1330</x:v>
      </x:c>
      <x:c r="O521" s="20" t="n">
        <x:f>N521-M521</x:f>
        <x:v>380</x:v>
      </x:c>
    </x:row>
    <x:row r="522" ht="22" customHeight="1">
      <x:c r="A522" s="11" t="n">
        <x:v>518</x:v>
      </x:c>
      <x:c r="B522" s="11" t="n">
        <x:v>262</x:v>
      </x:c>
      <x:c r="C522" s="18" t="n">
        <x:v>45293</x:v>
      </x:c>
      <x:c r="D522" s="11" t="str">
        <x:v>2024-01</x:v>
      </x:c>
      <x:c r="E522" s="11" t="str">
        <x:v>Central</x:v>
      </x:c>
      <x:c r="F522" s="11" t="str">
        <x:v>Furniture</x:v>
      </x:c>
      <x:c r="G522" s="11" t="str">
        <x:v>Chair</x:v>
      </x:c>
      <x:c r="H522" s="11" t="n">
        <x:v>1</x:v>
      </x:c>
      <x:c r="I522" s="19" t="n">
        <x:v>0.35</x:v>
      </x:c>
      <x:c r="J522" s="11" t="n">
        <x:v>0</x:v>
      </x:c>
      <x:c r="K522" s="20" t="n">
        <x:v>170</x:v>
      </x:c>
      <x:c r="L522" s="20" t="n">
        <x:v>59.5</x:v>
      </x:c>
      <x:c r="M522" s="20" t="n">
        <x:v>110</x:v>
      </x:c>
      <x:c r="N522" s="20" t="n">
        <x:f>IF(J522=1,0,K522-L522)</x:f>
        <x:v>110.5</x:v>
      </x:c>
      <x:c r="O522" s="20" t="n">
        <x:f>N522-M522</x:f>
        <x:v>0.5</x:v>
      </x:c>
    </x:row>
    <x:row r="523" ht="22" customHeight="1">
      <x:c r="A523" s="11" t="n">
        <x:v>519</x:v>
      </x:c>
      <x:c r="B523" s="11" t="n">
        <x:v>262</x:v>
      </x:c>
      <x:c r="C523" s="18" t="n">
        <x:v>45293</x:v>
      </x:c>
      <x:c r="D523" s="11" t="str">
        <x:v>2024-01</x:v>
      </x:c>
      <x:c r="E523" s="11" t="str">
        <x:v>Central</x:v>
      </x:c>
      <x:c r="F523" s="11" t="str">
        <x:v>Technology</x:v>
      </x:c>
      <x:c r="G523" s="11" t="str">
        <x:v>Monitor</x:v>
      </x:c>
      <x:c r="H523" s="11" t="n">
        <x:v>1</x:v>
      </x:c>
      <x:c r="I523" s="19" t="n">
        <x:v>0</x:v>
      </x:c>
      <x:c r="J523" s="11" t="n">
        <x:v>0</x:v>
      </x:c>
      <x:c r="K523" s="20" t="n">
        <x:v>240</x:v>
      </x:c>
      <x:c r="L523" s="20" t="n">
        <x:v>0</x:v>
      </x:c>
      <x:c r="M523" s="20" t="n">
        <x:v>160</x:v>
      </x:c>
      <x:c r="N523" s="20" t="n">
        <x:f>IF(J523=1,0,K523-L523)</x:f>
        <x:v>240</x:v>
      </x:c>
      <x:c r="O523" s="20" t="n">
        <x:f>N523-M523</x:f>
        <x:v>80</x:v>
      </x:c>
    </x:row>
    <x:row r="524" ht="22" customHeight="1">
      <x:c r="A524" s="11" t="n">
        <x:v>520</x:v>
      </x:c>
      <x:c r="B524" s="11" t="n">
        <x:v>263</x:v>
      </x:c>
      <x:c r="C524" s="18" t="n">
        <x:v>45619</x:v>
      </x:c>
      <x:c r="D524" s="11" t="str">
        <x:v>2024-11</x:v>
      </x:c>
      <x:c r="E524" s="11" t="str">
        <x:v>West</x:v>
      </x:c>
      <x:c r="F524" s="11" t="str">
        <x:v>Office Supplies</x:v>
      </x:c>
      <x:c r="G524" s="11" t="str">
        <x:v>Storage box</x:v>
      </x:c>
      <x:c r="H524" s="11" t="n">
        <x:v>1</x:v>
      </x:c>
      <x:c r="I524" s="19" t="n">
        <x:v>0.05</x:v>
      </x:c>
      <x:c r="J524" s="11" t="n">
        <x:v>0</x:v>
      </x:c>
      <x:c r="K524" s="20" t="n">
        <x:v>26</x:v>
      </x:c>
      <x:c r="L524" s="20" t="n">
        <x:v>1.3</x:v>
      </x:c>
      <x:c r="M524" s="20" t="n">
        <x:v>12</x:v>
      </x:c>
      <x:c r="N524" s="20" t="n">
        <x:f>IF(J524=1,0,K524-L524)</x:f>
        <x:v>24.7</x:v>
      </x:c>
      <x:c r="O524" s="20" t="n">
        <x:f>N524-M524</x:f>
        <x:v>12.7</x:v>
      </x:c>
    </x:row>
    <x:row r="525" ht="22" customHeight="1">
      <x:c r="A525" s="11" t="n">
        <x:v>521</x:v>
      </x:c>
      <x:c r="B525" s="11" t="n">
        <x:v>263</x:v>
      </x:c>
      <x:c r="C525" s="18" t="n">
        <x:v>45619</x:v>
      </x:c>
      <x:c r="D525" s="11" t="str">
        <x:v>2024-11</x:v>
      </x:c>
      <x:c r="E525" s="11" t="str">
        <x:v>West</x:v>
      </x:c>
      <x:c r="F525" s="11" t="str">
        <x:v>Technology</x:v>
      </x:c>
      <x:c r="G525" s="11" t="str">
        <x:v>Monitor</x:v>
      </x:c>
      <x:c r="H525" s="11" t="n">
        <x:v>1</x:v>
      </x:c>
      <x:c r="I525" s="19" t="n">
        <x:v>0.05</x:v>
      </x:c>
      <x:c r="J525" s="11" t="n">
        <x:v>0</x:v>
      </x:c>
      <x:c r="K525" s="20" t="n">
        <x:v>240</x:v>
      </x:c>
      <x:c r="L525" s="20" t="n">
        <x:v>12</x:v>
      </x:c>
      <x:c r="M525" s="20" t="n">
        <x:v>160</x:v>
      </x:c>
      <x:c r="N525" s="20" t="n">
        <x:f>IF(J525=1,0,K525-L525)</x:f>
        <x:v>228</x:v>
      </x:c>
      <x:c r="O525" s="20" t="n">
        <x:f>N525-M525</x:f>
        <x:v>68</x:v>
      </x:c>
    </x:row>
    <x:row r="526" ht="22" customHeight="1">
      <x:c r="A526" s="11" t="n">
        <x:v>522</x:v>
      </x:c>
      <x:c r="B526" s="11" t="n">
        <x:v>263</x:v>
      </x:c>
      <x:c r="C526" s="18" t="n">
        <x:v>45619</x:v>
      </x:c>
      <x:c r="D526" s="11" t="str">
        <x:v>2024-11</x:v>
      </x:c>
      <x:c r="E526" s="11" t="str">
        <x:v>West</x:v>
      </x:c>
      <x:c r="F526" s="11" t="str">
        <x:v>Technology</x:v>
      </x:c>
      <x:c r="G526" s="11" t="str">
        <x:v>Keyboard</x:v>
      </x:c>
      <x:c r="H526" s="11" t="n">
        <x:v>1</x:v>
      </x:c>
      <x:c r="I526" s="19" t="n">
        <x:v>0</x:v>
      </x:c>
      <x:c r="J526" s="11" t="n">
        <x:v>1</x:v>
      </x:c>
      <x:c r="K526" s="20" t="n">
        <x:v>65</x:v>
      </x:c>
      <x:c r="L526" s="20" t="n">
        <x:v>0</x:v>
      </x:c>
      <x:c r="M526" s="20" t="n">
        <x:v>0</x:v>
      </x:c>
      <x:c r="N526" s="20" t="n">
        <x:f>IF(J526=1,0,K526-L526)</x:f>
        <x:v>0</x:v>
      </x:c>
      <x:c r="O526" s="20" t="n">
        <x:f>N526-M526</x:f>
        <x:v>0</x:v>
      </x:c>
    </x:row>
    <x:row r="527" ht="22" customHeight="1">
      <x:c r="A527" s="11" t="n">
        <x:v>523</x:v>
      </x:c>
      <x:c r="B527" s="11" t="n">
        <x:v>264</x:v>
      </x:c>
      <x:c r="C527" s="18" t="n">
        <x:v>45740</x:v>
      </x:c>
      <x:c r="D527" s="11" t="str">
        <x:v>2025-03</x:v>
      </x:c>
      <x:c r="E527" s="11" t="str">
        <x:v>East</x:v>
      </x:c>
      <x:c r="F527" s="11" t="str">
        <x:v>Technology</x:v>
      </x:c>
      <x:c r="G527" s="11" t="str">
        <x:v>Keyboard</x:v>
      </x:c>
      <x:c r="H527" s="11" t="n">
        <x:v>4</x:v>
      </x:c>
      <x:c r="I527" s="19" t="n">
        <x:v>0.1</x:v>
      </x:c>
      <x:c r="J527" s="11" t="n">
        <x:v>0</x:v>
      </x:c>
      <x:c r="K527" s="20" t="n">
        <x:v>260</x:v>
      </x:c>
      <x:c r="L527" s="20" t="n">
        <x:v>26</x:v>
      </x:c>
      <x:c r="M527" s="20" t="n">
        <x:v>128</x:v>
      </x:c>
      <x:c r="N527" s="20" t="n">
        <x:f>IF(J527=1,0,K527-L527)</x:f>
        <x:v>234</x:v>
      </x:c>
      <x:c r="O527" s="20" t="n">
        <x:f>N527-M527</x:f>
        <x:v>106</x:v>
      </x:c>
    </x:row>
    <x:row r="528" ht="22" customHeight="1">
      <x:c r="A528" s="11" t="n">
        <x:v>524</x:v>
      </x:c>
      <x:c r="B528" s="11" t="n">
        <x:v>265</x:v>
      </x:c>
      <x:c r="C528" s="18" t="n">
        <x:v>45676</x:v>
      </x:c>
      <x:c r="D528" s="11" t="str">
        <x:v>2025-01</x:v>
      </x:c>
      <x:c r="E528" s="11" t="str">
        <x:v>South</x:v>
      </x:c>
      <x:c r="F528" s="11" t="str">
        <x:v>Office Supplies</x:v>
      </x:c>
      <x:c r="G528" s="11" t="str">
        <x:v>Storage box</x:v>
      </x:c>
      <x:c r="H528" s="11" t="n">
        <x:v>4</x:v>
      </x:c>
      <x:c r="I528" s="19" t="n">
        <x:v>0</x:v>
      </x:c>
      <x:c r="J528" s="11" t="n">
        <x:v>0</x:v>
      </x:c>
      <x:c r="K528" s="20" t="n">
        <x:v>104</x:v>
      </x:c>
      <x:c r="L528" s="20" t="n">
        <x:v>0</x:v>
      </x:c>
      <x:c r="M528" s="20" t="n">
        <x:v>48</x:v>
      </x:c>
      <x:c r="N528" s="20" t="n">
        <x:f>IF(J528=1,0,K528-L528)</x:f>
        <x:v>104</x:v>
      </x:c>
      <x:c r="O528" s="20" t="n">
        <x:f>N528-M528</x:f>
        <x:v>56</x:v>
      </x:c>
    </x:row>
    <x:row r="529" ht="22" customHeight="1">
      <x:c r="A529" s="11" t="n">
        <x:v>525</x:v>
      </x:c>
      <x:c r="B529" s="11" t="n">
        <x:v>265</x:v>
      </x:c>
      <x:c r="C529" s="18" t="n">
        <x:v>45676</x:v>
      </x:c>
      <x:c r="D529" s="11" t="str">
        <x:v>2025-01</x:v>
      </x:c>
      <x:c r="E529" s="11" t="str">
        <x:v>South</x:v>
      </x:c>
      <x:c r="F529" s="11" t="str">
        <x:v>Furniture</x:v>
      </x:c>
      <x:c r="G529" s="11" t="str">
        <x:v>Chair</x:v>
      </x:c>
      <x:c r="H529" s="11" t="n">
        <x:v>1</x:v>
      </x:c>
      <x:c r="I529" s="19" t="n">
        <x:v>0.1</x:v>
      </x:c>
      <x:c r="J529" s="11" t="n">
        <x:v>1</x:v>
      </x:c>
      <x:c r="K529" s="20" t="n">
        <x:v>170</x:v>
      </x:c>
      <x:c r="L529" s="20" t="n">
        <x:v>17</x:v>
      </x:c>
      <x:c r="M529" s="20" t="n">
        <x:v>0</x:v>
      </x:c>
      <x:c r="N529" s="20" t="n">
        <x:f>IF(J529=1,0,K529-L529)</x:f>
        <x:v>0</x:v>
      </x:c>
      <x:c r="O529" s="20" t="n">
        <x:f>N529-M529</x:f>
        <x:v>0</x:v>
      </x:c>
    </x:row>
    <x:row r="530" ht="22" customHeight="1">
      <x:c r="A530" s="11" t="n">
        <x:v>526</x:v>
      </x:c>
      <x:c r="B530" s="11" t="n">
        <x:v>265</x:v>
      </x:c>
      <x:c r="C530" s="18" t="n">
        <x:v>45676</x:v>
      </x:c>
      <x:c r="D530" s="11" t="str">
        <x:v>2025-01</x:v>
      </x:c>
      <x:c r="E530" s="11" t="str">
        <x:v>South</x:v>
      </x:c>
      <x:c r="F530" s="11" t="str">
        <x:v>Office Supplies</x:v>
      </x:c>
      <x:c r="G530" s="11" t="str">
        <x:v>Notebook pack</x:v>
      </x:c>
      <x:c r="H530" s="11" t="n">
        <x:v>3</x:v>
      </x:c>
      <x:c r="I530" s="19" t="n">
        <x:v>0</x:v>
      </x:c>
      <x:c r="J530" s="11" t="n">
        <x:v>0</x:v>
      </x:c>
      <x:c r="K530" s="20" t="n">
        <x:v>54</x:v>
      </x:c>
      <x:c r="L530" s="20" t="n">
        <x:v>0</x:v>
      </x:c>
      <x:c r="M530" s="20" t="n">
        <x:v>21</x:v>
      </x:c>
      <x:c r="N530" s="20" t="n">
        <x:f>IF(J530=1,0,K530-L530)</x:f>
        <x:v>54</x:v>
      </x:c>
      <x:c r="O530" s="20" t="n">
        <x:f>N530-M530</x:f>
        <x:v>33</x:v>
      </x:c>
    </x:row>
    <x:row r="531" ht="22" customHeight="1">
      <x:c r="A531" s="11" t="n">
        <x:v>527</x:v>
      </x:c>
      <x:c r="B531" s="11" t="n">
        <x:v>266</x:v>
      </x:c>
      <x:c r="C531" s="18" t="n">
        <x:v>45466</x:v>
      </x:c>
      <x:c r="D531" s="11" t="str">
        <x:v>2024-06</x:v>
      </x:c>
      <x:c r="E531" s="11" t="str">
        <x:v>South</x:v>
      </x:c>
      <x:c r="F531" s="11" t="str">
        <x:v>Furniture</x:v>
      </x:c>
      <x:c r="G531" s="11" t="str">
        <x:v>Desk</x:v>
      </x:c>
      <x:c r="H531" s="11" t="n">
        <x:v>3</x:v>
      </x:c>
      <x:c r="I531" s="19" t="n">
        <x:v>0.35</x:v>
      </x:c>
      <x:c r="J531" s="11" t="n">
        <x:v>0</x:v>
      </x:c>
      <x:c r="K531" s="20" t="n">
        <x:v>840</x:v>
      </x:c>
      <x:c r="L531" s="20" t="n">
        <x:v>294</x:v>
      </x:c>
      <x:c r="M531" s="20" t="n">
        <x:v>570</x:v>
      </x:c>
      <x:c r="N531" s="20" t="n">
        <x:f>IF(J531=1,0,K531-L531)</x:f>
        <x:v>546</x:v>
      </x:c>
      <x:c r="O531" s="20" t="n">
        <x:f>N531-M531</x:f>
        <x:v>-24</x:v>
      </x:c>
    </x:row>
    <x:row r="532" ht="22" customHeight="1">
      <x:c r="A532" s="11" t="n">
        <x:v>528</x:v>
      </x:c>
      <x:c r="B532" s="11" t="n">
        <x:v>266</x:v>
      </x:c>
      <x:c r="C532" s="18" t="n">
        <x:v>45466</x:v>
      </x:c>
      <x:c r="D532" s="11" t="str">
        <x:v>2024-06</x:v>
      </x:c>
      <x:c r="E532" s="11" t="str">
        <x:v>South</x:v>
      </x:c>
      <x:c r="F532" s="11" t="str">
        <x:v>Office Supplies</x:v>
      </x:c>
      <x:c r="G532" s="11" t="str">
        <x:v>Notebook pack</x:v>
      </x:c>
      <x:c r="H532" s="11" t="n">
        <x:v>4</x:v>
      </x:c>
      <x:c r="I532" s="19" t="n">
        <x:v>0</x:v>
      </x:c>
      <x:c r="J532" s="11" t="n">
        <x:v>0</x:v>
      </x:c>
      <x:c r="K532" s="20" t="n">
        <x:v>72</x:v>
      </x:c>
      <x:c r="L532" s="20" t="n">
        <x:v>0</x:v>
      </x:c>
      <x:c r="M532" s="20" t="n">
        <x:v>28</x:v>
      </x:c>
      <x:c r="N532" s="20" t="n">
        <x:f>IF(J532=1,0,K532-L532)</x:f>
        <x:v>72</x:v>
      </x:c>
      <x:c r="O532" s="20" t="n">
        <x:f>N532-M532</x:f>
        <x:v>44</x:v>
      </x:c>
    </x:row>
    <x:row r="533" ht="22" customHeight="1">
      <x:c r="A533" s="11" t="n">
        <x:v>529</x:v>
      </x:c>
      <x:c r="B533" s="11" t="n">
        <x:v>266</x:v>
      </x:c>
      <x:c r="C533" s="18" t="n">
        <x:v>45466</x:v>
      </x:c>
      <x:c r="D533" s="11" t="str">
        <x:v>2024-06</x:v>
      </x:c>
      <x:c r="E533" s="11" t="str">
        <x:v>South</x:v>
      </x:c>
      <x:c r="F533" s="11" t="str">
        <x:v>Office Supplies</x:v>
      </x:c>
      <x:c r="G533" s="11" t="str">
        <x:v>Storage box</x:v>
      </x:c>
      <x:c r="H533" s="11" t="n">
        <x:v>4</x:v>
      </x:c>
      <x:c r="I533" s="19" t="n">
        <x:v>0</x:v>
      </x:c>
      <x:c r="J533" s="11" t="n">
        <x:v>1</x:v>
      </x:c>
      <x:c r="K533" s="20" t="n">
        <x:v>104</x:v>
      </x:c>
      <x:c r="L533" s="20" t="n">
        <x:v>0</x:v>
      </x:c>
      <x:c r="M533" s="20" t="n">
        <x:v>0</x:v>
      </x:c>
      <x:c r="N533" s="20" t="n">
        <x:f>IF(J533=1,0,K533-L533)</x:f>
        <x:v>0</x:v>
      </x:c>
      <x:c r="O533" s="20" t="n">
        <x:f>N533-M533</x:f>
        <x:v>0</x:v>
      </x:c>
    </x:row>
    <x:row r="534" ht="22" customHeight="1">
      <x:c r="A534" s="11" t="n">
        <x:v>530</x:v>
      </x:c>
      <x:c r="B534" s="11" t="n">
        <x:v>267</x:v>
      </x:c>
      <x:c r="C534" s="18" t="n">
        <x:v>45631</x:v>
      </x:c>
      <x:c r="D534" s="11" t="str">
        <x:v>2024-12</x:v>
      </x:c>
      <x:c r="E534" s="11" t="str">
        <x:v>East</x:v>
      </x:c>
      <x:c r="F534" s="11" t="str">
        <x:v>Office Supplies</x:v>
      </x:c>
      <x:c r="G534" s="11" t="str">
        <x:v>Storage box</x:v>
      </x:c>
      <x:c r="H534" s="11" t="n">
        <x:v>5</x:v>
      </x:c>
      <x:c r="I534" s="19" t="n">
        <x:v>0.05</x:v>
      </x:c>
      <x:c r="J534" s="11" t="n">
        <x:v>0</x:v>
      </x:c>
      <x:c r="K534" s="20" t="n">
        <x:v>130</x:v>
      </x:c>
      <x:c r="L534" s="20" t="n">
        <x:v>6.5</x:v>
      </x:c>
      <x:c r="M534" s="20" t="n">
        <x:v>60</x:v>
      </x:c>
      <x:c r="N534" s="20" t="n">
        <x:f>IF(J534=1,0,K534-L534)</x:f>
        <x:v>123.5</x:v>
      </x:c>
      <x:c r="O534" s="20" t="n">
        <x:f>N534-M534</x:f>
        <x:v>63.5</x:v>
      </x:c>
    </x:row>
    <x:row r="535" ht="22" customHeight="1">
      <x:c r="A535" s="11" t="n">
        <x:v>531</x:v>
      </x:c>
      <x:c r="B535" s="11" t="n">
        <x:v>267</x:v>
      </x:c>
      <x:c r="C535" s="18" t="n">
        <x:v>45631</x:v>
      </x:c>
      <x:c r="D535" s="11" t="str">
        <x:v>2024-12</x:v>
      </x:c>
      <x:c r="E535" s="11" t="str">
        <x:v>East</x:v>
      </x:c>
      <x:c r="F535" s="11" t="str">
        <x:v>Office Supplies</x:v>
      </x:c>
      <x:c r="G535" s="11" t="str">
        <x:v>Notebook pack</x:v>
      </x:c>
      <x:c r="H535" s="11" t="n">
        <x:v>3</x:v>
      </x:c>
      <x:c r="I535" s="19" t="n">
        <x:v>0</x:v>
      </x:c>
      <x:c r="J535" s="11" t="n">
        <x:v>0</x:v>
      </x:c>
      <x:c r="K535" s="20" t="n">
        <x:v>54</x:v>
      </x:c>
      <x:c r="L535" s="20" t="n">
        <x:v>0</x:v>
      </x:c>
      <x:c r="M535" s="20" t="n">
        <x:v>21</x:v>
      </x:c>
      <x:c r="N535" s="20" t="n">
        <x:f>IF(J535=1,0,K535-L535)</x:f>
        <x:v>54</x:v>
      </x:c>
      <x:c r="O535" s="20" t="n">
        <x:f>N535-M535</x:f>
        <x:v>33</x:v>
      </x:c>
    </x:row>
    <x:row r="536" ht="22" customHeight="1">
      <x:c r="A536" s="11" t="n">
        <x:v>532</x:v>
      </x:c>
      <x:c r="B536" s="11" t="n">
        <x:v>268</x:v>
      </x:c>
      <x:c r="C536" s="18" t="n">
        <x:v>45694</x:v>
      </x:c>
      <x:c r="D536" s="11" t="str">
        <x:v>2025-02</x:v>
      </x:c>
      <x:c r="E536" s="11" t="str">
        <x:v>Central</x:v>
      </x:c>
      <x:c r="F536" s="11" t="str">
        <x:v>Furniture</x:v>
      </x:c>
      <x:c r="G536" s="11" t="str">
        <x:v>Desk</x:v>
      </x:c>
      <x:c r="H536" s="11" t="n">
        <x:v>3</x:v>
      </x:c>
      <x:c r="I536" s="19" t="n">
        <x:v>0</x:v>
      </x:c>
      <x:c r="J536" s="11" t="n">
        <x:v>0</x:v>
      </x:c>
      <x:c r="K536" s="20" t="n">
        <x:v>840</x:v>
      </x:c>
      <x:c r="L536" s="20" t="n">
        <x:v>0</x:v>
      </x:c>
      <x:c r="M536" s="20" t="n">
        <x:v>570</x:v>
      </x:c>
      <x:c r="N536" s="20" t="n">
        <x:f>IF(J536=1,0,K536-L536)</x:f>
        <x:v>840</x:v>
      </x:c>
      <x:c r="O536" s="20" t="n">
        <x:f>N536-M536</x:f>
        <x:v>270</x:v>
      </x:c>
    </x:row>
    <x:row r="537" ht="22" customHeight="1">
      <x:c r="A537" s="11" t="n">
        <x:v>533</x:v>
      </x:c>
      <x:c r="B537" s="11" t="n">
        <x:v>269</x:v>
      </x:c>
      <x:c r="C537" s="18" t="n">
        <x:v>45593</x:v>
      </x:c>
      <x:c r="D537" s="11" t="str">
        <x:v>2024-10</x:v>
      </x:c>
      <x:c r="E537" s="11" t="str">
        <x:v>West</x:v>
      </x:c>
      <x:c r="F537" s="11" t="str">
        <x:v>Furniture</x:v>
      </x:c>
      <x:c r="G537" s="11" t="str">
        <x:v>Desk</x:v>
      </x:c>
      <x:c r="H537" s="11" t="n">
        <x:v>1</x:v>
      </x:c>
      <x:c r="I537" s="19" t="n">
        <x:v>0.05</x:v>
      </x:c>
      <x:c r="J537" s="11" t="n">
        <x:v>0</x:v>
      </x:c>
      <x:c r="K537" s="20" t="n">
        <x:v>280</x:v>
      </x:c>
      <x:c r="L537" s="20" t="n">
        <x:v>14</x:v>
      </x:c>
      <x:c r="M537" s="20" t="n">
        <x:v>190</x:v>
      </x:c>
      <x:c r="N537" s="20" t="n">
        <x:f>IF(J537=1,0,K537-L537)</x:f>
        <x:v>266</x:v>
      </x:c>
      <x:c r="O537" s="20" t="n">
        <x:f>N537-M537</x:f>
        <x:v>76</x:v>
      </x:c>
    </x:row>
    <x:row r="538" ht="22" customHeight="1">
      <x:c r="A538" s="11" t="n">
        <x:v>534</x:v>
      </x:c>
      <x:c r="B538" s="11" t="n">
        <x:v>270</x:v>
      </x:c>
      <x:c r="C538" s="18" t="n">
        <x:v>45590</x:v>
      </x:c>
      <x:c r="D538" s="11" t="str">
        <x:v>2024-10</x:v>
      </x:c>
      <x:c r="E538" s="11" t="str">
        <x:v>Central</x:v>
      </x:c>
      <x:c r="F538" s="11" t="str">
        <x:v>Technology</x:v>
      </x:c>
      <x:c r="G538" s="11" t="str">
        <x:v>Monitor</x:v>
      </x:c>
      <x:c r="H538" s="11" t="n">
        <x:v>4</x:v>
      </x:c>
      <x:c r="I538" s="19" t="n">
        <x:v>0.1</x:v>
      </x:c>
      <x:c r="J538" s="11" t="n">
        <x:v>0</x:v>
      </x:c>
      <x:c r="K538" s="20" t="n">
        <x:v>960</x:v>
      </x:c>
      <x:c r="L538" s="20" t="n">
        <x:v>96</x:v>
      </x:c>
      <x:c r="M538" s="20" t="n">
        <x:v>640</x:v>
      </x:c>
      <x:c r="N538" s="20" t="n">
        <x:f>IF(J538=1,0,K538-L538)</x:f>
        <x:v>864</x:v>
      </x:c>
      <x:c r="O538" s="20" t="n">
        <x:f>N538-M538</x:f>
        <x:v>224</x:v>
      </x:c>
    </x:row>
    <x:row r="539" ht="22" customHeight="1">
      <x:c r="A539" s="11" t="n">
        <x:v>535</x:v>
      </x:c>
      <x:c r="B539" s="11" t="n">
        <x:v>271</x:v>
      </x:c>
      <x:c r="C539" s="18" t="n">
        <x:v>45968</x:v>
      </x:c>
      <x:c r="D539" s="11" t="str">
        <x:v>2025-11</x:v>
      </x:c>
      <x:c r="E539" s="11" t="str">
        <x:v>East</x:v>
      </x:c>
      <x:c r="F539" s="11" t="str">
        <x:v>Office Supplies</x:v>
      </x:c>
      <x:c r="G539" s="11" t="str">
        <x:v>Notebook pack</x:v>
      </x:c>
      <x:c r="H539" s="11" t="n">
        <x:v>3</x:v>
      </x:c>
      <x:c r="I539" s="19" t="n">
        <x:v>0.1</x:v>
      </x:c>
      <x:c r="J539" s="11" t="n">
        <x:v>0</x:v>
      </x:c>
      <x:c r="K539" s="20" t="n">
        <x:v>54</x:v>
      </x:c>
      <x:c r="L539" s="20" t="n">
        <x:v>5.4</x:v>
      </x:c>
      <x:c r="M539" s="20" t="n">
        <x:v>21</x:v>
      </x:c>
      <x:c r="N539" s="20" t="n">
        <x:f>IF(J539=1,0,K539-L539)</x:f>
        <x:v>48.6</x:v>
      </x:c>
      <x:c r="O539" s="20" t="n">
        <x:f>N539-M539</x:f>
        <x:v>27.6</x:v>
      </x:c>
    </x:row>
    <x:row r="540" ht="22" customHeight="1">
      <x:c r="A540" s="11" t="n">
        <x:v>536</x:v>
      </x:c>
      <x:c r="B540" s="11" t="n">
        <x:v>271</x:v>
      </x:c>
      <x:c r="C540" s="18" t="n">
        <x:v>45968</x:v>
      </x:c>
      <x:c r="D540" s="11" t="str">
        <x:v>2025-11</x:v>
      </x:c>
      <x:c r="E540" s="11" t="str">
        <x:v>East</x:v>
      </x:c>
      <x:c r="F540" s="11" t="str">
        <x:v>Technology</x:v>
      </x:c>
      <x:c r="G540" s="11" t="str">
        <x:v>Keyboard</x:v>
      </x:c>
      <x:c r="H540" s="11" t="n">
        <x:v>4</x:v>
      </x:c>
      <x:c r="I540" s="19" t="n">
        <x:v>0</x:v>
      </x:c>
      <x:c r="J540" s="11" t="n">
        <x:v>0</x:v>
      </x:c>
      <x:c r="K540" s="20" t="n">
        <x:v>260</x:v>
      </x:c>
      <x:c r="L540" s="20" t="n">
        <x:v>0</x:v>
      </x:c>
      <x:c r="M540" s="20" t="n">
        <x:v>128</x:v>
      </x:c>
      <x:c r="N540" s="20" t="n">
        <x:f>IF(J540=1,0,K540-L540)</x:f>
        <x:v>260</x:v>
      </x:c>
      <x:c r="O540" s="20" t="n">
        <x:f>N540-M540</x:f>
        <x:v>132</x:v>
      </x:c>
    </x:row>
    <x:row r="541" ht="22" customHeight="1">
      <x:c r="A541" s="11" t="n">
        <x:v>537</x:v>
      </x:c>
      <x:c r="B541" s="11" t="n">
        <x:v>271</x:v>
      </x:c>
      <x:c r="C541" s="18" t="n">
        <x:v>45968</x:v>
      </x:c>
      <x:c r="D541" s="11" t="str">
        <x:v>2025-11</x:v>
      </x:c>
      <x:c r="E541" s="11" t="str">
        <x:v>East</x:v>
      </x:c>
      <x:c r="F541" s="11" t="str">
        <x:v>Furniture</x:v>
      </x:c>
      <x:c r="G541" s="11" t="str">
        <x:v>Chair</x:v>
      </x:c>
      <x:c r="H541" s="11" t="n">
        <x:v>4</x:v>
      </x:c>
      <x:c r="I541" s="19" t="n">
        <x:v>0.1</x:v>
      </x:c>
      <x:c r="J541" s="11" t="n">
        <x:v>0</x:v>
      </x:c>
      <x:c r="K541" s="20" t="n">
        <x:v>680</x:v>
      </x:c>
      <x:c r="L541" s="20" t="n">
        <x:v>68</x:v>
      </x:c>
      <x:c r="M541" s="20" t="n">
        <x:v>440</x:v>
      </x:c>
      <x:c r="N541" s="20" t="n">
        <x:f>IF(J541=1,0,K541-L541)</x:f>
        <x:v>612</x:v>
      </x:c>
      <x:c r="O541" s="20" t="n">
        <x:f>N541-M541</x:f>
        <x:v>172</x:v>
      </x:c>
    </x:row>
    <x:row r="542" ht="22" customHeight="1">
      <x:c r="A542" s="11" t="n">
        <x:v>538</x:v>
      </x:c>
      <x:c r="B542" s="11" t="n">
        <x:v>272</x:v>
      </x:c>
      <x:c r="C542" s="18" t="n">
        <x:v>45567</x:v>
      </x:c>
      <x:c r="D542" s="11" t="str">
        <x:v>2024-10</x:v>
      </x:c>
      <x:c r="E542" s="11" t="str">
        <x:v>South</x:v>
      </x:c>
      <x:c r="F542" s="11" t="str">
        <x:v>Office Supplies</x:v>
      </x:c>
      <x:c r="G542" s="11" t="str">
        <x:v>Storage box</x:v>
      </x:c>
      <x:c r="H542" s="11" t="n">
        <x:v>1</x:v>
      </x:c>
      <x:c r="I542" s="19" t="n">
        <x:v>0</x:v>
      </x:c>
      <x:c r="J542" s="11" t="n">
        <x:v>0</x:v>
      </x:c>
      <x:c r="K542" s="20" t="n">
        <x:v>26</x:v>
      </x:c>
      <x:c r="L542" s="20" t="n">
        <x:v>0</x:v>
      </x:c>
      <x:c r="M542" s="20" t="n">
        <x:v>12</x:v>
      </x:c>
      <x:c r="N542" s="20" t="n">
        <x:f>IF(J542=1,0,K542-L542)</x:f>
        <x:v>26</x:v>
      </x:c>
      <x:c r="O542" s="20" t="n">
        <x:f>N542-M542</x:f>
        <x:v>14</x:v>
      </x:c>
    </x:row>
    <x:row r="543" ht="22" customHeight="1">
      <x:c r="A543" s="11" t="n">
        <x:v>539</x:v>
      </x:c>
      <x:c r="B543" s="11" t="n">
        <x:v>273</x:v>
      </x:c>
      <x:c r="C543" s="18" t="n">
        <x:v>45846</x:v>
      </x:c>
      <x:c r="D543" s="11" t="str">
        <x:v>2025-07</x:v>
      </x:c>
      <x:c r="E543" s="11" t="str">
        <x:v>East</x:v>
      </x:c>
      <x:c r="F543" s="11" t="str">
        <x:v>Furniture</x:v>
      </x:c>
      <x:c r="G543" s="11" t="str">
        <x:v>Desk</x:v>
      </x:c>
      <x:c r="H543" s="11" t="n">
        <x:v>5</x:v>
      </x:c>
      <x:c r="I543" s="19" t="n">
        <x:v>0.35</x:v>
      </x:c>
      <x:c r="J543" s="11" t="n">
        <x:v>0</x:v>
      </x:c>
      <x:c r="K543" s="20" t="n">
        <x:v>1400</x:v>
      </x:c>
      <x:c r="L543" s="20" t="n">
        <x:v>490</x:v>
      </x:c>
      <x:c r="M543" s="20" t="n">
        <x:v>950</x:v>
      </x:c>
      <x:c r="N543" s="20" t="n">
        <x:f>IF(J543=1,0,K543-L543)</x:f>
        <x:v>910</x:v>
      </x:c>
      <x:c r="O543" s="20" t="n">
        <x:f>N543-M543</x:f>
        <x:v>-40</x:v>
      </x:c>
    </x:row>
    <x:row r="544" ht="22" customHeight="1">
      <x:c r="A544" s="11" t="n">
        <x:v>540</x:v>
      </x:c>
      <x:c r="B544" s="11" t="n">
        <x:v>273</x:v>
      </x:c>
      <x:c r="C544" s="18" t="n">
        <x:v>45846</x:v>
      </x:c>
      <x:c r="D544" s="11" t="str">
        <x:v>2025-07</x:v>
      </x:c>
      <x:c r="E544" s="11" t="str">
        <x:v>East</x:v>
      </x:c>
      <x:c r="F544" s="11" t="str">
        <x:v>Technology</x:v>
      </x:c>
      <x:c r="G544" s="11" t="str">
        <x:v>Keyboard</x:v>
      </x:c>
      <x:c r="H544" s="11" t="n">
        <x:v>2</x:v>
      </x:c>
      <x:c r="I544" s="19" t="n">
        <x:v>0.1</x:v>
      </x:c>
      <x:c r="J544" s="11" t="n">
        <x:v>0</x:v>
      </x:c>
      <x:c r="K544" s="20" t="n">
        <x:v>130</x:v>
      </x:c>
      <x:c r="L544" s="20" t="n">
        <x:v>13</x:v>
      </x:c>
      <x:c r="M544" s="20" t="n">
        <x:v>64</x:v>
      </x:c>
      <x:c r="N544" s="20" t="n">
        <x:f>IF(J544=1,0,K544-L544)</x:f>
        <x:v>117</x:v>
      </x:c>
      <x:c r="O544" s="20" t="n">
        <x:f>N544-M544</x:f>
        <x:v>53</x:v>
      </x:c>
    </x:row>
    <x:row r="545" ht="22" customHeight="1">
      <x:c r="A545" s="11" t="n">
        <x:v>541</x:v>
      </x:c>
      <x:c r="B545" s="11" t="n">
        <x:v>273</x:v>
      </x:c>
      <x:c r="C545" s="18" t="n">
        <x:v>45846</x:v>
      </x:c>
      <x:c r="D545" s="11" t="str">
        <x:v>2025-07</x:v>
      </x:c>
      <x:c r="E545" s="11" t="str">
        <x:v>East</x:v>
      </x:c>
      <x:c r="F545" s="11" t="str">
        <x:v>Office Supplies</x:v>
      </x:c>
      <x:c r="G545" s="11" t="str">
        <x:v>Notebook pack</x:v>
      </x:c>
      <x:c r="H545" s="11" t="n">
        <x:v>4</x:v>
      </x:c>
      <x:c r="I545" s="19" t="n">
        <x:v>0</x:v>
      </x:c>
      <x:c r="J545" s="11" t="n">
        <x:v>0</x:v>
      </x:c>
      <x:c r="K545" s="20" t="n">
        <x:v>72</x:v>
      </x:c>
      <x:c r="L545" s="20" t="n">
        <x:v>0</x:v>
      </x:c>
      <x:c r="M545" s="20" t="n">
        <x:v>28</x:v>
      </x:c>
      <x:c r="N545" s="20" t="n">
        <x:f>IF(J545=1,0,K545-L545)</x:f>
        <x:v>72</x:v>
      </x:c>
      <x:c r="O545" s="20" t="n">
        <x:f>N545-M545</x:f>
        <x:v>44</x:v>
      </x:c>
    </x:row>
    <x:row r="546" ht="22" customHeight="1">
      <x:c r="A546" s="11" t="n">
        <x:v>542</x:v>
      </x:c>
      <x:c r="B546" s="11" t="n">
        <x:v>274</x:v>
      </x:c>
      <x:c r="C546" s="18" t="n">
        <x:v>45821</x:v>
      </x:c>
      <x:c r="D546" s="11" t="str">
        <x:v>2025-06</x:v>
      </x:c>
      <x:c r="E546" s="11" t="str">
        <x:v>Central</x:v>
      </x:c>
      <x:c r="F546" s="11" t="str">
        <x:v>Technology</x:v>
      </x:c>
      <x:c r="G546" s="11" t="str">
        <x:v>Keyboard</x:v>
      </x:c>
      <x:c r="H546" s="11" t="n">
        <x:v>2</x:v>
      </x:c>
      <x:c r="I546" s="19" t="n">
        <x:v>0</x:v>
      </x:c>
      <x:c r="J546" s="11" t="n">
        <x:v>0</x:v>
      </x:c>
      <x:c r="K546" s="20" t="n">
        <x:v>130</x:v>
      </x:c>
      <x:c r="L546" s="20" t="n">
        <x:v>0</x:v>
      </x:c>
      <x:c r="M546" s="20" t="n">
        <x:v>64</x:v>
      </x:c>
      <x:c r="N546" s="20" t="n">
        <x:f>IF(J546=1,0,K546-L546)</x:f>
        <x:v>130</x:v>
      </x:c>
      <x:c r="O546" s="20" t="n">
        <x:f>N546-M546</x:f>
        <x:v>66</x:v>
      </x:c>
    </x:row>
    <x:row r="547" ht="22" customHeight="1">
      <x:c r="A547" s="11" t="n">
        <x:v>543</x:v>
      </x:c>
      <x:c r="B547" s="11" t="n">
        <x:v>275</x:v>
      </x:c>
      <x:c r="C547" s="18" t="n">
        <x:v>45489</x:v>
      </x:c>
      <x:c r="D547" s="11" t="str">
        <x:v>2024-07</x:v>
      </x:c>
      <x:c r="E547" s="11" t="str">
        <x:v>South</x:v>
      </x:c>
      <x:c r="F547" s="11" t="str">
        <x:v>Furniture</x:v>
      </x:c>
      <x:c r="G547" s="11" t="str">
        <x:v>Desk</x:v>
      </x:c>
      <x:c r="H547" s="11" t="n">
        <x:v>2</x:v>
      </x:c>
      <x:c r="I547" s="19" t="n">
        <x:v>0</x:v>
      </x:c>
      <x:c r="J547" s="11" t="n">
        <x:v>0</x:v>
      </x:c>
      <x:c r="K547" s="20" t="n">
        <x:v>560</x:v>
      </x:c>
      <x:c r="L547" s="20" t="n">
        <x:v>0</x:v>
      </x:c>
      <x:c r="M547" s="20" t="n">
        <x:v>380</x:v>
      </x:c>
      <x:c r="N547" s="20" t="n">
        <x:f>IF(J547=1,0,K547-L547)</x:f>
        <x:v>560</x:v>
      </x:c>
      <x:c r="O547" s="20" t="n">
        <x:f>N547-M547</x:f>
        <x:v>180</x:v>
      </x:c>
    </x:row>
    <x:row r="548" ht="22" customHeight="1">
      <x:c r="A548" s="11" t="n">
        <x:v>544</x:v>
      </x:c>
      <x:c r="B548" s="11" t="n">
        <x:v>275</x:v>
      </x:c>
      <x:c r="C548" s="18" t="n">
        <x:v>45489</x:v>
      </x:c>
      <x:c r="D548" s="11" t="str">
        <x:v>2024-07</x:v>
      </x:c>
      <x:c r="E548" s="11" t="str">
        <x:v>South</x:v>
      </x:c>
      <x:c r="F548" s="11" t="str">
        <x:v>Technology</x:v>
      </x:c>
      <x:c r="G548" s="11" t="str">
        <x:v>Keyboard</x:v>
      </x:c>
      <x:c r="H548" s="11" t="n">
        <x:v>3</x:v>
      </x:c>
      <x:c r="I548" s="19" t="n">
        <x:v>0.05</x:v>
      </x:c>
      <x:c r="J548" s="11" t="n">
        <x:v>0</x:v>
      </x:c>
      <x:c r="K548" s="20" t="n">
        <x:v>195</x:v>
      </x:c>
      <x:c r="L548" s="20" t="n">
        <x:v>9.75</x:v>
      </x:c>
      <x:c r="M548" s="20" t="n">
        <x:v>96</x:v>
      </x:c>
      <x:c r="N548" s="20" t="n">
        <x:f>IF(J548=1,0,K548-L548)</x:f>
        <x:v>185.25</x:v>
      </x:c>
      <x:c r="O548" s="20" t="n">
        <x:f>N548-M548</x:f>
        <x:v>89.25</x:v>
      </x:c>
    </x:row>
    <x:row r="549" ht="22" customHeight="1">
      <x:c r="A549" s="11" t="n">
        <x:v>545</x:v>
      </x:c>
      <x:c r="B549" s="11" t="n">
        <x:v>276</x:v>
      </x:c>
      <x:c r="C549" s="18" t="n">
        <x:v>45360</x:v>
      </x:c>
      <x:c r="D549" s="11" t="str">
        <x:v>2024-03</x:v>
      </x:c>
      <x:c r="E549" s="11" t="str">
        <x:v>East</x:v>
      </x:c>
      <x:c r="F549" s="11" t="str">
        <x:v>Technology</x:v>
      </x:c>
      <x:c r="G549" s="11" t="str">
        <x:v>Keyboard</x:v>
      </x:c>
      <x:c r="H549" s="11" t="n">
        <x:v>3</x:v>
      </x:c>
      <x:c r="I549" s="19" t="n">
        <x:v>0.15</x:v>
      </x:c>
      <x:c r="J549" s="11" t="n">
        <x:v>0</x:v>
      </x:c>
      <x:c r="K549" s="20" t="n">
        <x:v>195</x:v>
      </x:c>
      <x:c r="L549" s="20" t="n">
        <x:v>29.25</x:v>
      </x:c>
      <x:c r="M549" s="20" t="n">
        <x:v>96</x:v>
      </x:c>
      <x:c r="N549" s="20" t="n">
        <x:f>IF(J549=1,0,K549-L549)</x:f>
        <x:v>165.75</x:v>
      </x:c>
      <x:c r="O549" s="20" t="n">
        <x:f>N549-M549</x:f>
        <x:v>69.75</x:v>
      </x:c>
    </x:row>
    <x:row r="550" ht="22" customHeight="1">
      <x:c r="A550" s="11" t="n">
        <x:v>546</x:v>
      </x:c>
      <x:c r="B550" s="11" t="n">
        <x:v>276</x:v>
      </x:c>
      <x:c r="C550" s="18" t="n">
        <x:v>45360</x:v>
      </x:c>
      <x:c r="D550" s="11" t="str">
        <x:v>2024-03</x:v>
      </x:c>
      <x:c r="E550" s="11" t="str">
        <x:v>East</x:v>
      </x:c>
      <x:c r="F550" s="11" t="str">
        <x:v>Office Supplies</x:v>
      </x:c>
      <x:c r="G550" s="11" t="str">
        <x:v>Notebook pack</x:v>
      </x:c>
      <x:c r="H550" s="11" t="n">
        <x:v>1</x:v>
      </x:c>
      <x:c r="I550" s="19" t="n">
        <x:v>0.15</x:v>
      </x:c>
      <x:c r="J550" s="11" t="n">
        <x:v>0</x:v>
      </x:c>
      <x:c r="K550" s="20" t="n">
        <x:v>18</x:v>
      </x:c>
      <x:c r="L550" s="20" t="n">
        <x:v>2.7</x:v>
      </x:c>
      <x:c r="M550" s="20" t="n">
        <x:v>7</x:v>
      </x:c>
      <x:c r="N550" s="20" t="n">
        <x:f>IF(J550=1,0,K550-L550)</x:f>
        <x:v>15.3</x:v>
      </x:c>
      <x:c r="O550" s="20" t="n">
        <x:f>N550-M550</x:f>
        <x:v>8.3</x:v>
      </x:c>
    </x:row>
    <x:row r="551" ht="22" customHeight="1">
      <x:c r="A551" s="11" t="n">
        <x:v>547</x:v>
      </x:c>
      <x:c r="B551" s="11" t="n">
        <x:v>276</x:v>
      </x:c>
      <x:c r="C551" s="18" t="n">
        <x:v>45360</x:v>
      </x:c>
      <x:c r="D551" s="11" t="str">
        <x:v>2024-03</x:v>
      </x:c>
      <x:c r="E551" s="11" t="str">
        <x:v>East</x:v>
      </x:c>
      <x:c r="F551" s="11" t="str">
        <x:v>Technology</x:v>
      </x:c>
      <x:c r="G551" s="11" t="str">
        <x:v>Monitor</x:v>
      </x:c>
      <x:c r="H551" s="11" t="n">
        <x:v>4</x:v>
      </x:c>
      <x:c r="I551" s="19" t="n">
        <x:v>0</x:v>
      </x:c>
      <x:c r="J551" s="11" t="n">
        <x:v>0</x:v>
      </x:c>
      <x:c r="K551" s="20" t="n">
        <x:v>960</x:v>
      </x:c>
      <x:c r="L551" s="20" t="n">
        <x:v>0</x:v>
      </x:c>
      <x:c r="M551" s="20" t="n">
        <x:v>640</x:v>
      </x:c>
      <x:c r="N551" s="20" t="n">
        <x:f>IF(J551=1,0,K551-L551)</x:f>
        <x:v>960</x:v>
      </x:c>
      <x:c r="O551" s="20" t="n">
        <x:f>N551-M551</x:f>
        <x:v>320</x:v>
      </x:c>
    </x:row>
    <x:row r="552" ht="22" customHeight="1">
      <x:c r="A552" s="11" t="n">
        <x:v>548</x:v>
      </x:c>
      <x:c r="B552" s="11" t="n">
        <x:v>277</x:v>
      </x:c>
      <x:c r="C552" s="18" t="n">
        <x:v>45443</x:v>
      </x:c>
      <x:c r="D552" s="11" t="str">
        <x:v>2024-05</x:v>
      </x:c>
      <x:c r="E552" s="11" t="str">
        <x:v>East</x:v>
      </x:c>
      <x:c r="F552" s="11" t="str">
        <x:v>Office Supplies</x:v>
      </x:c>
      <x:c r="G552" s="11" t="str">
        <x:v>Notebook pack</x:v>
      </x:c>
      <x:c r="H552" s="11" t="n">
        <x:v>1</x:v>
      </x:c>
      <x:c r="I552" s="19" t="n">
        <x:v>0.05</x:v>
      </x:c>
      <x:c r="J552" s="11" t="n">
        <x:v>0</x:v>
      </x:c>
      <x:c r="K552" s="20" t="n">
        <x:v>18</x:v>
      </x:c>
      <x:c r="L552" s="20" t="n">
        <x:v>0.9</x:v>
      </x:c>
      <x:c r="M552" s="20" t="n">
        <x:v>7</x:v>
      </x:c>
      <x:c r="N552" s="20" t="n">
        <x:f>IF(J552=1,0,K552-L552)</x:f>
        <x:v>17.1</x:v>
      </x:c>
      <x:c r="O552" s="20" t="n">
        <x:f>N552-M552</x:f>
        <x:v>10.100000000000001</x:v>
      </x:c>
    </x:row>
    <x:row r="553" ht="22" customHeight="1">
      <x:c r="A553" s="11" t="n">
        <x:v>549</x:v>
      </x:c>
      <x:c r="B553" s="11" t="n">
        <x:v>278</x:v>
      </x:c>
      <x:c r="C553" s="18" t="n">
        <x:v>45644</x:v>
      </x:c>
      <x:c r="D553" s="11" t="str">
        <x:v>2024-12</x:v>
      </x:c>
      <x:c r="E553" s="11" t="str">
        <x:v>East</x:v>
      </x:c>
      <x:c r="F553" s="11" t="str">
        <x:v>Office Supplies</x:v>
      </x:c>
      <x:c r="G553" s="11" t="str">
        <x:v>Storage box</x:v>
      </x:c>
      <x:c r="H553" s="11" t="n">
        <x:v>5</x:v>
      </x:c>
      <x:c r="I553" s="19" t="n">
        <x:v>0.15</x:v>
      </x:c>
      <x:c r="J553" s="11" t="n">
        <x:v>0</x:v>
      </x:c>
      <x:c r="K553" s="20" t="n">
        <x:v>130</x:v>
      </x:c>
      <x:c r="L553" s="20" t="n">
        <x:v>19.5</x:v>
      </x:c>
      <x:c r="M553" s="20" t="n">
        <x:v>60</x:v>
      </x:c>
      <x:c r="N553" s="20" t="n">
        <x:f>IF(J553=1,0,K553-L553)</x:f>
        <x:v>110.5</x:v>
      </x:c>
      <x:c r="O553" s="20" t="n">
        <x:f>N553-M553</x:f>
        <x:v>50.5</x:v>
      </x:c>
    </x:row>
    <x:row r="554" ht="22" customHeight="1">
      <x:c r="A554" s="11" t="n">
        <x:v>550</x:v>
      </x:c>
      <x:c r="B554" s="11" t="n">
        <x:v>278</x:v>
      </x:c>
      <x:c r="C554" s="18" t="n">
        <x:v>45644</x:v>
      </x:c>
      <x:c r="D554" s="11" t="str">
        <x:v>2024-12</x:v>
      </x:c>
      <x:c r="E554" s="11" t="str">
        <x:v>East</x:v>
      </x:c>
      <x:c r="F554" s="11" t="str">
        <x:v>Technology</x:v>
      </x:c>
      <x:c r="G554" s="11" t="str">
        <x:v>Keyboard</x:v>
      </x:c>
      <x:c r="H554" s="11" t="n">
        <x:v>2</x:v>
      </x:c>
      <x:c r="I554" s="19" t="n">
        <x:v>0.05</x:v>
      </x:c>
      <x:c r="J554" s="11" t="n">
        <x:v>0</x:v>
      </x:c>
      <x:c r="K554" s="20" t="n">
        <x:v>130</x:v>
      </x:c>
      <x:c r="L554" s="20" t="n">
        <x:v>6.5</x:v>
      </x:c>
      <x:c r="M554" s="20" t="n">
        <x:v>64</x:v>
      </x:c>
      <x:c r="N554" s="20" t="n">
        <x:f>IF(J554=1,0,K554-L554)</x:f>
        <x:v>123.5</x:v>
      </x:c>
      <x:c r="O554" s="20" t="n">
        <x:f>N554-M554</x:f>
        <x:v>59.5</x:v>
      </x:c>
    </x:row>
    <x:row r="555" ht="22" customHeight="1">
      <x:c r="A555" s="11" t="n">
        <x:v>551</x:v>
      </x:c>
      <x:c r="B555" s="11" t="n">
        <x:v>279</x:v>
      </x:c>
      <x:c r="C555" s="18" t="n">
        <x:v>45925</x:v>
      </x:c>
      <x:c r="D555" s="11" t="str">
        <x:v>2025-09</x:v>
      </x:c>
      <x:c r="E555" s="11" t="str">
        <x:v>East</x:v>
      </x:c>
      <x:c r="F555" s="11" t="str">
        <x:v>Technology</x:v>
      </x:c>
      <x:c r="G555" s="11" t="str">
        <x:v>Keyboard</x:v>
      </x:c>
      <x:c r="H555" s="11" t="n">
        <x:v>3</x:v>
      </x:c>
      <x:c r="I555" s="19" t="n">
        <x:v>0</x:v>
      </x:c>
      <x:c r="J555" s="11" t="n">
        <x:v>1</x:v>
      </x:c>
      <x:c r="K555" s="20" t="n">
        <x:v>195</x:v>
      </x:c>
      <x:c r="L555" s="20" t="n">
        <x:v>0</x:v>
      </x:c>
      <x:c r="M555" s="20" t="n">
        <x:v>0</x:v>
      </x:c>
      <x:c r="N555" s="20" t="n">
        <x:f>IF(J555=1,0,K555-L555)</x:f>
        <x:v>0</x:v>
      </x:c>
      <x:c r="O555" s="20" t="n">
        <x:f>N555-M555</x:f>
        <x:v>0</x:v>
      </x:c>
    </x:row>
    <x:row r="556" ht="22" customHeight="1">
      <x:c r="A556" s="11" t="n">
        <x:v>552</x:v>
      </x:c>
      <x:c r="B556" s="11" t="n">
        <x:v>280</x:v>
      </x:c>
      <x:c r="C556" s="18" t="n">
        <x:v>45778</x:v>
      </x:c>
      <x:c r="D556" s="11" t="str">
        <x:v>2025-05</x:v>
      </x:c>
      <x:c r="E556" s="11" t="str">
        <x:v>West</x:v>
      </x:c>
      <x:c r="F556" s="11" t="str">
        <x:v>Technology</x:v>
      </x:c>
      <x:c r="G556" s="11" t="str">
        <x:v>Monitor</x:v>
      </x:c>
      <x:c r="H556" s="11" t="n">
        <x:v>3</x:v>
      </x:c>
      <x:c r="I556" s="19" t="n">
        <x:v>0.05</x:v>
      </x:c>
      <x:c r="J556" s="11" t="n">
        <x:v>0</x:v>
      </x:c>
      <x:c r="K556" s="20" t="n">
        <x:v>720</x:v>
      </x:c>
      <x:c r="L556" s="20" t="n">
        <x:v>36</x:v>
      </x:c>
      <x:c r="M556" s="20" t="n">
        <x:v>480</x:v>
      </x:c>
      <x:c r="N556" s="20" t="n">
        <x:f>IF(J556=1,0,K556-L556)</x:f>
        <x:v>684</x:v>
      </x:c>
      <x:c r="O556" s="20" t="n">
        <x:f>N556-M556</x:f>
        <x:v>204</x:v>
      </x:c>
    </x:row>
    <x:row r="557" ht="22" customHeight="1">
      <x:c r="A557" s="11" t="n">
        <x:v>553</x:v>
      </x:c>
      <x:c r="B557" s="11" t="n">
        <x:v>281</x:v>
      </x:c>
      <x:c r="C557" s="18" t="n">
        <x:v>45795</x:v>
      </x:c>
      <x:c r="D557" s="11" t="str">
        <x:v>2025-05</x:v>
      </x:c>
      <x:c r="E557" s="11" t="str">
        <x:v>East</x:v>
      </x:c>
      <x:c r="F557" s="11" t="str">
        <x:v>Furniture</x:v>
      </x:c>
      <x:c r="G557" s="11" t="str">
        <x:v>Chair</x:v>
      </x:c>
      <x:c r="H557" s="11" t="n">
        <x:v>3</x:v>
      </x:c>
      <x:c r="I557" s="19" t="n">
        <x:v>0.35</x:v>
      </x:c>
      <x:c r="J557" s="11" t="n">
        <x:v>0</x:v>
      </x:c>
      <x:c r="K557" s="20" t="n">
        <x:v>510</x:v>
      </x:c>
      <x:c r="L557" s="20" t="n">
        <x:v>178.5</x:v>
      </x:c>
      <x:c r="M557" s="20" t="n">
        <x:v>330</x:v>
      </x:c>
      <x:c r="N557" s="20" t="n">
        <x:f>IF(J557=1,0,K557-L557)</x:f>
        <x:v>331.5</x:v>
      </x:c>
      <x:c r="O557" s="20" t="n">
        <x:f>N557-M557</x:f>
        <x:v>1.5</x:v>
      </x:c>
    </x:row>
    <x:row r="558" ht="22" customHeight="1">
      <x:c r="A558" s="11" t="n">
        <x:v>554</x:v>
      </x:c>
      <x:c r="B558" s="11" t="n">
        <x:v>282</x:v>
      </x:c>
      <x:c r="C558" s="18" t="n">
        <x:v>45620</x:v>
      </x:c>
      <x:c r="D558" s="11" t="str">
        <x:v>2024-11</x:v>
      </x:c>
      <x:c r="E558" s="11" t="str">
        <x:v>West</x:v>
      </x:c>
      <x:c r="F558" s="11" t="str">
        <x:v>Office Supplies</x:v>
      </x:c>
      <x:c r="G558" s="11" t="str">
        <x:v>Storage box</x:v>
      </x:c>
      <x:c r="H558" s="11" t="n">
        <x:v>4</x:v>
      </x:c>
      <x:c r="I558" s="19" t="n">
        <x:v>0</x:v>
      </x:c>
      <x:c r="J558" s="11" t="n">
        <x:v>0</x:v>
      </x:c>
      <x:c r="K558" s="20" t="n">
        <x:v>104</x:v>
      </x:c>
      <x:c r="L558" s="20" t="n">
        <x:v>0</x:v>
      </x:c>
      <x:c r="M558" s="20" t="n">
        <x:v>48</x:v>
      </x:c>
      <x:c r="N558" s="20" t="n">
        <x:f>IF(J558=1,0,K558-L558)</x:f>
        <x:v>104</x:v>
      </x:c>
      <x:c r="O558" s="20" t="n">
        <x:f>N558-M558</x:f>
        <x:v>56</x:v>
      </x:c>
    </x:row>
    <x:row r="559" ht="22" customHeight="1">
      <x:c r="A559" s="11" t="n">
        <x:v>555</x:v>
      </x:c>
      <x:c r="B559" s="11" t="n">
        <x:v>282</x:v>
      </x:c>
      <x:c r="C559" s="18" t="n">
        <x:v>45620</x:v>
      </x:c>
      <x:c r="D559" s="11" t="str">
        <x:v>2024-11</x:v>
      </x:c>
      <x:c r="E559" s="11" t="str">
        <x:v>West</x:v>
      </x:c>
      <x:c r="F559" s="11" t="str">
        <x:v>Furniture</x:v>
      </x:c>
      <x:c r="G559" s="11" t="str">
        <x:v>Desk</x:v>
      </x:c>
      <x:c r="H559" s="11" t="n">
        <x:v>4</x:v>
      </x:c>
      <x:c r="I559" s="19" t="n">
        <x:v>0.35</x:v>
      </x:c>
      <x:c r="J559" s="11" t="n">
        <x:v>0</x:v>
      </x:c>
      <x:c r="K559" s="20" t="n">
        <x:v>1120</x:v>
      </x:c>
      <x:c r="L559" s="20" t="n">
        <x:v>392</x:v>
      </x:c>
      <x:c r="M559" s="20" t="n">
        <x:v>760</x:v>
      </x:c>
      <x:c r="N559" s="20" t="n">
        <x:f>IF(J559=1,0,K559-L559)</x:f>
        <x:v>728</x:v>
      </x:c>
      <x:c r="O559" s="20" t="n">
        <x:f>N559-M559</x:f>
        <x:v>-32</x:v>
      </x:c>
    </x:row>
    <x:row r="560" ht="22" customHeight="1">
      <x:c r="A560" s="11" t="n">
        <x:v>556</x:v>
      </x:c>
      <x:c r="B560" s="11" t="n">
        <x:v>282</x:v>
      </x:c>
      <x:c r="C560" s="18" t="n">
        <x:v>45620</x:v>
      </x:c>
      <x:c r="D560" s="11" t="str">
        <x:v>2024-11</x:v>
      </x:c>
      <x:c r="E560" s="11" t="str">
        <x:v>West</x:v>
      </x:c>
      <x:c r="F560" s="11" t="str">
        <x:v>Furniture</x:v>
      </x:c>
      <x:c r="G560" s="11" t="str">
        <x:v>Chair</x:v>
      </x:c>
      <x:c r="H560" s="11" t="n">
        <x:v>3</x:v>
      </x:c>
      <x:c r="I560" s="19" t="n">
        <x:v>0</x:v>
      </x:c>
      <x:c r="J560" s="11" t="n">
        <x:v>0</x:v>
      </x:c>
      <x:c r="K560" s="20" t="n">
        <x:v>510</x:v>
      </x:c>
      <x:c r="L560" s="20" t="n">
        <x:v>0</x:v>
      </x:c>
      <x:c r="M560" s="20" t="n">
        <x:v>330</x:v>
      </x:c>
      <x:c r="N560" s="20" t="n">
        <x:f>IF(J560=1,0,K560-L560)</x:f>
        <x:v>510</x:v>
      </x:c>
      <x:c r="O560" s="20" t="n">
        <x:f>N560-M560</x:f>
        <x:v>180</x:v>
      </x:c>
    </x:row>
    <x:row r="561" ht="22" customHeight="1">
      <x:c r="A561" s="11" t="n">
        <x:v>557</x:v>
      </x:c>
      <x:c r="B561" s="11" t="n">
        <x:v>283</x:v>
      </x:c>
      <x:c r="C561" s="18" t="n">
        <x:v>45454</x:v>
      </x:c>
      <x:c r="D561" s="11" t="str">
        <x:v>2024-06</x:v>
      </x:c>
      <x:c r="E561" s="11" t="str">
        <x:v>Central</x:v>
      </x:c>
      <x:c r="F561" s="11" t="str">
        <x:v>Office Supplies</x:v>
      </x:c>
      <x:c r="G561" s="11" t="str">
        <x:v>Notebook pack</x:v>
      </x:c>
      <x:c r="H561" s="11" t="n">
        <x:v>5</x:v>
      </x:c>
      <x:c r="I561" s="19" t="n">
        <x:v>0.15</x:v>
      </x:c>
      <x:c r="J561" s="11" t="n">
        <x:v>1</x:v>
      </x:c>
      <x:c r="K561" s="20" t="n">
        <x:v>90</x:v>
      </x:c>
      <x:c r="L561" s="20" t="n">
        <x:v>13.5</x:v>
      </x:c>
      <x:c r="M561" s="20" t="n">
        <x:v>0</x:v>
      </x:c>
      <x:c r="N561" s="20" t="n">
        <x:f>IF(J561=1,0,K561-L561)</x:f>
        <x:v>0</x:v>
      </x:c>
      <x:c r="O561" s="20" t="n">
        <x:f>N561-M561</x:f>
        <x:v>0</x:v>
      </x:c>
    </x:row>
    <x:row r="562" ht="22" customHeight="1">
      <x:c r="A562" s="11" t="n">
        <x:v>558</x:v>
      </x:c>
      <x:c r="B562" s="11" t="n">
        <x:v>283</x:v>
      </x:c>
      <x:c r="C562" s="18" t="n">
        <x:v>45454</x:v>
      </x:c>
      <x:c r="D562" s="11" t="str">
        <x:v>2024-06</x:v>
      </x:c>
      <x:c r="E562" s="11" t="str">
        <x:v>Central</x:v>
      </x:c>
      <x:c r="F562" s="11" t="str">
        <x:v>Technology</x:v>
      </x:c>
      <x:c r="G562" s="11" t="str">
        <x:v>Keyboard</x:v>
      </x:c>
      <x:c r="H562" s="11" t="n">
        <x:v>2</x:v>
      </x:c>
      <x:c r="I562" s="19" t="n">
        <x:v>0</x:v>
      </x:c>
      <x:c r="J562" s="11" t="n">
        <x:v>0</x:v>
      </x:c>
      <x:c r="K562" s="20" t="n">
        <x:v>130</x:v>
      </x:c>
      <x:c r="L562" s="20" t="n">
        <x:v>0</x:v>
      </x:c>
      <x:c r="M562" s="20" t="n">
        <x:v>64</x:v>
      </x:c>
      <x:c r="N562" s="20" t="n">
        <x:f>IF(J562=1,0,K562-L562)</x:f>
        <x:v>130</x:v>
      </x:c>
      <x:c r="O562" s="20" t="n">
        <x:f>N562-M562</x:f>
        <x:v>66</x:v>
      </x:c>
    </x:row>
    <x:row r="563" ht="22" customHeight="1">
      <x:c r="A563" s="11" t="n">
        <x:v>559</x:v>
      </x:c>
      <x:c r="B563" s="11" t="n">
        <x:v>283</x:v>
      </x:c>
      <x:c r="C563" s="18" t="n">
        <x:v>45454</x:v>
      </x:c>
      <x:c r="D563" s="11" t="str">
        <x:v>2024-06</x:v>
      </x:c>
      <x:c r="E563" s="11" t="str">
        <x:v>Central</x:v>
      </x:c>
      <x:c r="F563" s="11" t="str">
        <x:v>Furniture</x:v>
      </x:c>
      <x:c r="G563" s="11" t="str">
        <x:v>Chair</x:v>
      </x:c>
      <x:c r="H563" s="11" t="n">
        <x:v>2</x:v>
      </x:c>
      <x:c r="I563" s="19" t="n">
        <x:v>0</x:v>
      </x:c>
      <x:c r="J563" s="11" t="n">
        <x:v>0</x:v>
      </x:c>
      <x:c r="K563" s="20" t="n">
        <x:v>340</x:v>
      </x:c>
      <x:c r="L563" s="20" t="n">
        <x:v>0</x:v>
      </x:c>
      <x:c r="M563" s="20" t="n">
        <x:v>220</x:v>
      </x:c>
      <x:c r="N563" s="20" t="n">
        <x:f>IF(J563=1,0,K563-L563)</x:f>
        <x:v>340</x:v>
      </x:c>
      <x:c r="O563" s="20" t="n">
        <x:f>N563-M563</x:f>
        <x:v>120</x:v>
      </x:c>
    </x:row>
    <x:row r="564" ht="22" customHeight="1">
      <x:c r="A564" s="11" t="n">
        <x:v>560</x:v>
      </x:c>
      <x:c r="B564" s="11" t="n">
        <x:v>284</x:v>
      </x:c>
      <x:c r="C564" s="18" t="n">
        <x:v>45661</x:v>
      </x:c>
      <x:c r="D564" s="11" t="str">
        <x:v>2025-01</x:v>
      </x:c>
      <x:c r="E564" s="11" t="str">
        <x:v>South</x:v>
      </x:c>
      <x:c r="F564" s="11" t="str">
        <x:v>Technology</x:v>
      </x:c>
      <x:c r="G564" s="11" t="str">
        <x:v>Monitor</x:v>
      </x:c>
      <x:c r="H564" s="11" t="n">
        <x:v>5</x:v>
      </x:c>
      <x:c r="I564" s="19" t="n">
        <x:v>0.1</x:v>
      </x:c>
      <x:c r="J564" s="11" t="n">
        <x:v>0</x:v>
      </x:c>
      <x:c r="K564" s="20" t="n">
        <x:v>1200</x:v>
      </x:c>
      <x:c r="L564" s="20" t="n">
        <x:v>120</x:v>
      </x:c>
      <x:c r="M564" s="20" t="n">
        <x:v>800</x:v>
      </x:c>
      <x:c r="N564" s="20" t="n">
        <x:f>IF(J564=1,0,K564-L564)</x:f>
        <x:v>1080</x:v>
      </x:c>
      <x:c r="O564" s="20" t="n">
        <x:f>N564-M564</x:f>
        <x:v>280</x:v>
      </x:c>
    </x:row>
    <x:row r="565" ht="22" customHeight="1">
      <x:c r="A565" s="11" t="n">
        <x:v>561</x:v>
      </x:c>
      <x:c r="B565" s="11" t="n">
        <x:v>284</x:v>
      </x:c>
      <x:c r="C565" s="18" t="n">
        <x:v>45661</x:v>
      </x:c>
      <x:c r="D565" s="11" t="str">
        <x:v>2025-01</x:v>
      </x:c>
      <x:c r="E565" s="11" t="str">
        <x:v>South</x:v>
      </x:c>
      <x:c r="F565" s="11" t="str">
        <x:v>Technology</x:v>
      </x:c>
      <x:c r="G565" s="11" t="str">
        <x:v>Keyboard</x:v>
      </x:c>
      <x:c r="H565" s="11" t="n">
        <x:v>1</x:v>
      </x:c>
      <x:c r="I565" s="19" t="n">
        <x:v>0</x:v>
      </x:c>
      <x:c r="J565" s="11" t="n">
        <x:v>0</x:v>
      </x:c>
      <x:c r="K565" s="20" t="n">
        <x:v>65</x:v>
      </x:c>
      <x:c r="L565" s="20" t="n">
        <x:v>0</x:v>
      </x:c>
      <x:c r="M565" s="20" t="n">
        <x:v>32</x:v>
      </x:c>
      <x:c r="N565" s="20" t="n">
        <x:f>IF(J565=1,0,K565-L565)</x:f>
        <x:v>65</x:v>
      </x:c>
      <x:c r="O565" s="20" t="n">
        <x:f>N565-M565</x:f>
        <x:v>33</x:v>
      </x:c>
    </x:row>
    <x:row r="566" ht="22" customHeight="1">
      <x:c r="A566" s="11" t="n">
        <x:v>562</x:v>
      </x:c>
      <x:c r="B566" s="11" t="n">
        <x:v>285</x:v>
      </x:c>
      <x:c r="C566" s="18" t="n">
        <x:v>45792</x:v>
      </x:c>
      <x:c r="D566" s="11" t="str">
        <x:v>2025-05</x:v>
      </x:c>
      <x:c r="E566" s="11" t="str">
        <x:v>West</x:v>
      </x:c>
      <x:c r="F566" s="11" t="str">
        <x:v>Technology</x:v>
      </x:c>
      <x:c r="G566" s="11" t="str">
        <x:v>Keyboard</x:v>
      </x:c>
      <x:c r="H566" s="11" t="n">
        <x:v>5</x:v>
      </x:c>
      <x:c r="I566" s="19" t="n">
        <x:v>0.15</x:v>
      </x:c>
      <x:c r="J566" s="11" t="n">
        <x:v>0</x:v>
      </x:c>
      <x:c r="K566" s="20" t="n">
        <x:v>325</x:v>
      </x:c>
      <x:c r="L566" s="20" t="n">
        <x:v>48.75</x:v>
      </x:c>
      <x:c r="M566" s="20" t="n">
        <x:v>160</x:v>
      </x:c>
      <x:c r="N566" s="20" t="n">
        <x:f>IF(J566=1,0,K566-L566)</x:f>
        <x:v>276.25</x:v>
      </x:c>
      <x:c r="O566" s="20" t="n">
        <x:f>N566-M566</x:f>
        <x:v>116.25</x:v>
      </x:c>
    </x:row>
    <x:row r="567" ht="22" customHeight="1">
      <x:c r="A567" s="11" t="n">
        <x:v>563</x:v>
      </x:c>
      <x:c r="B567" s="11" t="n">
        <x:v>286</x:v>
      </x:c>
      <x:c r="C567" s="18" t="n">
        <x:v>45459</x:v>
      </x:c>
      <x:c r="D567" s="11" t="str">
        <x:v>2024-06</x:v>
      </x:c>
      <x:c r="E567" s="11" t="str">
        <x:v>East</x:v>
      </x:c>
      <x:c r="F567" s="11" t="str">
        <x:v>Furniture</x:v>
      </x:c>
      <x:c r="G567" s="11" t="str">
        <x:v>Desk</x:v>
      </x:c>
      <x:c r="H567" s="11" t="n">
        <x:v>1</x:v>
      </x:c>
      <x:c r="I567" s="19" t="n">
        <x:v>0</x:v>
      </x:c>
      <x:c r="J567" s="11" t="n">
        <x:v>0</x:v>
      </x:c>
      <x:c r="K567" s="20" t="n">
        <x:v>280</x:v>
      </x:c>
      <x:c r="L567" s="20" t="n">
        <x:v>0</x:v>
      </x:c>
      <x:c r="M567" s="20" t="n">
        <x:v>190</x:v>
      </x:c>
      <x:c r="N567" s="20" t="n">
        <x:f>IF(J567=1,0,K567-L567)</x:f>
        <x:v>280</x:v>
      </x:c>
      <x:c r="O567" s="20" t="n">
        <x:f>N567-M567</x:f>
        <x:v>90</x:v>
      </x:c>
    </x:row>
    <x:row r="568" ht="22" customHeight="1">
      <x:c r="A568" s="11" t="n">
        <x:v>564</x:v>
      </x:c>
      <x:c r="B568" s="11" t="n">
        <x:v>286</x:v>
      </x:c>
      <x:c r="C568" s="18" t="n">
        <x:v>45459</x:v>
      </x:c>
      <x:c r="D568" s="11" t="str">
        <x:v>2024-06</x:v>
      </x:c>
      <x:c r="E568" s="11" t="str">
        <x:v>East</x:v>
      </x:c>
      <x:c r="F568" s="11" t="str">
        <x:v>Technology</x:v>
      </x:c>
      <x:c r="G568" s="11" t="str">
        <x:v>Keyboard</x:v>
      </x:c>
      <x:c r="H568" s="11" t="n">
        <x:v>2</x:v>
      </x:c>
      <x:c r="I568" s="19" t="n">
        <x:v>0</x:v>
      </x:c>
      <x:c r="J568" s="11" t="n">
        <x:v>0</x:v>
      </x:c>
      <x:c r="K568" s="20" t="n">
        <x:v>130</x:v>
      </x:c>
      <x:c r="L568" s="20" t="n">
        <x:v>0</x:v>
      </x:c>
      <x:c r="M568" s="20" t="n">
        <x:v>64</x:v>
      </x:c>
      <x:c r="N568" s="20" t="n">
        <x:f>IF(J568=1,0,K568-L568)</x:f>
        <x:v>130</x:v>
      </x:c>
      <x:c r="O568" s="20" t="n">
        <x:f>N568-M568</x:f>
        <x:v>66</x:v>
      </x:c>
    </x:row>
    <x:row r="569" ht="22" customHeight="1">
      <x:c r="A569" s="11" t="n">
        <x:v>565</x:v>
      </x:c>
      <x:c r="B569" s="11" t="n">
        <x:v>287</x:v>
      </x:c>
      <x:c r="C569" s="18" t="n">
        <x:v>45985</x:v>
      </x:c>
      <x:c r="D569" s="11" t="str">
        <x:v>2025-11</x:v>
      </x:c>
      <x:c r="E569" s="11" t="str">
        <x:v>East</x:v>
      </x:c>
      <x:c r="F569" s="11" t="str">
        <x:v>Technology</x:v>
      </x:c>
      <x:c r="G569" s="11" t="str">
        <x:v>Keyboard</x:v>
      </x:c>
      <x:c r="H569" s="11" t="n">
        <x:v>1</x:v>
      </x:c>
      <x:c r="I569" s="19" t="n">
        <x:v>0.1</x:v>
      </x:c>
      <x:c r="J569" s="11" t="n">
        <x:v>0</x:v>
      </x:c>
      <x:c r="K569" s="20" t="n">
        <x:v>65</x:v>
      </x:c>
      <x:c r="L569" s="20" t="n">
        <x:v>6.5</x:v>
      </x:c>
      <x:c r="M569" s="20" t="n">
        <x:v>32</x:v>
      </x:c>
      <x:c r="N569" s="20" t="n">
        <x:f>IF(J569=1,0,K569-L569)</x:f>
        <x:v>58.5</x:v>
      </x:c>
      <x:c r="O569" s="20" t="n">
        <x:f>N569-M569</x:f>
        <x:v>26.5</x:v>
      </x:c>
    </x:row>
    <x:row r="570" ht="22" customHeight="1">
      <x:c r="A570" s="11" t="n">
        <x:v>566</x:v>
      </x:c>
      <x:c r="B570" s="11" t="n">
        <x:v>287</x:v>
      </x:c>
      <x:c r="C570" s="18" t="n">
        <x:v>45985</x:v>
      </x:c>
      <x:c r="D570" s="11" t="str">
        <x:v>2025-11</x:v>
      </x:c>
      <x:c r="E570" s="11" t="str">
        <x:v>East</x:v>
      </x:c>
      <x:c r="F570" s="11" t="str">
        <x:v>Office Supplies</x:v>
      </x:c>
      <x:c r="G570" s="11" t="str">
        <x:v>Notebook pack</x:v>
      </x:c>
      <x:c r="H570" s="11" t="n">
        <x:v>2</x:v>
      </x:c>
      <x:c r="I570" s="19" t="n">
        <x:v>0.15</x:v>
      </x:c>
      <x:c r="J570" s="11" t="n">
        <x:v>0</x:v>
      </x:c>
      <x:c r="K570" s="20" t="n">
        <x:v>36</x:v>
      </x:c>
      <x:c r="L570" s="20" t="n">
        <x:v>5.4</x:v>
      </x:c>
      <x:c r="M570" s="20" t="n">
        <x:v>14</x:v>
      </x:c>
      <x:c r="N570" s="20" t="n">
        <x:f>IF(J570=1,0,K570-L570)</x:f>
        <x:v>30.6</x:v>
      </x:c>
      <x:c r="O570" s="20" t="n">
        <x:f>N570-M570</x:f>
        <x:v>16.6</x:v>
      </x:c>
    </x:row>
    <x:row r="571" ht="22" customHeight="1">
      <x:c r="A571" s="11" t="n">
        <x:v>567</x:v>
      </x:c>
      <x:c r="B571" s="11" t="n">
        <x:v>287</x:v>
      </x:c>
      <x:c r="C571" s="18" t="n">
        <x:v>45985</x:v>
      </x:c>
      <x:c r="D571" s="11" t="str">
        <x:v>2025-11</x:v>
      </x:c>
      <x:c r="E571" s="11" t="str">
        <x:v>East</x:v>
      </x:c>
      <x:c r="F571" s="11" t="str">
        <x:v>Furniture</x:v>
      </x:c>
      <x:c r="G571" s="11" t="str">
        <x:v>Desk</x:v>
      </x:c>
      <x:c r="H571" s="11" t="n">
        <x:v>2</x:v>
      </x:c>
      <x:c r="I571" s="19" t="n">
        <x:v>0.1</x:v>
      </x:c>
      <x:c r="J571" s="11" t="n">
        <x:v>0</x:v>
      </x:c>
      <x:c r="K571" s="20" t="n">
        <x:v>560</x:v>
      </x:c>
      <x:c r="L571" s="20" t="n">
        <x:v>56</x:v>
      </x:c>
      <x:c r="M571" s="20" t="n">
        <x:v>380</x:v>
      </x:c>
      <x:c r="N571" s="20" t="n">
        <x:f>IF(J571=1,0,K571-L571)</x:f>
        <x:v>504</x:v>
      </x:c>
      <x:c r="O571" s="20" t="n">
        <x:f>N571-M571</x:f>
        <x:v>124</x:v>
      </x:c>
    </x:row>
    <x:row r="572" ht="22" customHeight="1">
      <x:c r="A572" s="11" t="n">
        <x:v>568</x:v>
      </x:c>
      <x:c r="B572" s="11" t="n">
        <x:v>288</x:v>
      </x:c>
      <x:c r="C572" s="18" t="n">
        <x:v>45604</x:v>
      </x:c>
      <x:c r="D572" s="11" t="str">
        <x:v>2024-11</x:v>
      </x:c>
      <x:c r="E572" s="11" t="str">
        <x:v>Central</x:v>
      </x:c>
      <x:c r="F572" s="11" t="str">
        <x:v>Technology</x:v>
      </x:c>
      <x:c r="G572" s="11" t="str">
        <x:v>Keyboard</x:v>
      </x:c>
      <x:c r="H572" s="11" t="n">
        <x:v>4</x:v>
      </x:c>
      <x:c r="I572" s="19" t="n">
        <x:v>0.05</x:v>
      </x:c>
      <x:c r="J572" s="11" t="n">
        <x:v>0</x:v>
      </x:c>
      <x:c r="K572" s="20" t="n">
        <x:v>260</x:v>
      </x:c>
      <x:c r="L572" s="20" t="n">
        <x:v>13</x:v>
      </x:c>
      <x:c r="M572" s="20" t="n">
        <x:v>128</x:v>
      </x:c>
      <x:c r="N572" s="20" t="n">
        <x:f>IF(J572=1,0,K572-L572)</x:f>
        <x:v>247</x:v>
      </x:c>
      <x:c r="O572" s="20" t="n">
        <x:f>N572-M572</x:f>
        <x:v>119</x:v>
      </x:c>
    </x:row>
    <x:row r="573" ht="22" customHeight="1">
      <x:c r="A573" s="11" t="n">
        <x:v>569</x:v>
      </x:c>
      <x:c r="B573" s="11" t="n">
        <x:v>288</x:v>
      </x:c>
      <x:c r="C573" s="18" t="n">
        <x:v>45604</x:v>
      </x:c>
      <x:c r="D573" s="11" t="str">
        <x:v>2024-11</x:v>
      </x:c>
      <x:c r="E573" s="11" t="str">
        <x:v>Central</x:v>
      </x:c>
      <x:c r="F573" s="11" t="str">
        <x:v>Technology</x:v>
      </x:c>
      <x:c r="G573" s="11" t="str">
        <x:v>Monitor</x:v>
      </x:c>
      <x:c r="H573" s="11" t="n">
        <x:v>3</x:v>
      </x:c>
      <x:c r="I573" s="19" t="n">
        <x:v>0.15</x:v>
      </x:c>
      <x:c r="J573" s="11" t="n">
        <x:v>0</x:v>
      </x:c>
      <x:c r="K573" s="20" t="n">
        <x:v>720</x:v>
      </x:c>
      <x:c r="L573" s="20" t="n">
        <x:v>108</x:v>
      </x:c>
      <x:c r="M573" s="20" t="n">
        <x:v>480</x:v>
      </x:c>
      <x:c r="N573" s="20" t="n">
        <x:f>IF(J573=1,0,K573-L573)</x:f>
        <x:v>612</x:v>
      </x:c>
      <x:c r="O573" s="20" t="n">
        <x:f>N573-M573</x:f>
        <x:v>132</x:v>
      </x:c>
    </x:row>
    <x:row r="574" ht="22" customHeight="1">
      <x:c r="A574" s="11" t="n">
        <x:v>570</x:v>
      </x:c>
      <x:c r="B574" s="11" t="n">
        <x:v>289</x:v>
      </x:c>
      <x:c r="C574" s="18" t="n">
        <x:v>45698</x:v>
      </x:c>
      <x:c r="D574" s="11" t="str">
        <x:v>2025-02</x:v>
      </x:c>
      <x:c r="E574" s="11" t="str">
        <x:v>East</x:v>
      </x:c>
      <x:c r="F574" s="11" t="str">
        <x:v>Office Supplies</x:v>
      </x:c>
      <x:c r="G574" s="11" t="str">
        <x:v>Notebook pack</x:v>
      </x:c>
      <x:c r="H574" s="11" t="n">
        <x:v>3</x:v>
      </x:c>
      <x:c r="I574" s="19" t="n">
        <x:v>0.15</x:v>
      </x:c>
      <x:c r="J574" s="11" t="n">
        <x:v>0</x:v>
      </x:c>
      <x:c r="K574" s="20" t="n">
        <x:v>54</x:v>
      </x:c>
      <x:c r="L574" s="20" t="n">
        <x:v>8.1</x:v>
      </x:c>
      <x:c r="M574" s="20" t="n">
        <x:v>21</x:v>
      </x:c>
      <x:c r="N574" s="20" t="n">
        <x:f>IF(J574=1,0,K574-L574)</x:f>
        <x:v>45.9</x:v>
      </x:c>
      <x:c r="O574" s="20" t="n">
        <x:f>N574-M574</x:f>
        <x:v>24.9</x:v>
      </x:c>
    </x:row>
    <x:row r="575" ht="22" customHeight="1">
      <x:c r="A575" s="11" t="n">
        <x:v>571</x:v>
      </x:c>
      <x:c r="B575" s="11" t="n">
        <x:v>290</x:v>
      </x:c>
      <x:c r="C575" s="18" t="n">
        <x:v>45915</x:v>
      </x:c>
      <x:c r="D575" s="11" t="str">
        <x:v>2025-09</x:v>
      </x:c>
      <x:c r="E575" s="11" t="str">
        <x:v>South</x:v>
      </x:c>
      <x:c r="F575" s="11" t="str">
        <x:v>Furniture</x:v>
      </x:c>
      <x:c r="G575" s="11" t="str">
        <x:v>Desk</x:v>
      </x:c>
      <x:c r="H575" s="11" t="n">
        <x:v>3</x:v>
      </x:c>
      <x:c r="I575" s="19" t="n">
        <x:v>0.1</x:v>
      </x:c>
      <x:c r="J575" s="11" t="n">
        <x:v>0</x:v>
      </x:c>
      <x:c r="K575" s="20" t="n">
        <x:v>840</x:v>
      </x:c>
      <x:c r="L575" s="20" t="n">
        <x:v>84</x:v>
      </x:c>
      <x:c r="M575" s="20" t="n">
        <x:v>570</x:v>
      </x:c>
      <x:c r="N575" s="20" t="n">
        <x:f>IF(J575=1,0,K575-L575)</x:f>
        <x:v>756</x:v>
      </x:c>
      <x:c r="O575" s="20" t="n">
        <x:f>N575-M575</x:f>
        <x:v>186</x:v>
      </x:c>
    </x:row>
    <x:row r="576" ht="22" customHeight="1">
      <x:c r="A576" s="11" t="n">
        <x:v>572</x:v>
      </x:c>
      <x:c r="B576" s="11" t="n">
        <x:v>290</x:v>
      </x:c>
      <x:c r="C576" s="18" t="n">
        <x:v>45915</x:v>
      </x:c>
      <x:c r="D576" s="11" t="str">
        <x:v>2025-09</x:v>
      </x:c>
      <x:c r="E576" s="11" t="str">
        <x:v>South</x:v>
      </x:c>
      <x:c r="F576" s="11" t="str">
        <x:v>Technology</x:v>
      </x:c>
      <x:c r="G576" s="11" t="str">
        <x:v>Keyboard</x:v>
      </x:c>
      <x:c r="H576" s="11" t="n">
        <x:v>3</x:v>
      </x:c>
      <x:c r="I576" s="19" t="n">
        <x:v>0.05</x:v>
      </x:c>
      <x:c r="J576" s="11" t="n">
        <x:v>0</x:v>
      </x:c>
      <x:c r="K576" s="20" t="n">
        <x:v>195</x:v>
      </x:c>
      <x:c r="L576" s="20" t="n">
        <x:v>9.75</x:v>
      </x:c>
      <x:c r="M576" s="20" t="n">
        <x:v>96</x:v>
      </x:c>
      <x:c r="N576" s="20" t="n">
        <x:f>IF(J576=1,0,K576-L576)</x:f>
        <x:v>185.25</x:v>
      </x:c>
      <x:c r="O576" s="20" t="n">
        <x:f>N576-M576</x:f>
        <x:v>89.25</x:v>
      </x:c>
    </x:row>
    <x:row r="577" ht="22" customHeight="1">
      <x:c r="A577" s="11" t="n">
        <x:v>573</x:v>
      </x:c>
      <x:c r="B577" s="11" t="n">
        <x:v>290</x:v>
      </x:c>
      <x:c r="C577" s="18" t="n">
        <x:v>45915</x:v>
      </x:c>
      <x:c r="D577" s="11" t="str">
        <x:v>2025-09</x:v>
      </x:c>
      <x:c r="E577" s="11" t="str">
        <x:v>South</x:v>
      </x:c>
      <x:c r="F577" s="11" t="str">
        <x:v>Office Supplies</x:v>
      </x:c>
      <x:c r="G577" s="11" t="str">
        <x:v>Storage box</x:v>
      </x:c>
      <x:c r="H577" s="11" t="n">
        <x:v>3</x:v>
      </x:c>
      <x:c r="I577" s="19" t="n">
        <x:v>0</x:v>
      </x:c>
      <x:c r="J577" s="11" t="n">
        <x:v>0</x:v>
      </x:c>
      <x:c r="K577" s="20" t="n">
        <x:v>78</x:v>
      </x:c>
      <x:c r="L577" s="20" t="n">
        <x:v>0</x:v>
      </x:c>
      <x:c r="M577" s="20" t="n">
        <x:v>36</x:v>
      </x:c>
      <x:c r="N577" s="20" t="n">
        <x:f>IF(J577=1,0,K577-L577)</x:f>
        <x:v>78</x:v>
      </x:c>
      <x:c r="O577" s="20" t="n">
        <x:f>N577-M577</x:f>
        <x:v>42</x:v>
      </x:c>
    </x:row>
    <x:row r="578" ht="22" customHeight="1">
      <x:c r="A578" s="11" t="n">
        <x:v>574</x:v>
      </x:c>
      <x:c r="B578" s="11" t="n">
        <x:v>291</x:v>
      </x:c>
      <x:c r="C578" s="18" t="n">
        <x:v>45538</x:v>
      </x:c>
      <x:c r="D578" s="11" t="str">
        <x:v>2024-09</x:v>
      </x:c>
      <x:c r="E578" s="11" t="str">
        <x:v>East</x:v>
      </x:c>
      <x:c r="F578" s="11" t="str">
        <x:v>Technology</x:v>
      </x:c>
      <x:c r="G578" s="11" t="str">
        <x:v>Monitor</x:v>
      </x:c>
      <x:c r="H578" s="11" t="n">
        <x:v>4</x:v>
      </x:c>
      <x:c r="I578" s="19" t="n">
        <x:v>0.05</x:v>
      </x:c>
      <x:c r="J578" s="11" t="n">
        <x:v>0</x:v>
      </x:c>
      <x:c r="K578" s="20" t="n">
        <x:v>960</x:v>
      </x:c>
      <x:c r="L578" s="20" t="n">
        <x:v>48</x:v>
      </x:c>
      <x:c r="M578" s="20" t="n">
        <x:v>640</x:v>
      </x:c>
      <x:c r="N578" s="20" t="n">
        <x:f>IF(J578=1,0,K578-L578)</x:f>
        <x:v>912</x:v>
      </x:c>
      <x:c r="O578" s="20" t="n">
        <x:f>N578-M578</x:f>
        <x:v>272</x:v>
      </x:c>
    </x:row>
    <x:row r="579" ht="22" customHeight="1">
      <x:c r="A579" s="11" t="n">
        <x:v>575</x:v>
      </x:c>
      <x:c r="B579" s="11" t="n">
        <x:v>291</x:v>
      </x:c>
      <x:c r="C579" s="18" t="n">
        <x:v>45538</x:v>
      </x:c>
      <x:c r="D579" s="11" t="str">
        <x:v>2024-09</x:v>
      </x:c>
      <x:c r="E579" s="11" t="str">
        <x:v>East</x:v>
      </x:c>
      <x:c r="F579" s="11" t="str">
        <x:v>Furniture</x:v>
      </x:c>
      <x:c r="G579" s="11" t="str">
        <x:v>Chair</x:v>
      </x:c>
      <x:c r="H579" s="11" t="n">
        <x:v>4</x:v>
      </x:c>
      <x:c r="I579" s="19" t="n">
        <x:v>0.25</x:v>
      </x:c>
      <x:c r="J579" s="11" t="n">
        <x:v>0</x:v>
      </x:c>
      <x:c r="K579" s="20" t="n">
        <x:v>680</x:v>
      </x:c>
      <x:c r="L579" s="20" t="n">
        <x:v>170</x:v>
      </x:c>
      <x:c r="M579" s="20" t="n">
        <x:v>440</x:v>
      </x:c>
      <x:c r="N579" s="20" t="n">
        <x:f>IF(J579=1,0,K579-L579)</x:f>
        <x:v>510</x:v>
      </x:c>
      <x:c r="O579" s="20" t="n">
        <x:f>N579-M579</x:f>
        <x:v>70</x:v>
      </x:c>
    </x:row>
    <x:row r="580" ht="22" customHeight="1">
      <x:c r="A580" s="11" t="n">
        <x:v>576</x:v>
      </x:c>
      <x:c r="B580" s="11" t="n">
        <x:v>291</x:v>
      </x:c>
      <x:c r="C580" s="18" t="n">
        <x:v>45538</x:v>
      </x:c>
      <x:c r="D580" s="11" t="str">
        <x:v>2024-09</x:v>
      </x:c>
      <x:c r="E580" s="11" t="str">
        <x:v>East</x:v>
      </x:c>
      <x:c r="F580" s="11" t="str">
        <x:v>Furniture</x:v>
      </x:c>
      <x:c r="G580" s="11" t="str">
        <x:v>Desk</x:v>
      </x:c>
      <x:c r="H580" s="11" t="n">
        <x:v>1</x:v>
      </x:c>
      <x:c r="I580" s="19" t="n">
        <x:v>0.05</x:v>
      </x:c>
      <x:c r="J580" s="11" t="n">
        <x:v>0</x:v>
      </x:c>
      <x:c r="K580" s="20" t="n">
        <x:v>280</x:v>
      </x:c>
      <x:c r="L580" s="20" t="n">
        <x:v>14</x:v>
      </x:c>
      <x:c r="M580" s="20" t="n">
        <x:v>190</x:v>
      </x:c>
      <x:c r="N580" s="20" t="n">
        <x:f>IF(J580=1,0,K580-L580)</x:f>
        <x:v>266</x:v>
      </x:c>
      <x:c r="O580" s="20" t="n">
        <x:f>N580-M580</x:f>
        <x:v>76</x:v>
      </x:c>
    </x:row>
    <x:row r="581" ht="22" customHeight="1">
      <x:c r="A581" s="11" t="n">
        <x:v>577</x:v>
      </x:c>
      <x:c r="B581" s="11" t="n">
        <x:v>292</x:v>
      </x:c>
      <x:c r="C581" s="18" t="n">
        <x:v>46022</x:v>
      </x:c>
      <x:c r="D581" s="11" t="str">
        <x:v>2025-12</x:v>
      </x:c>
      <x:c r="E581" s="11" t="str">
        <x:v>East</x:v>
      </x:c>
      <x:c r="F581" s="11" t="str">
        <x:v>Technology</x:v>
      </x:c>
      <x:c r="G581" s="11" t="str">
        <x:v>Monitor</x:v>
      </x:c>
      <x:c r="H581" s="11" t="n">
        <x:v>2</x:v>
      </x:c>
      <x:c r="I581" s="19" t="n">
        <x:v>0.15</x:v>
      </x:c>
      <x:c r="J581" s="11" t="n">
        <x:v>0</x:v>
      </x:c>
      <x:c r="K581" s="20" t="n">
        <x:v>480</x:v>
      </x:c>
      <x:c r="L581" s="20" t="n">
        <x:v>72</x:v>
      </x:c>
      <x:c r="M581" s="20" t="n">
        <x:v>320</x:v>
      </x:c>
      <x:c r="N581" s="20" t="n">
        <x:f>IF(J581=1,0,K581-L581)</x:f>
        <x:v>408</x:v>
      </x:c>
      <x:c r="O581" s="20" t="n">
        <x:f>N581-M581</x:f>
        <x:v>88</x:v>
      </x:c>
    </x:row>
    <x:row r="582" ht="22" customHeight="1">
      <x:c r="A582" s="11" t="n">
        <x:v>578</x:v>
      </x:c>
      <x:c r="B582" s="11" t="n">
        <x:v>292</x:v>
      </x:c>
      <x:c r="C582" s="18" t="n">
        <x:v>46022</x:v>
      </x:c>
      <x:c r="D582" s="11" t="str">
        <x:v>2025-12</x:v>
      </x:c>
      <x:c r="E582" s="11" t="str">
        <x:v>East</x:v>
      </x:c>
      <x:c r="F582" s="11" t="str">
        <x:v>Office Supplies</x:v>
      </x:c>
      <x:c r="G582" s="11" t="str">
        <x:v>Notebook pack</x:v>
      </x:c>
      <x:c r="H582" s="11" t="n">
        <x:v>1</x:v>
      </x:c>
      <x:c r="I582" s="19" t="n">
        <x:v>0.1</x:v>
      </x:c>
      <x:c r="J582" s="11" t="n">
        <x:v>0</x:v>
      </x:c>
      <x:c r="K582" s="20" t="n">
        <x:v>18</x:v>
      </x:c>
      <x:c r="L582" s="20" t="n">
        <x:v>1.8</x:v>
      </x:c>
      <x:c r="M582" s="20" t="n">
        <x:v>7</x:v>
      </x:c>
      <x:c r="N582" s="20" t="n">
        <x:f>IF(J582=1,0,K582-L582)</x:f>
        <x:v>16.2</x:v>
      </x:c>
      <x:c r="O582" s="20" t="n">
        <x:f>N582-M582</x:f>
        <x:v>9.2</x:v>
      </x:c>
    </x:row>
    <x:row r="583" ht="22" customHeight="1">
      <x:c r="A583" s="11" t="n">
        <x:v>579</x:v>
      </x:c>
      <x:c r="B583" s="11" t="n">
        <x:v>292</x:v>
      </x:c>
      <x:c r="C583" s="18" t="n">
        <x:v>46022</x:v>
      </x:c>
      <x:c r="D583" s="11" t="str">
        <x:v>2025-12</x:v>
      </x:c>
      <x:c r="E583" s="11" t="str">
        <x:v>East</x:v>
      </x:c>
      <x:c r="F583" s="11" t="str">
        <x:v>Office Supplies</x:v>
      </x:c>
      <x:c r="G583" s="11" t="str">
        <x:v>Storage box</x:v>
      </x:c>
      <x:c r="H583" s="11" t="n">
        <x:v>3</x:v>
      </x:c>
      <x:c r="I583" s="19" t="n">
        <x:v>0.15</x:v>
      </x:c>
      <x:c r="J583" s="11" t="n">
        <x:v>0</x:v>
      </x:c>
      <x:c r="K583" s="20" t="n">
        <x:v>78</x:v>
      </x:c>
      <x:c r="L583" s="20" t="n">
        <x:v>11.7</x:v>
      </x:c>
      <x:c r="M583" s="20" t="n">
        <x:v>36</x:v>
      </x:c>
      <x:c r="N583" s="20" t="n">
        <x:f>IF(J583=1,0,K583-L583)</x:f>
        <x:v>66.3</x:v>
      </x:c>
      <x:c r="O583" s="20" t="n">
        <x:f>N583-M583</x:f>
        <x:v>30.299999999999997</x:v>
      </x:c>
    </x:row>
    <x:row r="584" ht="22" customHeight="1">
      <x:c r="A584" s="11" t="n">
        <x:v>580</x:v>
      </x:c>
      <x:c r="B584" s="11" t="n">
        <x:v>293</x:v>
      </x:c>
      <x:c r="C584" s="18" t="n">
        <x:v>45479</x:v>
      </x:c>
      <x:c r="D584" s="11" t="str">
        <x:v>2024-07</x:v>
      </x:c>
      <x:c r="E584" s="11" t="str">
        <x:v>South</x:v>
      </x:c>
      <x:c r="F584" s="11" t="str">
        <x:v>Furniture</x:v>
      </x:c>
      <x:c r="G584" s="11" t="str">
        <x:v>Desk</x:v>
      </x:c>
      <x:c r="H584" s="11" t="n">
        <x:v>2</x:v>
      </x:c>
      <x:c r="I584" s="19" t="n">
        <x:v>0.1</x:v>
      </x:c>
      <x:c r="J584" s="11" t="n">
        <x:v>0</x:v>
      </x:c>
      <x:c r="K584" s="20" t="n">
        <x:v>560</x:v>
      </x:c>
      <x:c r="L584" s="20" t="n">
        <x:v>56</x:v>
      </x:c>
      <x:c r="M584" s="20" t="n">
        <x:v>380</x:v>
      </x:c>
      <x:c r="N584" s="20" t="n">
        <x:f>IF(J584=1,0,K584-L584)</x:f>
        <x:v>504</x:v>
      </x:c>
      <x:c r="O584" s="20" t="n">
        <x:f>N584-M584</x:f>
        <x:v>124</x:v>
      </x:c>
    </x:row>
    <x:row r="585" ht="22" customHeight="1">
      <x:c r="A585" s="11" t="n">
        <x:v>581</x:v>
      </x:c>
      <x:c r="B585" s="11" t="n">
        <x:v>293</x:v>
      </x:c>
      <x:c r="C585" s="18" t="n">
        <x:v>45479</x:v>
      </x:c>
      <x:c r="D585" s="11" t="str">
        <x:v>2024-07</x:v>
      </x:c>
      <x:c r="E585" s="11" t="str">
        <x:v>South</x:v>
      </x:c>
      <x:c r="F585" s="11" t="str">
        <x:v>Furniture</x:v>
      </x:c>
      <x:c r="G585" s="11" t="str">
        <x:v>Chair</x:v>
      </x:c>
      <x:c r="H585" s="11" t="n">
        <x:v>3</x:v>
      </x:c>
      <x:c r="I585" s="19" t="n">
        <x:v>0.15</x:v>
      </x:c>
      <x:c r="J585" s="11" t="n">
        <x:v>0</x:v>
      </x:c>
      <x:c r="K585" s="20" t="n">
        <x:v>510</x:v>
      </x:c>
      <x:c r="L585" s="20" t="n">
        <x:v>76.5</x:v>
      </x:c>
      <x:c r="M585" s="20" t="n">
        <x:v>330</x:v>
      </x:c>
      <x:c r="N585" s="20" t="n">
        <x:f>IF(J585=1,0,K585-L585)</x:f>
        <x:v>433.5</x:v>
      </x:c>
      <x:c r="O585" s="20" t="n">
        <x:f>N585-M585</x:f>
        <x:v>103.5</x:v>
      </x:c>
    </x:row>
    <x:row r="586" ht="22" customHeight="1">
      <x:c r="A586" s="11" t="n">
        <x:v>582</x:v>
      </x:c>
      <x:c r="B586" s="11" t="n">
        <x:v>293</x:v>
      </x:c>
      <x:c r="C586" s="18" t="n">
        <x:v>45479</x:v>
      </x:c>
      <x:c r="D586" s="11" t="str">
        <x:v>2024-07</x:v>
      </x:c>
      <x:c r="E586" s="11" t="str">
        <x:v>South</x:v>
      </x:c>
      <x:c r="F586" s="11" t="str">
        <x:v>Technology</x:v>
      </x:c>
      <x:c r="G586" s="11" t="str">
        <x:v>Monitor</x:v>
      </x:c>
      <x:c r="H586" s="11" t="n">
        <x:v>3</x:v>
      </x:c>
      <x:c r="I586" s="19" t="n">
        <x:v>0.1</x:v>
      </x:c>
      <x:c r="J586" s="11" t="n">
        <x:v>0</x:v>
      </x:c>
      <x:c r="K586" s="20" t="n">
        <x:v>720</x:v>
      </x:c>
      <x:c r="L586" s="20" t="n">
        <x:v>72</x:v>
      </x:c>
      <x:c r="M586" s="20" t="n">
        <x:v>480</x:v>
      </x:c>
      <x:c r="N586" s="20" t="n">
        <x:f>IF(J586=1,0,K586-L586)</x:f>
        <x:v>648</x:v>
      </x:c>
      <x:c r="O586" s="20" t="n">
        <x:f>N586-M586</x:f>
        <x:v>168</x:v>
      </x:c>
    </x:row>
    <x:row r="587" ht="22" customHeight="1">
      <x:c r="A587" s="11" t="n">
        <x:v>583</x:v>
      </x:c>
      <x:c r="B587" s="11" t="n">
        <x:v>294</x:v>
      </x:c>
      <x:c r="C587" s="18" t="n">
        <x:v>45773</x:v>
      </x:c>
      <x:c r="D587" s="11" t="str">
        <x:v>2025-04</x:v>
      </x:c>
      <x:c r="E587" s="11" t="str">
        <x:v>West</x:v>
      </x:c>
      <x:c r="F587" s="11" t="str">
        <x:v>Furniture</x:v>
      </x:c>
      <x:c r="G587" s="11" t="str">
        <x:v>Chair</x:v>
      </x:c>
      <x:c r="H587" s="11" t="n">
        <x:v>1</x:v>
      </x:c>
      <x:c r="I587" s="19" t="n">
        <x:v>0.25</x:v>
      </x:c>
      <x:c r="J587" s="11" t="n">
        <x:v>0</x:v>
      </x:c>
      <x:c r="K587" s="20" t="n">
        <x:v>170</x:v>
      </x:c>
      <x:c r="L587" s="20" t="n">
        <x:v>42.5</x:v>
      </x:c>
      <x:c r="M587" s="20" t="n">
        <x:v>110</x:v>
      </x:c>
      <x:c r="N587" s="20" t="n">
        <x:f>IF(J587=1,0,K587-L587)</x:f>
        <x:v>127.5</x:v>
      </x:c>
      <x:c r="O587" s="20" t="n">
        <x:f>N587-M587</x:f>
        <x:v>17.5</x:v>
      </x:c>
    </x:row>
    <x:row r="588" ht="22" customHeight="1">
      <x:c r="A588" s="11" t="n">
        <x:v>584</x:v>
      </x:c>
      <x:c r="B588" s="11" t="n">
        <x:v>294</x:v>
      </x:c>
      <x:c r="C588" s="18" t="n">
        <x:v>45773</x:v>
      </x:c>
      <x:c r="D588" s="11" t="str">
        <x:v>2025-04</x:v>
      </x:c>
      <x:c r="E588" s="11" t="str">
        <x:v>West</x:v>
      </x:c>
      <x:c r="F588" s="11" t="str">
        <x:v>Office Supplies</x:v>
      </x:c>
      <x:c r="G588" s="11" t="str">
        <x:v>Notebook pack</x:v>
      </x:c>
      <x:c r="H588" s="11" t="n">
        <x:v>4</x:v>
      </x:c>
      <x:c r="I588" s="19" t="n">
        <x:v>0</x:v>
      </x:c>
      <x:c r="J588" s="11" t="n">
        <x:v>0</x:v>
      </x:c>
      <x:c r="K588" s="20" t="n">
        <x:v>72</x:v>
      </x:c>
      <x:c r="L588" s="20" t="n">
        <x:v>0</x:v>
      </x:c>
      <x:c r="M588" s="20" t="n">
        <x:v>28</x:v>
      </x:c>
      <x:c r="N588" s="20" t="n">
        <x:f>IF(J588=1,0,K588-L588)</x:f>
        <x:v>72</x:v>
      </x:c>
      <x:c r="O588" s="20" t="n">
        <x:f>N588-M588</x:f>
        <x:v>44</x:v>
      </x:c>
    </x:row>
    <x:row r="589" ht="22" customHeight="1">
      <x:c r="A589" s="11" t="n">
        <x:v>585</x:v>
      </x:c>
      <x:c r="B589" s="11" t="n">
        <x:v>295</x:v>
      </x:c>
      <x:c r="C589" s="18" t="n">
        <x:v>45446</x:v>
      </x:c>
      <x:c r="D589" s="11" t="str">
        <x:v>2024-06</x:v>
      </x:c>
      <x:c r="E589" s="11" t="str">
        <x:v>East</x:v>
      </x:c>
      <x:c r="F589" s="11" t="str">
        <x:v>Technology</x:v>
      </x:c>
      <x:c r="G589" s="11" t="str">
        <x:v>Keyboard</x:v>
      </x:c>
      <x:c r="H589" s="11" t="n">
        <x:v>4</x:v>
      </x:c>
      <x:c r="I589" s="19" t="n">
        <x:v>0</x:v>
      </x:c>
      <x:c r="J589" s="11" t="n">
        <x:v>0</x:v>
      </x:c>
      <x:c r="K589" s="20" t="n">
        <x:v>260</x:v>
      </x:c>
      <x:c r="L589" s="20" t="n">
        <x:v>0</x:v>
      </x:c>
      <x:c r="M589" s="20" t="n">
        <x:v>128</x:v>
      </x:c>
      <x:c r="N589" s="20" t="n">
        <x:f>IF(J589=1,0,K589-L589)</x:f>
        <x:v>260</x:v>
      </x:c>
      <x:c r="O589" s="20" t="n">
        <x:f>N589-M589</x:f>
        <x:v>132</x:v>
      </x:c>
    </x:row>
    <x:row r="590" ht="22" customHeight="1">
      <x:c r="A590" s="11" t="n">
        <x:v>586</x:v>
      </x:c>
      <x:c r="B590" s="11" t="n">
        <x:v>295</x:v>
      </x:c>
      <x:c r="C590" s="18" t="n">
        <x:v>45446</x:v>
      </x:c>
      <x:c r="D590" s="11" t="str">
        <x:v>2024-06</x:v>
      </x:c>
      <x:c r="E590" s="11" t="str">
        <x:v>East</x:v>
      </x:c>
      <x:c r="F590" s="11" t="str">
        <x:v>Office Supplies</x:v>
      </x:c>
      <x:c r="G590" s="11" t="str">
        <x:v>Notebook pack</x:v>
      </x:c>
      <x:c r="H590" s="11" t="n">
        <x:v>2</x:v>
      </x:c>
      <x:c r="I590" s="19" t="n">
        <x:v>0</x:v>
      </x:c>
      <x:c r="J590" s="11" t="n">
        <x:v>0</x:v>
      </x:c>
      <x:c r="K590" s="20" t="n">
        <x:v>36</x:v>
      </x:c>
      <x:c r="L590" s="20" t="n">
        <x:v>0</x:v>
      </x:c>
      <x:c r="M590" s="20" t="n">
        <x:v>14</x:v>
      </x:c>
      <x:c r="N590" s="20" t="n">
        <x:f>IF(J590=1,0,K590-L590)</x:f>
        <x:v>36</x:v>
      </x:c>
      <x:c r="O590" s="20" t="n">
        <x:f>N590-M590</x:f>
        <x:v>22</x:v>
      </x:c>
    </x:row>
    <x:row r="591" ht="22" customHeight="1">
      <x:c r="A591" s="11" t="n">
        <x:v>587</x:v>
      </x:c>
      <x:c r="B591" s="11" t="n">
        <x:v>296</x:v>
      </x:c>
      <x:c r="C591" s="18" t="n">
        <x:v>45938</x:v>
      </x:c>
      <x:c r="D591" s="11" t="str">
        <x:v>2025-10</x:v>
      </x:c>
      <x:c r="E591" s="11" t="str">
        <x:v>West</x:v>
      </x:c>
      <x:c r="F591" s="11" t="str">
        <x:v>Furniture</x:v>
      </x:c>
      <x:c r="G591" s="11" t="str">
        <x:v>Desk</x:v>
      </x:c>
      <x:c r="H591" s="11" t="n">
        <x:v>3</x:v>
      </x:c>
      <x:c r="I591" s="19" t="n">
        <x:v>0.05</x:v>
      </x:c>
      <x:c r="J591" s="11" t="n">
        <x:v>0</x:v>
      </x:c>
      <x:c r="K591" s="20" t="n">
        <x:v>840</x:v>
      </x:c>
      <x:c r="L591" s="20" t="n">
        <x:v>42</x:v>
      </x:c>
      <x:c r="M591" s="20" t="n">
        <x:v>570</x:v>
      </x:c>
      <x:c r="N591" s="20" t="n">
        <x:f>IF(J591=1,0,K591-L591)</x:f>
        <x:v>798</x:v>
      </x:c>
      <x:c r="O591" s="20" t="n">
        <x:f>N591-M591</x:f>
        <x:v>228</x:v>
      </x:c>
    </x:row>
    <x:row r="592" ht="22" customHeight="1">
      <x:c r="A592" s="11" t="n">
        <x:v>588</x:v>
      </x:c>
      <x:c r="B592" s="11" t="n">
        <x:v>296</x:v>
      </x:c>
      <x:c r="C592" s="18" t="n">
        <x:v>45938</x:v>
      </x:c>
      <x:c r="D592" s="11" t="str">
        <x:v>2025-10</x:v>
      </x:c>
      <x:c r="E592" s="11" t="str">
        <x:v>West</x:v>
      </x:c>
      <x:c r="F592" s="11" t="str">
        <x:v>Office Supplies</x:v>
      </x:c>
      <x:c r="G592" s="11" t="str">
        <x:v>Storage box</x:v>
      </x:c>
      <x:c r="H592" s="11" t="n">
        <x:v>2</x:v>
      </x:c>
      <x:c r="I592" s="19" t="n">
        <x:v>0.15</x:v>
      </x:c>
      <x:c r="J592" s="11" t="n">
        <x:v>0</x:v>
      </x:c>
      <x:c r="K592" s="20" t="n">
        <x:v>52</x:v>
      </x:c>
      <x:c r="L592" s="20" t="n">
        <x:v>7.8</x:v>
      </x:c>
      <x:c r="M592" s="20" t="n">
        <x:v>24</x:v>
      </x:c>
      <x:c r="N592" s="20" t="n">
        <x:f>IF(J592=1,0,K592-L592)</x:f>
        <x:v>44.2</x:v>
      </x:c>
      <x:c r="O592" s="20" t="n">
        <x:f>N592-M592</x:f>
        <x:v>20.200000000000003</x:v>
      </x:c>
    </x:row>
    <x:row r="593" ht="22" customHeight="1">
      <x:c r="A593" s="11" t="n">
        <x:v>589</x:v>
      </x:c>
      <x:c r="B593" s="11" t="n">
        <x:v>296</x:v>
      </x:c>
      <x:c r="C593" s="18" t="n">
        <x:v>45938</x:v>
      </x:c>
      <x:c r="D593" s="11" t="str">
        <x:v>2025-10</x:v>
      </x:c>
      <x:c r="E593" s="11" t="str">
        <x:v>West</x:v>
      </x:c>
      <x:c r="F593" s="11" t="str">
        <x:v>Technology</x:v>
      </x:c>
      <x:c r="G593" s="11" t="str">
        <x:v>Keyboard</x:v>
      </x:c>
      <x:c r="H593" s="11" t="n">
        <x:v>4</x:v>
      </x:c>
      <x:c r="I593" s="19" t="n">
        <x:v>0</x:v>
      </x:c>
      <x:c r="J593" s="11" t="n">
        <x:v>0</x:v>
      </x:c>
      <x:c r="K593" s="20" t="n">
        <x:v>260</x:v>
      </x:c>
      <x:c r="L593" s="20" t="n">
        <x:v>0</x:v>
      </x:c>
      <x:c r="M593" s="20" t="n">
        <x:v>128</x:v>
      </x:c>
      <x:c r="N593" s="20" t="n">
        <x:f>IF(J593=1,0,K593-L593)</x:f>
        <x:v>260</x:v>
      </x:c>
      <x:c r="O593" s="20" t="n">
        <x:f>N593-M593</x:f>
        <x:v>132</x:v>
      </x:c>
    </x:row>
    <x:row r="594" ht="22" customHeight="1">
      <x:c r="A594" s="11" t="n">
        <x:v>590</x:v>
      </x:c>
      <x:c r="B594" s="11" t="n">
        <x:v>297</x:v>
      </x:c>
      <x:c r="C594" s="18" t="n">
        <x:v>45736</x:v>
      </x:c>
      <x:c r="D594" s="11" t="str">
        <x:v>2025-03</x:v>
      </x:c>
      <x:c r="E594" s="11" t="str">
        <x:v>Central</x:v>
      </x:c>
      <x:c r="F594" s="11" t="str">
        <x:v>Technology</x:v>
      </x:c>
      <x:c r="G594" s="11" t="str">
        <x:v>Keyboard</x:v>
      </x:c>
      <x:c r="H594" s="11" t="n">
        <x:v>4</x:v>
      </x:c>
      <x:c r="I594" s="19" t="n">
        <x:v>0</x:v>
      </x:c>
      <x:c r="J594" s="11" t="n">
        <x:v>1</x:v>
      </x:c>
      <x:c r="K594" s="20" t="n">
        <x:v>260</x:v>
      </x:c>
      <x:c r="L594" s="20" t="n">
        <x:v>0</x:v>
      </x:c>
      <x:c r="M594" s="20" t="n">
        <x:v>0</x:v>
      </x:c>
      <x:c r="N594" s="20" t="n">
        <x:f>IF(J594=1,0,K594-L594)</x:f>
        <x:v>0</x:v>
      </x:c>
      <x:c r="O594" s="20" t="n">
        <x:f>N594-M594</x:f>
        <x:v>0</x:v>
      </x:c>
    </x:row>
    <x:row r="595" ht="22" customHeight="1">
      <x:c r="A595" s="11" t="n">
        <x:v>591</x:v>
      </x:c>
      <x:c r="B595" s="11" t="n">
        <x:v>297</x:v>
      </x:c>
      <x:c r="C595" s="18" t="n">
        <x:v>45736</x:v>
      </x:c>
      <x:c r="D595" s="11" t="str">
        <x:v>2025-03</x:v>
      </x:c>
      <x:c r="E595" s="11" t="str">
        <x:v>Central</x:v>
      </x:c>
      <x:c r="F595" s="11" t="str">
        <x:v>Office Supplies</x:v>
      </x:c>
      <x:c r="G595" s="11" t="str">
        <x:v>Storage box</x:v>
      </x:c>
      <x:c r="H595" s="11" t="n">
        <x:v>2</x:v>
      </x:c>
      <x:c r="I595" s="19" t="n">
        <x:v>0.05</x:v>
      </x:c>
      <x:c r="J595" s="11" t="n">
        <x:v>0</x:v>
      </x:c>
      <x:c r="K595" s="20" t="n">
        <x:v>52</x:v>
      </x:c>
      <x:c r="L595" s="20" t="n">
        <x:v>2.6</x:v>
      </x:c>
      <x:c r="M595" s="20" t="n">
        <x:v>24</x:v>
      </x:c>
      <x:c r="N595" s="20" t="n">
        <x:f>IF(J595=1,0,K595-L595)</x:f>
        <x:v>49.4</x:v>
      </x:c>
      <x:c r="O595" s="20" t="n">
        <x:f>N595-M595</x:f>
        <x:v>25.4</x:v>
      </x:c>
    </x:row>
    <x:row r="596" ht="22" customHeight="1">
      <x:c r="A596" s="11" t="n">
        <x:v>592</x:v>
      </x:c>
      <x:c r="B596" s="11" t="n">
        <x:v>298</x:v>
      </x:c>
      <x:c r="C596" s="18" t="n">
        <x:v>45621</x:v>
      </x:c>
      <x:c r="D596" s="11" t="str">
        <x:v>2024-11</x:v>
      </x:c>
      <x:c r="E596" s="11" t="str">
        <x:v>Central</x:v>
      </x:c>
      <x:c r="F596" s="11" t="str">
        <x:v>Office Supplies</x:v>
      </x:c>
      <x:c r="G596" s="11" t="str">
        <x:v>Storage box</x:v>
      </x:c>
      <x:c r="H596" s="11" t="n">
        <x:v>1</x:v>
      </x:c>
      <x:c r="I596" s="19" t="n">
        <x:v>0</x:v>
      </x:c>
      <x:c r="J596" s="11" t="n">
        <x:v>0</x:v>
      </x:c>
      <x:c r="K596" s="20" t="n">
        <x:v>26</x:v>
      </x:c>
      <x:c r="L596" s="20" t="n">
        <x:v>0</x:v>
      </x:c>
      <x:c r="M596" s="20" t="n">
        <x:v>12</x:v>
      </x:c>
      <x:c r="N596" s="20" t="n">
        <x:f>IF(J596=1,0,K596-L596)</x:f>
        <x:v>26</x:v>
      </x:c>
      <x:c r="O596" s="20" t="n">
        <x:f>N596-M596</x:f>
        <x:v>14</x:v>
      </x:c>
    </x:row>
    <x:row r="597" ht="22" customHeight="1">
      <x:c r="A597" s="11" t="n">
        <x:v>593</x:v>
      </x:c>
      <x:c r="B597" s="11" t="n">
        <x:v>299</x:v>
      </x:c>
      <x:c r="C597" s="18" t="n">
        <x:v>45644</x:v>
      </x:c>
      <x:c r="D597" s="11" t="str">
        <x:v>2024-12</x:v>
      </x:c>
      <x:c r="E597" s="11" t="str">
        <x:v>East</x:v>
      </x:c>
      <x:c r="F597" s="11" t="str">
        <x:v>Technology</x:v>
      </x:c>
      <x:c r="G597" s="11" t="str">
        <x:v>Keyboard</x:v>
      </x:c>
      <x:c r="H597" s="11" t="n">
        <x:v>5</x:v>
      </x:c>
      <x:c r="I597" s="19" t="n">
        <x:v>0.15</x:v>
      </x:c>
      <x:c r="J597" s="11" t="n">
        <x:v>0</x:v>
      </x:c>
      <x:c r="K597" s="20" t="n">
        <x:v>325</x:v>
      </x:c>
      <x:c r="L597" s="20" t="n">
        <x:v>48.75</x:v>
      </x:c>
      <x:c r="M597" s="20" t="n">
        <x:v>160</x:v>
      </x:c>
      <x:c r="N597" s="20" t="n">
        <x:f>IF(J597=1,0,K597-L597)</x:f>
        <x:v>276.25</x:v>
      </x:c>
      <x:c r="O597" s="20" t="n">
        <x:f>N597-M597</x:f>
        <x:v>116.25</x:v>
      </x:c>
    </x:row>
    <x:row r="598" ht="22" customHeight="1">
      <x:c r="A598" s="11" t="n">
        <x:v>594</x:v>
      </x:c>
      <x:c r="B598" s="11" t="n">
        <x:v>300</x:v>
      </x:c>
      <x:c r="C598" s="18" t="n">
        <x:v>45358</x:v>
      </x:c>
      <x:c r="D598" s="11" t="str">
        <x:v>2024-03</x:v>
      </x:c>
      <x:c r="E598" s="11" t="str">
        <x:v>South</x:v>
      </x:c>
      <x:c r="F598" s="11" t="str">
        <x:v>Technology</x:v>
      </x:c>
      <x:c r="G598" s="11" t="str">
        <x:v>Keyboard</x:v>
      </x:c>
      <x:c r="H598" s="11" t="n">
        <x:v>5</x:v>
      </x:c>
      <x:c r="I598" s="19" t="n">
        <x:v>0.15</x:v>
      </x:c>
      <x:c r="J598" s="11" t="n">
        <x:v>0</x:v>
      </x:c>
      <x:c r="K598" s="20" t="n">
        <x:v>325</x:v>
      </x:c>
      <x:c r="L598" s="20" t="n">
        <x:v>48.75</x:v>
      </x:c>
      <x:c r="M598" s="20" t="n">
        <x:v>160</x:v>
      </x:c>
      <x:c r="N598" s="20" t="n">
        <x:f>IF(J598=1,0,K598-L598)</x:f>
        <x:v>276.25</x:v>
      </x:c>
      <x:c r="O598" s="20" t="n">
        <x:f>N598-M598</x:f>
        <x:v>116.25</x:v>
      </x:c>
    </x:row>
    <x:row r="599" ht="22" customHeight="1">
      <x:c r="A599" s="11" t="n">
        <x:v>595</x:v>
      </x:c>
      <x:c r="B599" s="11" t="n">
        <x:v>300</x:v>
      </x:c>
      <x:c r="C599" s="18" t="n">
        <x:v>45358</x:v>
      </x:c>
      <x:c r="D599" s="11" t="str">
        <x:v>2024-03</x:v>
      </x:c>
      <x:c r="E599" s="11" t="str">
        <x:v>South</x:v>
      </x:c>
      <x:c r="F599" s="11" t="str">
        <x:v>Office Supplies</x:v>
      </x:c>
      <x:c r="G599" s="11" t="str">
        <x:v>Notebook pack</x:v>
      </x:c>
      <x:c r="H599" s="11" t="n">
        <x:v>2</x:v>
      </x:c>
      <x:c r="I599" s="19" t="n">
        <x:v>0.05</x:v>
      </x:c>
      <x:c r="J599" s="11" t="n">
        <x:v>0</x:v>
      </x:c>
      <x:c r="K599" s="20" t="n">
        <x:v>36</x:v>
      </x:c>
      <x:c r="L599" s="20" t="n">
        <x:v>1.8</x:v>
      </x:c>
      <x:c r="M599" s="20" t="n">
        <x:v>14</x:v>
      </x:c>
      <x:c r="N599" s="20" t="n">
        <x:f>IF(J599=1,0,K599-L599)</x:f>
        <x:v>34.2</x:v>
      </x:c>
      <x:c r="O599" s="20" t="n">
        <x:f>N599-M599</x:f>
        <x:v>20.200000000000003</x:v>
      </x:c>
    </x:row>
    <x:row r="600" ht="22" customHeight="1">
      <x:c r="A600" s="11" t="n">
        <x:v>596</x:v>
      </x:c>
      <x:c r="B600" s="11" t="n">
        <x:v>301</x:v>
      </x:c>
      <x:c r="C600" s="18" t="n">
        <x:v>45793</x:v>
      </x:c>
      <x:c r="D600" s="11" t="str">
        <x:v>2025-05</x:v>
      </x:c>
      <x:c r="E600" s="11" t="str">
        <x:v>East</x:v>
      </x:c>
      <x:c r="F600" s="11" t="str">
        <x:v>Technology</x:v>
      </x:c>
      <x:c r="G600" s="11" t="str">
        <x:v>Keyboard</x:v>
      </x:c>
      <x:c r="H600" s="11" t="n">
        <x:v>1</x:v>
      </x:c>
      <x:c r="I600" s="19" t="n">
        <x:v>0</x:v>
      </x:c>
      <x:c r="J600" s="11" t="n">
        <x:v>0</x:v>
      </x:c>
      <x:c r="K600" s="20" t="n">
        <x:v>65</x:v>
      </x:c>
      <x:c r="L600" s="20" t="n">
        <x:v>0</x:v>
      </x:c>
      <x:c r="M600" s="20" t="n">
        <x:v>32</x:v>
      </x:c>
      <x:c r="N600" s="20" t="n">
        <x:f>IF(J600=1,0,K600-L600)</x:f>
        <x:v>65</x:v>
      </x:c>
      <x:c r="O600" s="20" t="n">
        <x:f>N600-M600</x:f>
        <x:v>33</x:v>
      </x:c>
    </x:row>
    <x:row r="601" ht="22" customHeight="1">
      <x:c r="A601" s="11" t="n">
        <x:v>597</x:v>
      </x:c>
      <x:c r="B601" s="11" t="n">
        <x:v>302</x:v>
      </x:c>
      <x:c r="C601" s="18" t="n">
        <x:v>45426</x:v>
      </x:c>
      <x:c r="D601" s="11" t="str">
        <x:v>2024-05</x:v>
      </x:c>
      <x:c r="E601" s="11" t="str">
        <x:v>Central</x:v>
      </x:c>
      <x:c r="F601" s="11" t="str">
        <x:v>Office Supplies</x:v>
      </x:c>
      <x:c r="G601" s="11" t="str">
        <x:v>Notebook pack</x:v>
      </x:c>
      <x:c r="H601" s="11" t="n">
        <x:v>3</x:v>
      </x:c>
      <x:c r="I601" s="19" t="n">
        <x:v>0</x:v>
      </x:c>
      <x:c r="J601" s="11" t="n">
        <x:v>0</x:v>
      </x:c>
      <x:c r="K601" s="20" t="n">
        <x:v>54</x:v>
      </x:c>
      <x:c r="L601" s="20" t="n">
        <x:v>0</x:v>
      </x:c>
      <x:c r="M601" s="20" t="n">
        <x:v>21</x:v>
      </x:c>
      <x:c r="N601" s="20" t="n">
        <x:f>IF(J601=1,0,K601-L601)</x:f>
        <x:v>54</x:v>
      </x:c>
      <x:c r="O601" s="20" t="n">
        <x:f>N601-M601</x:f>
        <x:v>33</x:v>
      </x:c>
    </x:row>
    <x:row r="602" ht="22" customHeight="1">
      <x:c r="A602" s="11" t="n">
        <x:v>598</x:v>
      </x:c>
      <x:c r="B602" s="11" t="n">
        <x:v>302</x:v>
      </x:c>
      <x:c r="C602" s="18" t="n">
        <x:v>45426</x:v>
      </x:c>
      <x:c r="D602" s="11" t="str">
        <x:v>2024-05</x:v>
      </x:c>
      <x:c r="E602" s="11" t="str">
        <x:v>Central</x:v>
      </x:c>
      <x:c r="F602" s="11" t="str">
        <x:v>Furniture</x:v>
      </x:c>
      <x:c r="G602" s="11" t="str">
        <x:v>Chair</x:v>
      </x:c>
      <x:c r="H602" s="11" t="n">
        <x:v>3</x:v>
      </x:c>
      <x:c r="I602" s="19" t="n">
        <x:v>0</x:v>
      </x:c>
      <x:c r="J602" s="11" t="n">
        <x:v>0</x:v>
      </x:c>
      <x:c r="K602" s="20" t="n">
        <x:v>510</x:v>
      </x:c>
      <x:c r="L602" s="20" t="n">
        <x:v>0</x:v>
      </x:c>
      <x:c r="M602" s="20" t="n">
        <x:v>330</x:v>
      </x:c>
      <x:c r="N602" s="20" t="n">
        <x:f>IF(J602=1,0,K602-L602)</x:f>
        <x:v>510</x:v>
      </x:c>
      <x:c r="O602" s="20" t="n">
        <x:f>N602-M602</x:f>
        <x:v>180</x:v>
      </x:c>
    </x:row>
    <x:row r="603" ht="22" customHeight="1">
      <x:c r="A603" s="11" t="n">
        <x:v>599</x:v>
      </x:c>
      <x:c r="B603" s="11" t="n">
        <x:v>302</x:v>
      </x:c>
      <x:c r="C603" s="18" t="n">
        <x:v>45426</x:v>
      </x:c>
      <x:c r="D603" s="11" t="str">
        <x:v>2024-05</x:v>
      </x:c>
      <x:c r="E603" s="11" t="str">
        <x:v>Central</x:v>
      </x:c>
      <x:c r="F603" s="11" t="str">
        <x:v>Furniture</x:v>
      </x:c>
      <x:c r="G603" s="11" t="str">
        <x:v>Desk</x:v>
      </x:c>
      <x:c r="H603" s="11" t="n">
        <x:v>1</x:v>
      </x:c>
      <x:c r="I603" s="19" t="n">
        <x:v>0</x:v>
      </x:c>
      <x:c r="J603" s="11" t="n">
        <x:v>0</x:v>
      </x:c>
      <x:c r="K603" s="20" t="n">
        <x:v>280</x:v>
      </x:c>
      <x:c r="L603" s="20" t="n">
        <x:v>0</x:v>
      </x:c>
      <x:c r="M603" s="20" t="n">
        <x:v>190</x:v>
      </x:c>
      <x:c r="N603" s="20" t="n">
        <x:f>IF(J603=1,0,K603-L603)</x:f>
        <x:v>280</x:v>
      </x:c>
      <x:c r="O603" s="20" t="n">
        <x:f>N603-M603</x:f>
        <x:v>90</x:v>
      </x:c>
    </x:row>
    <x:row r="604" ht="22" customHeight="1">
      <x:c r="A604" s="11" t="n">
        <x:v>600</x:v>
      </x:c>
      <x:c r="B604" s="11" t="n">
        <x:v>303</x:v>
      </x:c>
      <x:c r="C604" s="18" t="n">
        <x:v>45312</x:v>
      </x:c>
      <x:c r="D604" s="11" t="str">
        <x:v>2024-01</x:v>
      </x:c>
      <x:c r="E604" s="11" t="str">
        <x:v>Central</x:v>
      </x:c>
      <x:c r="F604" s="11" t="str">
        <x:v>Technology</x:v>
      </x:c>
      <x:c r="G604" s="11" t="str">
        <x:v>Keyboard</x:v>
      </x:c>
      <x:c r="H604" s="11" t="n">
        <x:v>1</x:v>
      </x:c>
      <x:c r="I604" s="19" t="n">
        <x:v>0.15</x:v>
      </x:c>
      <x:c r="J604" s="11" t="n">
        <x:v>0</x:v>
      </x:c>
      <x:c r="K604" s="20" t="n">
        <x:v>65</x:v>
      </x:c>
      <x:c r="L604" s="20" t="n">
        <x:v>9.75</x:v>
      </x:c>
      <x:c r="M604" s="20" t="n">
        <x:v>32</x:v>
      </x:c>
      <x:c r="N604" s="20" t="n">
        <x:f>IF(J604=1,0,K604-L604)</x:f>
        <x:v>55.25</x:v>
      </x:c>
      <x:c r="O604" s="20" t="n">
        <x:f>N604-M604</x:f>
        <x:v>23.25</x:v>
      </x:c>
    </x:row>
    <x:row r="605" ht="22" customHeight="1">
      <x:c r="A605" s="11" t="n">
        <x:v>601</x:v>
      </x:c>
      <x:c r="B605" s="11" t="n">
        <x:v>303</x:v>
      </x:c>
      <x:c r="C605" s="18" t="n">
        <x:v>45312</x:v>
      </x:c>
      <x:c r="D605" s="11" t="str">
        <x:v>2024-01</x:v>
      </x:c>
      <x:c r="E605" s="11" t="str">
        <x:v>Central</x:v>
      </x:c>
      <x:c r="F605" s="11" t="str">
        <x:v>Office Supplies</x:v>
      </x:c>
      <x:c r="G605" s="11" t="str">
        <x:v>Storage box</x:v>
      </x:c>
      <x:c r="H605" s="11" t="n">
        <x:v>2</x:v>
      </x:c>
      <x:c r="I605" s="19" t="n">
        <x:v>0</x:v>
      </x:c>
      <x:c r="J605" s="11" t="n">
        <x:v>0</x:v>
      </x:c>
      <x:c r="K605" s="20" t="n">
        <x:v>52</x:v>
      </x:c>
      <x:c r="L605" s="20" t="n">
        <x:v>0</x:v>
      </x:c>
      <x:c r="M605" s="20" t="n">
        <x:v>24</x:v>
      </x:c>
      <x:c r="N605" s="20" t="n">
        <x:f>IF(J605=1,0,K605-L605)</x:f>
        <x:v>52</x:v>
      </x:c>
      <x:c r="O605" s="20" t="n">
        <x:f>N605-M605</x:f>
        <x:v>28</x:v>
      </x:c>
    </x:row>
    <x:row r="606" ht="22" customHeight="1">
      <x:c r="A606" s="11" t="n">
        <x:v>602</x:v>
      </x:c>
      <x:c r="B606" s="11" t="n">
        <x:v>304</x:v>
      </x:c>
      <x:c r="C606" s="18" t="n">
        <x:v>45937</x:v>
      </x:c>
      <x:c r="D606" s="11" t="str">
        <x:v>2025-10</x:v>
      </x:c>
      <x:c r="E606" s="11" t="str">
        <x:v>West</x:v>
      </x:c>
      <x:c r="F606" s="11" t="str">
        <x:v>Office Supplies</x:v>
      </x:c>
      <x:c r="G606" s="11" t="str">
        <x:v>Storage box</x:v>
      </x:c>
      <x:c r="H606" s="11" t="n">
        <x:v>5</x:v>
      </x:c>
      <x:c r="I606" s="19" t="n">
        <x:v>0.05</x:v>
      </x:c>
      <x:c r="J606" s="11" t="n">
        <x:v>0</x:v>
      </x:c>
      <x:c r="K606" s="20" t="n">
        <x:v>130</x:v>
      </x:c>
      <x:c r="L606" s="20" t="n">
        <x:v>6.5</x:v>
      </x:c>
      <x:c r="M606" s="20" t="n">
        <x:v>60</x:v>
      </x:c>
      <x:c r="N606" s="20" t="n">
        <x:f>IF(J606=1,0,K606-L606)</x:f>
        <x:v>123.5</x:v>
      </x:c>
      <x:c r="O606" s="20" t="n">
        <x:f>N606-M606</x:f>
        <x:v>63.5</x:v>
      </x:c>
    </x:row>
    <x:row r="607" ht="22" customHeight="1">
      <x:c r="A607" s="11" t="n">
        <x:v>603</x:v>
      </x:c>
      <x:c r="B607" s="11" t="n">
        <x:v>304</x:v>
      </x:c>
      <x:c r="C607" s="18" t="n">
        <x:v>45937</x:v>
      </x:c>
      <x:c r="D607" s="11" t="str">
        <x:v>2025-10</x:v>
      </x:c>
      <x:c r="E607" s="11" t="str">
        <x:v>West</x:v>
      </x:c>
      <x:c r="F607" s="11" t="str">
        <x:v>Furniture</x:v>
      </x:c>
      <x:c r="G607" s="11" t="str">
        <x:v>Desk</x:v>
      </x:c>
      <x:c r="H607" s="11" t="n">
        <x:v>2</x:v>
      </x:c>
      <x:c r="I607" s="19" t="n">
        <x:v>0.25</x:v>
      </x:c>
      <x:c r="J607" s="11" t="n">
        <x:v>0</x:v>
      </x:c>
      <x:c r="K607" s="20" t="n">
        <x:v>560</x:v>
      </x:c>
      <x:c r="L607" s="20" t="n">
        <x:v>140</x:v>
      </x:c>
      <x:c r="M607" s="20" t="n">
        <x:v>380</x:v>
      </x:c>
      <x:c r="N607" s="20" t="n">
        <x:f>IF(J607=1,0,K607-L607)</x:f>
        <x:v>420</x:v>
      </x:c>
      <x:c r="O607" s="20" t="n">
        <x:f>N607-M607</x:f>
        <x:v>40</x:v>
      </x:c>
    </x:row>
    <x:row r="608" ht="22" customHeight="1">
      <x:c r="A608" s="11" t="n">
        <x:v>604</x:v>
      </x:c>
      <x:c r="B608" s="11" t="n">
        <x:v>305</x:v>
      </x:c>
      <x:c r="C608" s="18" t="n">
        <x:v>45399</x:v>
      </x:c>
      <x:c r="D608" s="11" t="str">
        <x:v>2024-04</x:v>
      </x:c>
      <x:c r="E608" s="11" t="str">
        <x:v>Central</x:v>
      </x:c>
      <x:c r="F608" s="11" t="str">
        <x:v>Furniture</x:v>
      </x:c>
      <x:c r="G608" s="11" t="str">
        <x:v>Desk</x:v>
      </x:c>
      <x:c r="H608" s="11" t="n">
        <x:v>4</x:v>
      </x:c>
      <x:c r="I608" s="19" t="n">
        <x:v>0.05</x:v>
      </x:c>
      <x:c r="J608" s="11" t="n">
        <x:v>0</x:v>
      </x:c>
      <x:c r="K608" s="20" t="n">
        <x:v>1120</x:v>
      </x:c>
      <x:c r="L608" s="20" t="n">
        <x:v>56</x:v>
      </x:c>
      <x:c r="M608" s="20" t="n">
        <x:v>760</x:v>
      </x:c>
      <x:c r="N608" s="20" t="n">
        <x:f>IF(J608=1,0,K608-L608)</x:f>
        <x:v>1064</x:v>
      </x:c>
      <x:c r="O608" s="20" t="n">
        <x:f>N608-M608</x:f>
        <x:v>304</x:v>
      </x:c>
    </x:row>
    <x:row r="609" ht="22" customHeight="1">
      <x:c r="A609" s="11" t="n">
        <x:v>605</x:v>
      </x:c>
      <x:c r="B609" s="11" t="n">
        <x:v>305</x:v>
      </x:c>
      <x:c r="C609" s="18" t="n">
        <x:v>45399</x:v>
      </x:c>
      <x:c r="D609" s="11" t="str">
        <x:v>2024-04</x:v>
      </x:c>
      <x:c r="E609" s="11" t="str">
        <x:v>Central</x:v>
      </x:c>
      <x:c r="F609" s="11" t="str">
        <x:v>Office Supplies</x:v>
      </x:c>
      <x:c r="G609" s="11" t="str">
        <x:v>Storage box</x:v>
      </x:c>
      <x:c r="H609" s="11" t="n">
        <x:v>3</x:v>
      </x:c>
      <x:c r="I609" s="19" t="n">
        <x:v>0.15</x:v>
      </x:c>
      <x:c r="J609" s="11" t="n">
        <x:v>0</x:v>
      </x:c>
      <x:c r="K609" s="20" t="n">
        <x:v>78</x:v>
      </x:c>
      <x:c r="L609" s="20" t="n">
        <x:v>11.7</x:v>
      </x:c>
      <x:c r="M609" s="20" t="n">
        <x:v>36</x:v>
      </x:c>
      <x:c r="N609" s="20" t="n">
        <x:f>IF(J609=1,0,K609-L609)</x:f>
        <x:v>66.3</x:v>
      </x:c>
      <x:c r="O609" s="20" t="n">
        <x:f>N609-M609</x:f>
        <x:v>30.299999999999997</x:v>
      </x:c>
    </x:row>
    <x:row r="610" ht="22" customHeight="1">
      <x:c r="A610" s="11" t="n">
        <x:v>606</x:v>
      </x:c>
      <x:c r="B610" s="11" t="n">
        <x:v>306</x:v>
      </x:c>
      <x:c r="C610" s="18" t="n">
        <x:v>45658</x:v>
      </x:c>
      <x:c r="D610" s="11" t="str">
        <x:v>2025-01</x:v>
      </x:c>
      <x:c r="E610" s="11" t="str">
        <x:v>South</x:v>
      </x:c>
      <x:c r="F610" s="11" t="str">
        <x:v>Furniture</x:v>
      </x:c>
      <x:c r="G610" s="11" t="str">
        <x:v>Chair</x:v>
      </x:c>
      <x:c r="H610" s="11" t="n">
        <x:v>5</x:v>
      </x:c>
      <x:c r="I610" s="19" t="n">
        <x:v>0.35</x:v>
      </x:c>
      <x:c r="J610" s="11" t="n">
        <x:v>0</x:v>
      </x:c>
      <x:c r="K610" s="20" t="n">
        <x:v>850</x:v>
      </x:c>
      <x:c r="L610" s="20" t="n">
        <x:v>297.5</x:v>
      </x:c>
      <x:c r="M610" s="20" t="n">
        <x:v>550</x:v>
      </x:c>
      <x:c r="N610" s="20" t="n">
        <x:f>IF(J610=1,0,K610-L610)</x:f>
        <x:v>552.5</x:v>
      </x:c>
      <x:c r="O610" s="20" t="n">
        <x:f>N610-M610</x:f>
        <x:v>2.5</x:v>
      </x:c>
    </x:row>
    <x:row r="611" ht="22" customHeight="1">
      <x:c r="A611" s="11" t="n">
        <x:v>607</x:v>
      </x:c>
      <x:c r="B611" s="11" t="n">
        <x:v>306</x:v>
      </x:c>
      <x:c r="C611" s="18" t="n">
        <x:v>45658</x:v>
      </x:c>
      <x:c r="D611" s="11" t="str">
        <x:v>2025-01</x:v>
      </x:c>
      <x:c r="E611" s="11" t="str">
        <x:v>South</x:v>
      </x:c>
      <x:c r="F611" s="11" t="str">
        <x:v>Furniture</x:v>
      </x:c>
      <x:c r="G611" s="11" t="str">
        <x:v>Desk</x:v>
      </x:c>
      <x:c r="H611" s="11" t="n">
        <x:v>4</x:v>
      </x:c>
      <x:c r="I611" s="19" t="n">
        <x:v>0.15</x:v>
      </x:c>
      <x:c r="J611" s="11" t="n">
        <x:v>0</x:v>
      </x:c>
      <x:c r="K611" s="20" t="n">
        <x:v>1120</x:v>
      </x:c>
      <x:c r="L611" s="20" t="n">
        <x:v>168</x:v>
      </x:c>
      <x:c r="M611" s="20" t="n">
        <x:v>760</x:v>
      </x:c>
      <x:c r="N611" s="20" t="n">
        <x:f>IF(J611=1,0,K611-L611)</x:f>
        <x:v>952</x:v>
      </x:c>
      <x:c r="O611" s="20" t="n">
        <x:f>N611-M611</x:f>
        <x:v>192</x:v>
      </x:c>
    </x:row>
    <x:row r="612" ht="22" customHeight="1">
      <x:c r="A612" s="11" t="n">
        <x:v>608</x:v>
      </x:c>
      <x:c r="B612" s="11" t="n">
        <x:v>307</x:v>
      </x:c>
      <x:c r="C612" s="18" t="n">
        <x:v>45305</x:v>
      </x:c>
      <x:c r="D612" s="11" t="str">
        <x:v>2024-01</x:v>
      </x:c>
      <x:c r="E612" s="11" t="str">
        <x:v>South</x:v>
      </x:c>
      <x:c r="F612" s="11" t="str">
        <x:v>Office Supplies</x:v>
      </x:c>
      <x:c r="G612" s="11" t="str">
        <x:v>Notebook pack</x:v>
      </x:c>
      <x:c r="H612" s="11" t="n">
        <x:v>4</x:v>
      </x:c>
      <x:c r="I612" s="19" t="n">
        <x:v>0</x:v>
      </x:c>
      <x:c r="J612" s="11" t="n">
        <x:v>0</x:v>
      </x:c>
      <x:c r="K612" s="20" t="n">
        <x:v>72</x:v>
      </x:c>
      <x:c r="L612" s="20" t="n">
        <x:v>0</x:v>
      </x:c>
      <x:c r="M612" s="20" t="n">
        <x:v>28</x:v>
      </x:c>
      <x:c r="N612" s="20" t="n">
        <x:f>IF(J612=1,0,K612-L612)</x:f>
        <x:v>72</x:v>
      </x:c>
      <x:c r="O612" s="20" t="n">
        <x:f>N612-M612</x:f>
        <x:v>44</x:v>
      </x:c>
    </x:row>
    <x:row r="613" ht="22" customHeight="1">
      <x:c r="A613" s="11" t="n">
        <x:v>609</x:v>
      </x:c>
      <x:c r="B613" s="11" t="n">
        <x:v>308</x:v>
      </x:c>
      <x:c r="C613" s="18" t="n">
        <x:v>45815</x:v>
      </x:c>
      <x:c r="D613" s="11" t="str">
        <x:v>2025-06</x:v>
      </x:c>
      <x:c r="E613" s="11" t="str">
        <x:v>South</x:v>
      </x:c>
      <x:c r="F613" s="11" t="str">
        <x:v>Office Supplies</x:v>
      </x:c>
      <x:c r="G613" s="11" t="str">
        <x:v>Storage box</x:v>
      </x:c>
      <x:c r="H613" s="11" t="n">
        <x:v>4</x:v>
      </x:c>
      <x:c r="I613" s="19" t="n">
        <x:v>0.05</x:v>
      </x:c>
      <x:c r="J613" s="11" t="n">
        <x:v>0</x:v>
      </x:c>
      <x:c r="K613" s="20" t="n">
        <x:v>104</x:v>
      </x:c>
      <x:c r="L613" s="20" t="n">
        <x:v>5.2</x:v>
      </x:c>
      <x:c r="M613" s="20" t="n">
        <x:v>48</x:v>
      </x:c>
      <x:c r="N613" s="20" t="n">
        <x:f>IF(J613=1,0,K613-L613)</x:f>
        <x:v>98.8</x:v>
      </x:c>
      <x:c r="O613" s="20" t="n">
        <x:f>N613-M613</x:f>
        <x:v>50.8</x:v>
      </x:c>
    </x:row>
    <x:row r="614" ht="22" customHeight="1">
      <x:c r="A614" s="11" t="n">
        <x:v>610</x:v>
      </x:c>
      <x:c r="B614" s="11" t="n">
        <x:v>308</x:v>
      </x:c>
      <x:c r="C614" s="18" t="n">
        <x:v>45815</x:v>
      </x:c>
      <x:c r="D614" s="11" t="str">
        <x:v>2025-06</x:v>
      </x:c>
      <x:c r="E614" s="11" t="str">
        <x:v>South</x:v>
      </x:c>
      <x:c r="F614" s="11" t="str">
        <x:v>Furniture</x:v>
      </x:c>
      <x:c r="G614" s="11" t="str">
        <x:v>Chair</x:v>
      </x:c>
      <x:c r="H614" s="11" t="n">
        <x:v>1</x:v>
      </x:c>
      <x:c r="I614" s="19" t="n">
        <x:v>0</x:v>
      </x:c>
      <x:c r="J614" s="11" t="n">
        <x:v>0</x:v>
      </x:c>
      <x:c r="K614" s="20" t="n">
        <x:v>170</x:v>
      </x:c>
      <x:c r="L614" s="20" t="n">
        <x:v>0</x:v>
      </x:c>
      <x:c r="M614" s="20" t="n">
        <x:v>110</x:v>
      </x:c>
      <x:c r="N614" s="20" t="n">
        <x:f>IF(J614=1,0,K614-L614)</x:f>
        <x:v>170</x:v>
      </x:c>
      <x:c r="O614" s="20" t="n">
        <x:f>N614-M614</x:f>
        <x:v>60</x:v>
      </x:c>
    </x:row>
    <x:row r="615" ht="22" customHeight="1">
      <x:c r="A615" s="11" t="n">
        <x:v>611</x:v>
      </x:c>
      <x:c r="B615" s="11" t="n">
        <x:v>309</x:v>
      </x:c>
      <x:c r="C615" s="18" t="n">
        <x:v>45332</x:v>
      </x:c>
      <x:c r="D615" s="11" t="str">
        <x:v>2024-02</x:v>
      </x:c>
      <x:c r="E615" s="11" t="str">
        <x:v>East</x:v>
      </x:c>
      <x:c r="F615" s="11" t="str">
        <x:v>Technology</x:v>
      </x:c>
      <x:c r="G615" s="11" t="str">
        <x:v>Monitor</x:v>
      </x:c>
      <x:c r="H615" s="11" t="n">
        <x:v>1</x:v>
      </x:c>
      <x:c r="I615" s="19" t="n">
        <x:v>0</x:v>
      </x:c>
      <x:c r="J615" s="11" t="n">
        <x:v>1</x:v>
      </x:c>
      <x:c r="K615" s="20" t="n">
        <x:v>240</x:v>
      </x:c>
      <x:c r="L615" s="20" t="n">
        <x:v>0</x:v>
      </x:c>
      <x:c r="M615" s="20" t="n">
        <x:v>0</x:v>
      </x:c>
      <x:c r="N615" s="20" t="n">
        <x:f>IF(J615=1,0,K615-L615)</x:f>
        <x:v>0</x:v>
      </x:c>
      <x:c r="O615" s="20" t="n">
        <x:f>N615-M615</x:f>
        <x:v>0</x:v>
      </x:c>
    </x:row>
    <x:row r="616" ht="22" customHeight="1">
      <x:c r="A616" s="11" t="n">
        <x:v>612</x:v>
      </x:c>
      <x:c r="B616" s="11" t="n">
        <x:v>309</x:v>
      </x:c>
      <x:c r="C616" s="18" t="n">
        <x:v>45332</x:v>
      </x:c>
      <x:c r="D616" s="11" t="str">
        <x:v>2024-02</x:v>
      </x:c>
      <x:c r="E616" s="11" t="str">
        <x:v>East</x:v>
      </x:c>
      <x:c r="F616" s="11" t="str">
        <x:v>Technology</x:v>
      </x:c>
      <x:c r="G616" s="11" t="str">
        <x:v>Keyboard</x:v>
      </x:c>
      <x:c r="H616" s="11" t="n">
        <x:v>2</x:v>
      </x:c>
      <x:c r="I616" s="19" t="n">
        <x:v>0</x:v>
      </x:c>
      <x:c r="J616" s="11" t="n">
        <x:v>0</x:v>
      </x:c>
      <x:c r="K616" s="20" t="n">
        <x:v>130</x:v>
      </x:c>
      <x:c r="L616" s="20" t="n">
        <x:v>0</x:v>
      </x:c>
      <x:c r="M616" s="20" t="n">
        <x:v>64</x:v>
      </x:c>
      <x:c r="N616" s="20" t="n">
        <x:f>IF(J616=1,0,K616-L616)</x:f>
        <x:v>130</x:v>
      </x:c>
      <x:c r="O616" s="20" t="n">
        <x:f>N616-M616</x:f>
        <x:v>66</x:v>
      </x:c>
    </x:row>
    <x:row r="617" ht="22" customHeight="1">
      <x:c r="A617" s="11" t="n">
        <x:v>613</x:v>
      </x:c>
      <x:c r="B617" s="11" t="n">
        <x:v>309</x:v>
      </x:c>
      <x:c r="C617" s="18" t="n">
        <x:v>45332</x:v>
      </x:c>
      <x:c r="D617" s="11" t="str">
        <x:v>2024-02</x:v>
      </x:c>
      <x:c r="E617" s="11" t="str">
        <x:v>East</x:v>
      </x:c>
      <x:c r="F617" s="11" t="str">
        <x:v>Furniture</x:v>
      </x:c>
      <x:c r="G617" s="11" t="str">
        <x:v>Desk</x:v>
      </x:c>
      <x:c r="H617" s="11" t="n">
        <x:v>4</x:v>
      </x:c>
      <x:c r="I617" s="19" t="n">
        <x:v>0.1</x:v>
      </x:c>
      <x:c r="J617" s="11" t="n">
        <x:v>0</x:v>
      </x:c>
      <x:c r="K617" s="20" t="n">
        <x:v>1120</x:v>
      </x:c>
      <x:c r="L617" s="20" t="n">
        <x:v>112</x:v>
      </x:c>
      <x:c r="M617" s="20" t="n">
        <x:v>760</x:v>
      </x:c>
      <x:c r="N617" s="20" t="n">
        <x:f>IF(J617=1,0,K617-L617)</x:f>
        <x:v>1008</x:v>
      </x:c>
      <x:c r="O617" s="20" t="n">
        <x:f>N617-M617</x:f>
        <x:v>248</x:v>
      </x:c>
    </x:row>
    <x:row r="618" ht="22" customHeight="1">
      <x:c r="A618" s="11" t="n">
        <x:v>614</x:v>
      </x:c>
      <x:c r="B618" s="11" t="n">
        <x:v>310</x:v>
      </x:c>
      <x:c r="C618" s="18" t="n">
        <x:v>45387</x:v>
      </x:c>
      <x:c r="D618" s="11" t="str">
        <x:v>2024-04</x:v>
      </x:c>
      <x:c r="E618" s="11" t="str">
        <x:v>South</x:v>
      </x:c>
      <x:c r="F618" s="11" t="str">
        <x:v>Furniture</x:v>
      </x:c>
      <x:c r="G618" s="11" t="str">
        <x:v>Desk</x:v>
      </x:c>
      <x:c r="H618" s="11" t="n">
        <x:v>4</x:v>
      </x:c>
      <x:c r="I618" s="19" t="n">
        <x:v>0.25</x:v>
      </x:c>
      <x:c r="J618" s="11" t="n">
        <x:v>0</x:v>
      </x:c>
      <x:c r="K618" s="20" t="n">
        <x:v>1120</x:v>
      </x:c>
      <x:c r="L618" s="20" t="n">
        <x:v>280</x:v>
      </x:c>
      <x:c r="M618" s="20" t="n">
        <x:v>760</x:v>
      </x:c>
      <x:c r="N618" s="20" t="n">
        <x:f>IF(J618=1,0,K618-L618)</x:f>
        <x:v>840</x:v>
      </x:c>
      <x:c r="O618" s="20" t="n">
        <x:f>N618-M618</x:f>
        <x:v>80</x:v>
      </x:c>
    </x:row>
    <x:row r="619" ht="22" customHeight="1">
      <x:c r="A619" s="11" t="n">
        <x:v>615</x:v>
      </x:c>
      <x:c r="B619" s="11" t="n">
        <x:v>311</x:v>
      </x:c>
      <x:c r="C619" s="18" t="n">
        <x:v>45570</x:v>
      </x:c>
      <x:c r="D619" s="11" t="str">
        <x:v>2024-10</x:v>
      </x:c>
      <x:c r="E619" s="11" t="str">
        <x:v>West</x:v>
      </x:c>
      <x:c r="F619" s="11" t="str">
        <x:v>Office Supplies</x:v>
      </x:c>
      <x:c r="G619" s="11" t="str">
        <x:v>Storage box</x:v>
      </x:c>
      <x:c r="H619" s="11" t="n">
        <x:v>1</x:v>
      </x:c>
      <x:c r="I619" s="19" t="n">
        <x:v>0</x:v>
      </x:c>
      <x:c r="J619" s="11" t="n">
        <x:v>0</x:v>
      </x:c>
      <x:c r="K619" s="20" t="n">
        <x:v>26</x:v>
      </x:c>
      <x:c r="L619" s="20" t="n">
        <x:v>0</x:v>
      </x:c>
      <x:c r="M619" s="20" t="n">
        <x:v>12</x:v>
      </x:c>
      <x:c r="N619" s="20" t="n">
        <x:f>IF(J619=1,0,K619-L619)</x:f>
        <x:v>26</x:v>
      </x:c>
      <x:c r="O619" s="20" t="n">
        <x:f>N619-M619</x:f>
        <x:v>14</x:v>
      </x:c>
    </x:row>
    <x:row r="620" ht="22" customHeight="1">
      <x:c r="A620" s="11" t="n">
        <x:v>616</x:v>
      </x:c>
      <x:c r="B620" s="11" t="n">
        <x:v>311</x:v>
      </x:c>
      <x:c r="C620" s="18" t="n">
        <x:v>45570</x:v>
      </x:c>
      <x:c r="D620" s="11" t="str">
        <x:v>2024-10</x:v>
      </x:c>
      <x:c r="E620" s="11" t="str">
        <x:v>West</x:v>
      </x:c>
      <x:c r="F620" s="11" t="str">
        <x:v>Furniture</x:v>
      </x:c>
      <x:c r="G620" s="11" t="str">
        <x:v>Chair</x:v>
      </x:c>
      <x:c r="H620" s="11" t="n">
        <x:v>1</x:v>
      </x:c>
      <x:c r="I620" s="19" t="n">
        <x:v>0</x:v>
      </x:c>
      <x:c r="J620" s="11" t="n">
        <x:v>0</x:v>
      </x:c>
      <x:c r="K620" s="20" t="n">
        <x:v>170</x:v>
      </x:c>
      <x:c r="L620" s="20" t="n">
        <x:v>0</x:v>
      </x:c>
      <x:c r="M620" s="20" t="n">
        <x:v>110</x:v>
      </x:c>
      <x:c r="N620" s="20" t="n">
        <x:f>IF(J620=1,0,K620-L620)</x:f>
        <x:v>170</x:v>
      </x:c>
      <x:c r="O620" s="20" t="n">
        <x:f>N620-M620</x:f>
        <x:v>60</x:v>
      </x:c>
    </x:row>
    <x:row r="621" ht="22" customHeight="1">
      <x:c r="A621" s="11" t="n">
        <x:v>617</x:v>
      </x:c>
      <x:c r="B621" s="11" t="n">
        <x:v>312</x:v>
      </x:c>
      <x:c r="C621" s="18" t="n">
        <x:v>45896</x:v>
      </x:c>
      <x:c r="D621" s="11" t="str">
        <x:v>2025-08</x:v>
      </x:c>
      <x:c r="E621" s="11" t="str">
        <x:v>Central</x:v>
      </x:c>
      <x:c r="F621" s="11" t="str">
        <x:v>Office Supplies</x:v>
      </x:c>
      <x:c r="G621" s="11" t="str">
        <x:v>Notebook pack</x:v>
      </x:c>
      <x:c r="H621" s="11" t="n">
        <x:v>4</x:v>
      </x:c>
      <x:c r="I621" s="19" t="n">
        <x:v>0.05</x:v>
      </x:c>
      <x:c r="J621" s="11" t="n">
        <x:v>0</x:v>
      </x:c>
      <x:c r="K621" s="20" t="n">
        <x:v>72</x:v>
      </x:c>
      <x:c r="L621" s="20" t="n">
        <x:v>3.6</x:v>
      </x:c>
      <x:c r="M621" s="20" t="n">
        <x:v>28</x:v>
      </x:c>
      <x:c r="N621" s="20" t="n">
        <x:f>IF(J621=1,0,K621-L621)</x:f>
        <x:v>68.4</x:v>
      </x:c>
      <x:c r="O621" s="20" t="n">
        <x:f>N621-M621</x:f>
        <x:v>40.400000000000006</x:v>
      </x:c>
    </x:row>
    <x:row r="622" ht="22" customHeight="1">
      <x:c r="A622" s="11" t="n">
        <x:v>618</x:v>
      </x:c>
      <x:c r="B622" s="11" t="n">
        <x:v>313</x:v>
      </x:c>
      <x:c r="C622" s="18" t="n">
        <x:v>45992</x:v>
      </x:c>
      <x:c r="D622" s="11" t="str">
        <x:v>2025-12</x:v>
      </x:c>
      <x:c r="E622" s="11" t="str">
        <x:v>Central</x:v>
      </x:c>
      <x:c r="F622" s="11" t="str">
        <x:v>Technology</x:v>
      </x:c>
      <x:c r="G622" s="11" t="str">
        <x:v>Keyboard</x:v>
      </x:c>
      <x:c r="H622" s="11" t="n">
        <x:v>4</x:v>
      </x:c>
      <x:c r="I622" s="19" t="n">
        <x:v>0.1</x:v>
      </x:c>
      <x:c r="J622" s="11" t="n">
        <x:v>1</x:v>
      </x:c>
      <x:c r="K622" s="20" t="n">
        <x:v>260</x:v>
      </x:c>
      <x:c r="L622" s="20" t="n">
        <x:v>26</x:v>
      </x:c>
      <x:c r="M622" s="20" t="n">
        <x:v>0</x:v>
      </x:c>
      <x:c r="N622" s="20" t="n">
        <x:f>IF(J622=1,0,K622-L622)</x:f>
        <x:v>0</x:v>
      </x:c>
      <x:c r="O622" s="20" t="n">
        <x:f>N622-M622</x:f>
        <x:v>0</x:v>
      </x:c>
    </x:row>
    <x:row r="623" ht="22" customHeight="1">
      <x:c r="A623" s="11" t="n">
        <x:v>619</x:v>
      </x:c>
      <x:c r="B623" s="11" t="n">
        <x:v>313</x:v>
      </x:c>
      <x:c r="C623" s="18" t="n">
        <x:v>45992</x:v>
      </x:c>
      <x:c r="D623" s="11" t="str">
        <x:v>2025-12</x:v>
      </x:c>
      <x:c r="E623" s="11" t="str">
        <x:v>Central</x:v>
      </x:c>
      <x:c r="F623" s="11" t="str">
        <x:v>Furniture</x:v>
      </x:c>
      <x:c r="G623" s="11" t="str">
        <x:v>Desk</x:v>
      </x:c>
      <x:c r="H623" s="11" t="n">
        <x:v>3</x:v>
      </x:c>
      <x:c r="I623" s="19" t="n">
        <x:v>0.15</x:v>
      </x:c>
      <x:c r="J623" s="11" t="n">
        <x:v>1</x:v>
      </x:c>
      <x:c r="K623" s="20" t="n">
        <x:v>840</x:v>
      </x:c>
      <x:c r="L623" s="20" t="n">
        <x:v>126</x:v>
      </x:c>
      <x:c r="M623" s="20" t="n">
        <x:v>0</x:v>
      </x:c>
      <x:c r="N623" s="20" t="n">
        <x:f>IF(J623=1,0,K623-L623)</x:f>
        <x:v>0</x:v>
      </x:c>
      <x:c r="O623" s="20" t="n">
        <x:f>N623-M623</x:f>
        <x:v>0</x:v>
      </x:c>
    </x:row>
    <x:row r="624" ht="22" customHeight="1">
      <x:c r="A624" s="11" t="n">
        <x:v>620</x:v>
      </x:c>
      <x:c r="B624" s="11" t="n">
        <x:v>314</x:v>
      </x:c>
      <x:c r="C624" s="18" t="n">
        <x:v>45986</x:v>
      </x:c>
      <x:c r="D624" s="11" t="str">
        <x:v>2025-11</x:v>
      </x:c>
      <x:c r="E624" s="11" t="str">
        <x:v>South</x:v>
      </x:c>
      <x:c r="F624" s="11" t="str">
        <x:v>Technology</x:v>
      </x:c>
      <x:c r="G624" s="11" t="str">
        <x:v>Monitor</x:v>
      </x:c>
      <x:c r="H624" s="11" t="n">
        <x:v>4</x:v>
      </x:c>
      <x:c r="I624" s="19" t="n">
        <x:v>0</x:v>
      </x:c>
      <x:c r="J624" s="11" t="n">
        <x:v>0</x:v>
      </x:c>
      <x:c r="K624" s="20" t="n">
        <x:v>960</x:v>
      </x:c>
      <x:c r="L624" s="20" t="n">
        <x:v>0</x:v>
      </x:c>
      <x:c r="M624" s="20" t="n">
        <x:v>640</x:v>
      </x:c>
      <x:c r="N624" s="20" t="n">
        <x:f>IF(J624=1,0,K624-L624)</x:f>
        <x:v>960</x:v>
      </x:c>
      <x:c r="O624" s="20" t="n">
        <x:f>N624-M624</x:f>
        <x:v>320</x:v>
      </x:c>
    </x:row>
    <x:row r="625" ht="22" customHeight="1">
      <x:c r="A625" s="11" t="n">
        <x:v>621</x:v>
      </x:c>
      <x:c r="B625" s="11" t="n">
        <x:v>314</x:v>
      </x:c>
      <x:c r="C625" s="18" t="n">
        <x:v>45986</x:v>
      </x:c>
      <x:c r="D625" s="11" t="str">
        <x:v>2025-11</x:v>
      </x:c>
      <x:c r="E625" s="11" t="str">
        <x:v>South</x:v>
      </x:c>
      <x:c r="F625" s="11" t="str">
        <x:v>Office Supplies</x:v>
      </x:c>
      <x:c r="G625" s="11" t="str">
        <x:v>Notebook pack</x:v>
      </x:c>
      <x:c r="H625" s="11" t="n">
        <x:v>4</x:v>
      </x:c>
      <x:c r="I625" s="19" t="n">
        <x:v>0</x:v>
      </x:c>
      <x:c r="J625" s="11" t="n">
        <x:v>0</x:v>
      </x:c>
      <x:c r="K625" s="20" t="n">
        <x:v>72</x:v>
      </x:c>
      <x:c r="L625" s="20" t="n">
        <x:v>0</x:v>
      </x:c>
      <x:c r="M625" s="20" t="n">
        <x:v>28</x:v>
      </x:c>
      <x:c r="N625" s="20" t="n">
        <x:f>IF(J625=1,0,K625-L625)</x:f>
        <x:v>72</x:v>
      </x:c>
      <x:c r="O625" s="20" t="n">
        <x:f>N625-M625</x:f>
        <x:v>44</x:v>
      </x:c>
    </x:row>
    <x:row r="626" ht="22" customHeight="1">
      <x:c r="A626" s="11" t="n">
        <x:v>622</x:v>
      </x:c>
      <x:c r="B626" s="11" t="n">
        <x:v>314</x:v>
      </x:c>
      <x:c r="C626" s="18" t="n">
        <x:v>45986</x:v>
      </x:c>
      <x:c r="D626" s="11" t="str">
        <x:v>2025-11</x:v>
      </x:c>
      <x:c r="E626" s="11" t="str">
        <x:v>South</x:v>
      </x:c>
      <x:c r="F626" s="11" t="str">
        <x:v>Furniture</x:v>
      </x:c>
      <x:c r="G626" s="11" t="str">
        <x:v>Desk</x:v>
      </x:c>
      <x:c r="H626" s="11" t="n">
        <x:v>5</x:v>
      </x:c>
      <x:c r="I626" s="19" t="n">
        <x:v>0</x:v>
      </x:c>
      <x:c r="J626" s="11" t="n">
        <x:v>1</x:v>
      </x:c>
      <x:c r="K626" s="20" t="n">
        <x:v>1400</x:v>
      </x:c>
      <x:c r="L626" s="20" t="n">
        <x:v>0</x:v>
      </x:c>
      <x:c r="M626" s="20" t="n">
        <x:v>0</x:v>
      </x:c>
      <x:c r="N626" s="20" t="n">
        <x:f>IF(J626=1,0,K626-L626)</x:f>
        <x:v>0</x:v>
      </x:c>
      <x:c r="O626" s="20" t="n">
        <x:f>N626-M626</x:f>
        <x:v>0</x:v>
      </x:c>
    </x:row>
    <x:row r="627" ht="22" customHeight="1">
      <x:c r="A627" s="11" t="n">
        <x:v>623</x:v>
      </x:c>
      <x:c r="B627" s="11" t="n">
        <x:v>315</x:v>
      </x:c>
      <x:c r="C627" s="18" t="n">
        <x:v>45452</x:v>
      </x:c>
      <x:c r="D627" s="11" t="str">
        <x:v>2024-06</x:v>
      </x:c>
      <x:c r="E627" s="11" t="str">
        <x:v>East</x:v>
      </x:c>
      <x:c r="F627" s="11" t="str">
        <x:v>Furniture</x:v>
      </x:c>
      <x:c r="G627" s="11" t="str">
        <x:v>Chair</x:v>
      </x:c>
      <x:c r="H627" s="11" t="n">
        <x:v>4</x:v>
      </x:c>
      <x:c r="I627" s="19" t="n">
        <x:v>0.15</x:v>
      </x:c>
      <x:c r="J627" s="11" t="n">
        <x:v>0</x:v>
      </x:c>
      <x:c r="K627" s="20" t="n">
        <x:v>680</x:v>
      </x:c>
      <x:c r="L627" s="20" t="n">
        <x:v>102</x:v>
      </x:c>
      <x:c r="M627" s="20" t="n">
        <x:v>440</x:v>
      </x:c>
      <x:c r="N627" s="20" t="n">
        <x:f>IF(J627=1,0,K627-L627)</x:f>
        <x:v>578</x:v>
      </x:c>
      <x:c r="O627" s="20" t="n">
        <x:f>N627-M627</x:f>
        <x:v>138</x:v>
      </x:c>
    </x:row>
    <x:row r="628" ht="22" customHeight="1">
      <x:c r="A628" s="11" t="n">
        <x:v>624</x:v>
      </x:c>
      <x:c r="B628" s="11" t="n">
        <x:v>315</x:v>
      </x:c>
      <x:c r="C628" s="18" t="n">
        <x:v>45452</x:v>
      </x:c>
      <x:c r="D628" s="11" t="str">
        <x:v>2024-06</x:v>
      </x:c>
      <x:c r="E628" s="11" t="str">
        <x:v>East</x:v>
      </x:c>
      <x:c r="F628" s="11" t="str">
        <x:v>Furniture</x:v>
      </x:c>
      <x:c r="G628" s="11" t="str">
        <x:v>Desk</x:v>
      </x:c>
      <x:c r="H628" s="11" t="n">
        <x:v>3</x:v>
      </x:c>
      <x:c r="I628" s="19" t="n">
        <x:v>0</x:v>
      </x:c>
      <x:c r="J628" s="11" t="n">
        <x:v>0</x:v>
      </x:c>
      <x:c r="K628" s="20" t="n">
        <x:v>840</x:v>
      </x:c>
      <x:c r="L628" s="20" t="n">
        <x:v>0</x:v>
      </x:c>
      <x:c r="M628" s="20" t="n">
        <x:v>570</x:v>
      </x:c>
      <x:c r="N628" s="20" t="n">
        <x:f>IF(J628=1,0,K628-L628)</x:f>
        <x:v>840</x:v>
      </x:c>
      <x:c r="O628" s="20" t="n">
        <x:f>N628-M628</x:f>
        <x:v>270</x:v>
      </x:c>
    </x:row>
    <x:row r="629" ht="22" customHeight="1">
      <x:c r="A629" s="11" t="n">
        <x:v>625</x:v>
      </x:c>
      <x:c r="B629" s="11" t="n">
        <x:v>316</x:v>
      </x:c>
      <x:c r="C629" s="18" t="n">
        <x:v>45855</x:v>
      </x:c>
      <x:c r="D629" s="11" t="str">
        <x:v>2025-07</x:v>
      </x:c>
      <x:c r="E629" s="11" t="str">
        <x:v>West</x:v>
      </x:c>
      <x:c r="F629" s="11" t="str">
        <x:v>Furniture</x:v>
      </x:c>
      <x:c r="G629" s="11" t="str">
        <x:v>Chair</x:v>
      </x:c>
      <x:c r="H629" s="11" t="n">
        <x:v>4</x:v>
      </x:c>
      <x:c r="I629" s="19" t="n">
        <x:v>0.35</x:v>
      </x:c>
      <x:c r="J629" s="11" t="n">
        <x:v>0</x:v>
      </x:c>
      <x:c r="K629" s="20" t="n">
        <x:v>680</x:v>
      </x:c>
      <x:c r="L629" s="20" t="n">
        <x:v>238</x:v>
      </x:c>
      <x:c r="M629" s="20" t="n">
        <x:v>440</x:v>
      </x:c>
      <x:c r="N629" s="20" t="n">
        <x:f>IF(J629=1,0,K629-L629)</x:f>
        <x:v>442</x:v>
      </x:c>
      <x:c r="O629" s="20" t="n">
        <x:f>N629-M629</x:f>
        <x:v>2</x:v>
      </x:c>
    </x:row>
    <x:row r="630" ht="22" customHeight="1">
      <x:c r="A630" s="11" t="n">
        <x:v>626</x:v>
      </x:c>
      <x:c r="B630" s="11" t="n">
        <x:v>316</x:v>
      </x:c>
      <x:c r="C630" s="18" t="n">
        <x:v>45855</x:v>
      </x:c>
      <x:c r="D630" s="11" t="str">
        <x:v>2025-07</x:v>
      </x:c>
      <x:c r="E630" s="11" t="str">
        <x:v>West</x:v>
      </x:c>
      <x:c r="F630" s="11" t="str">
        <x:v>Furniture</x:v>
      </x:c>
      <x:c r="G630" s="11" t="str">
        <x:v>Desk</x:v>
      </x:c>
      <x:c r="H630" s="11" t="n">
        <x:v>4</x:v>
      </x:c>
      <x:c r="I630" s="19" t="n">
        <x:v>0</x:v>
      </x:c>
      <x:c r="J630" s="11" t="n">
        <x:v>0</x:v>
      </x:c>
      <x:c r="K630" s="20" t="n">
        <x:v>1120</x:v>
      </x:c>
      <x:c r="L630" s="20" t="n">
        <x:v>0</x:v>
      </x:c>
      <x:c r="M630" s="20" t="n">
        <x:v>760</x:v>
      </x:c>
      <x:c r="N630" s="20" t="n">
        <x:f>IF(J630=1,0,K630-L630)</x:f>
        <x:v>1120</x:v>
      </x:c>
      <x:c r="O630" s="20" t="n">
        <x:f>N630-M630</x:f>
        <x:v>360</x:v>
      </x:c>
    </x:row>
    <x:row r="631" ht="22" customHeight="1">
      <x:c r="A631" s="11" t="n">
        <x:v>627</x:v>
      </x:c>
      <x:c r="B631" s="11" t="n">
        <x:v>317</x:v>
      </x:c>
      <x:c r="C631" s="18" t="n">
        <x:v>45749</x:v>
      </x:c>
      <x:c r="D631" s="11" t="str">
        <x:v>2025-04</x:v>
      </x:c>
      <x:c r="E631" s="11" t="str">
        <x:v>East</x:v>
      </x:c>
      <x:c r="F631" s="11" t="str">
        <x:v>Office Supplies</x:v>
      </x:c>
      <x:c r="G631" s="11" t="str">
        <x:v>Storage box</x:v>
      </x:c>
      <x:c r="H631" s="11" t="n">
        <x:v>1</x:v>
      </x:c>
      <x:c r="I631" s="19" t="n">
        <x:v>0.1</x:v>
      </x:c>
      <x:c r="J631" s="11" t="n">
        <x:v>0</x:v>
      </x:c>
      <x:c r="K631" s="20" t="n">
        <x:v>26</x:v>
      </x:c>
      <x:c r="L631" s="20" t="n">
        <x:v>2.6</x:v>
      </x:c>
      <x:c r="M631" s="20" t="n">
        <x:v>12</x:v>
      </x:c>
      <x:c r="N631" s="20" t="n">
        <x:f>IF(J631=1,0,K631-L631)</x:f>
        <x:v>23.4</x:v>
      </x:c>
      <x:c r="O631" s="20" t="n">
        <x:f>N631-M631</x:f>
        <x:v>11.399999999999999</x:v>
      </x:c>
    </x:row>
    <x:row r="632" ht="22" customHeight="1">
      <x:c r="A632" s="11" t="n">
        <x:v>628</x:v>
      </x:c>
      <x:c r="B632" s="11" t="n">
        <x:v>317</x:v>
      </x:c>
      <x:c r="C632" s="18" t="n">
        <x:v>45749</x:v>
      </x:c>
      <x:c r="D632" s="11" t="str">
        <x:v>2025-04</x:v>
      </x:c>
      <x:c r="E632" s="11" t="str">
        <x:v>East</x:v>
      </x:c>
      <x:c r="F632" s="11" t="str">
        <x:v>Furniture</x:v>
      </x:c>
      <x:c r="G632" s="11" t="str">
        <x:v>Desk</x:v>
      </x:c>
      <x:c r="H632" s="11" t="n">
        <x:v>5</x:v>
      </x:c>
      <x:c r="I632" s="19" t="n">
        <x:v>0</x:v>
      </x:c>
      <x:c r="J632" s="11" t="n">
        <x:v>0</x:v>
      </x:c>
      <x:c r="K632" s="20" t="n">
        <x:v>1400</x:v>
      </x:c>
      <x:c r="L632" s="20" t="n">
        <x:v>0</x:v>
      </x:c>
      <x:c r="M632" s="20" t="n">
        <x:v>950</x:v>
      </x:c>
      <x:c r="N632" s="20" t="n">
        <x:f>IF(J632=1,0,K632-L632)</x:f>
        <x:v>1400</x:v>
      </x:c>
      <x:c r="O632" s="20" t="n">
        <x:f>N632-M632</x:f>
        <x:v>450</x:v>
      </x:c>
    </x:row>
    <x:row r="633" ht="22" customHeight="1">
      <x:c r="A633" s="11" t="n">
        <x:v>629</x:v>
      </x:c>
      <x:c r="B633" s="11" t="n">
        <x:v>318</x:v>
      </x:c>
      <x:c r="C633" s="18" t="n">
        <x:v>45910</x:v>
      </x:c>
      <x:c r="D633" s="11" t="str">
        <x:v>2025-09</x:v>
      </x:c>
      <x:c r="E633" s="11" t="str">
        <x:v>South</x:v>
      </x:c>
      <x:c r="F633" s="11" t="str">
        <x:v>Office Supplies</x:v>
      </x:c>
      <x:c r="G633" s="11" t="str">
        <x:v>Notebook pack</x:v>
      </x:c>
      <x:c r="H633" s="11" t="n">
        <x:v>3</x:v>
      </x:c>
      <x:c r="I633" s="19" t="n">
        <x:v>0.05</x:v>
      </x:c>
      <x:c r="J633" s="11" t="n">
        <x:v>0</x:v>
      </x:c>
      <x:c r="K633" s="20" t="n">
        <x:v>54</x:v>
      </x:c>
      <x:c r="L633" s="20" t="n">
        <x:v>2.7</x:v>
      </x:c>
      <x:c r="M633" s="20" t="n">
        <x:v>21</x:v>
      </x:c>
      <x:c r="N633" s="20" t="n">
        <x:f>IF(J633=1,0,K633-L633)</x:f>
        <x:v>51.3</x:v>
      </x:c>
      <x:c r="O633" s="20" t="n">
        <x:f>N633-M633</x:f>
        <x:v>30.299999999999997</x:v>
      </x:c>
    </x:row>
    <x:row r="634" ht="22" customHeight="1">
      <x:c r="A634" s="11" t="n">
        <x:v>630</x:v>
      </x:c>
      <x:c r="B634" s="11" t="n">
        <x:v>318</x:v>
      </x:c>
      <x:c r="C634" s="18" t="n">
        <x:v>45910</x:v>
      </x:c>
      <x:c r="D634" s="11" t="str">
        <x:v>2025-09</x:v>
      </x:c>
      <x:c r="E634" s="11" t="str">
        <x:v>South</x:v>
      </x:c>
      <x:c r="F634" s="11" t="str">
        <x:v>Furniture</x:v>
      </x:c>
      <x:c r="G634" s="11" t="str">
        <x:v>Chair</x:v>
      </x:c>
      <x:c r="H634" s="11" t="n">
        <x:v>2</x:v>
      </x:c>
      <x:c r="I634" s="19" t="n">
        <x:v>0.35</x:v>
      </x:c>
      <x:c r="J634" s="11" t="n">
        <x:v>0</x:v>
      </x:c>
      <x:c r="K634" s="20" t="n">
        <x:v>340</x:v>
      </x:c>
      <x:c r="L634" s="20" t="n">
        <x:v>119</x:v>
      </x:c>
      <x:c r="M634" s="20" t="n">
        <x:v>220</x:v>
      </x:c>
      <x:c r="N634" s="20" t="n">
        <x:f>IF(J634=1,0,K634-L634)</x:f>
        <x:v>221</x:v>
      </x:c>
      <x:c r="O634" s="20" t="n">
        <x:f>N634-M634</x:f>
        <x:v>1</x:v>
      </x:c>
    </x:row>
    <x:row r="635" ht="22" customHeight="1">
      <x:c r="A635" s="11" t="n">
        <x:v>631</x:v>
      </x:c>
      <x:c r="B635" s="11" t="n">
        <x:v>318</x:v>
      </x:c>
      <x:c r="C635" s="18" t="n">
        <x:v>45910</x:v>
      </x:c>
      <x:c r="D635" s="11" t="str">
        <x:v>2025-09</x:v>
      </x:c>
      <x:c r="E635" s="11" t="str">
        <x:v>South</x:v>
      </x:c>
      <x:c r="F635" s="11" t="str">
        <x:v>Technology</x:v>
      </x:c>
      <x:c r="G635" s="11" t="str">
        <x:v>Keyboard</x:v>
      </x:c>
      <x:c r="H635" s="11" t="n">
        <x:v>5</x:v>
      </x:c>
      <x:c r="I635" s="19" t="n">
        <x:v>0.15</x:v>
      </x:c>
      <x:c r="J635" s="11" t="n">
        <x:v>0</x:v>
      </x:c>
      <x:c r="K635" s="20" t="n">
        <x:v>325</x:v>
      </x:c>
      <x:c r="L635" s="20" t="n">
        <x:v>48.75</x:v>
      </x:c>
      <x:c r="M635" s="20" t="n">
        <x:v>160</x:v>
      </x:c>
      <x:c r="N635" s="20" t="n">
        <x:f>IF(J635=1,0,K635-L635)</x:f>
        <x:v>276.25</x:v>
      </x:c>
      <x:c r="O635" s="20" t="n">
        <x:f>N635-M635</x:f>
        <x:v>116.25</x:v>
      </x:c>
    </x:row>
    <x:row r="636" ht="22" customHeight="1">
      <x:c r="A636" s="11" t="n">
        <x:v>632</x:v>
      </x:c>
      <x:c r="B636" s="11" t="n">
        <x:v>319</x:v>
      </x:c>
      <x:c r="C636" s="18" t="n">
        <x:v>45964</x:v>
      </x:c>
      <x:c r="D636" s="11" t="str">
        <x:v>2025-11</x:v>
      </x:c>
      <x:c r="E636" s="11" t="str">
        <x:v>East</x:v>
      </x:c>
      <x:c r="F636" s="11" t="str">
        <x:v>Furniture</x:v>
      </x:c>
      <x:c r="G636" s="11" t="str">
        <x:v>Desk</x:v>
      </x:c>
      <x:c r="H636" s="11" t="n">
        <x:v>2</x:v>
      </x:c>
      <x:c r="I636" s="19" t="n">
        <x:v>0</x:v>
      </x:c>
      <x:c r="J636" s="11" t="n">
        <x:v>0</x:v>
      </x:c>
      <x:c r="K636" s="20" t="n">
        <x:v>560</x:v>
      </x:c>
      <x:c r="L636" s="20" t="n">
        <x:v>0</x:v>
      </x:c>
      <x:c r="M636" s="20" t="n">
        <x:v>380</x:v>
      </x:c>
      <x:c r="N636" s="20" t="n">
        <x:f>IF(J636=1,0,K636-L636)</x:f>
        <x:v>560</x:v>
      </x:c>
      <x:c r="O636" s="20" t="n">
        <x:f>N636-M636</x:f>
        <x:v>180</x:v>
      </x:c>
    </x:row>
    <x:row r="637" ht="22" customHeight="1">
      <x:c r="A637" s="11" t="n">
        <x:v>633</x:v>
      </x:c>
      <x:c r="B637" s="11" t="n">
        <x:v>320</x:v>
      </x:c>
      <x:c r="C637" s="18" t="n">
        <x:v>45940</x:v>
      </x:c>
      <x:c r="D637" s="11" t="str">
        <x:v>2025-10</x:v>
      </x:c>
      <x:c r="E637" s="11" t="str">
        <x:v>East</x:v>
      </x:c>
      <x:c r="F637" s="11" t="str">
        <x:v>Furniture</x:v>
      </x:c>
      <x:c r="G637" s="11" t="str">
        <x:v>Desk</x:v>
      </x:c>
      <x:c r="H637" s="11" t="n">
        <x:v>4</x:v>
      </x:c>
      <x:c r="I637" s="19" t="n">
        <x:v>0</x:v>
      </x:c>
      <x:c r="J637" s="11" t="n">
        <x:v>0</x:v>
      </x:c>
      <x:c r="K637" s="20" t="n">
        <x:v>1120</x:v>
      </x:c>
      <x:c r="L637" s="20" t="n">
        <x:v>0</x:v>
      </x:c>
      <x:c r="M637" s="20" t="n">
        <x:v>760</x:v>
      </x:c>
      <x:c r="N637" s="20" t="n">
        <x:f>IF(J637=1,0,K637-L637)</x:f>
        <x:v>1120</x:v>
      </x:c>
      <x:c r="O637" s="20" t="n">
        <x:f>N637-M637</x:f>
        <x:v>360</x:v>
      </x:c>
    </x:row>
    <x:row r="638" ht="22" customHeight="1">
      <x:c r="A638" s="11" t="n">
        <x:v>634</x:v>
      </x:c>
      <x:c r="B638" s="11" t="n">
        <x:v>320</x:v>
      </x:c>
      <x:c r="C638" s="18" t="n">
        <x:v>45940</x:v>
      </x:c>
      <x:c r="D638" s="11" t="str">
        <x:v>2025-10</x:v>
      </x:c>
      <x:c r="E638" s="11" t="str">
        <x:v>East</x:v>
      </x:c>
      <x:c r="F638" s="11" t="str">
        <x:v>Office Supplies</x:v>
      </x:c>
      <x:c r="G638" s="11" t="str">
        <x:v>Storage box</x:v>
      </x:c>
      <x:c r="H638" s="11" t="n">
        <x:v>4</x:v>
      </x:c>
      <x:c r="I638" s="19" t="n">
        <x:v>0</x:v>
      </x:c>
      <x:c r="J638" s="11" t="n">
        <x:v>0</x:v>
      </x:c>
      <x:c r="K638" s="20" t="n">
        <x:v>104</x:v>
      </x:c>
      <x:c r="L638" s="20" t="n">
        <x:v>0</x:v>
      </x:c>
      <x:c r="M638" s="20" t="n">
        <x:v>48</x:v>
      </x:c>
      <x:c r="N638" s="20" t="n">
        <x:f>IF(J638=1,0,K638-L638)</x:f>
        <x:v>104</x:v>
      </x:c>
      <x:c r="O638" s="20" t="n">
        <x:f>N638-M638</x:f>
        <x:v>56</x:v>
      </x:c>
    </x:row>
    <x:row r="639" ht="22" customHeight="1">
      <x:c r="A639" s="11" t="n">
        <x:v>635</x:v>
      </x:c>
      <x:c r="B639" s="11" t="n">
        <x:v>320</x:v>
      </x:c>
      <x:c r="C639" s="18" t="n">
        <x:v>45940</x:v>
      </x:c>
      <x:c r="D639" s="11" t="str">
        <x:v>2025-10</x:v>
      </x:c>
      <x:c r="E639" s="11" t="str">
        <x:v>East</x:v>
      </x:c>
      <x:c r="F639" s="11" t="str">
        <x:v>Furniture</x:v>
      </x:c>
      <x:c r="G639" s="11" t="str">
        <x:v>Chair</x:v>
      </x:c>
      <x:c r="H639" s="11" t="n">
        <x:v>2</x:v>
      </x:c>
      <x:c r="I639" s="19" t="n">
        <x:v>0.05</x:v>
      </x:c>
      <x:c r="J639" s="11" t="n">
        <x:v>0</x:v>
      </x:c>
      <x:c r="K639" s="20" t="n">
        <x:v>340</x:v>
      </x:c>
      <x:c r="L639" s="20" t="n">
        <x:v>17</x:v>
      </x:c>
      <x:c r="M639" s="20" t="n">
        <x:v>220</x:v>
      </x:c>
      <x:c r="N639" s="20" t="n">
        <x:f>IF(J639=1,0,K639-L639)</x:f>
        <x:v>323</x:v>
      </x:c>
      <x:c r="O639" s="20" t="n">
        <x:f>N639-M639</x:f>
        <x:v>103</x:v>
      </x:c>
    </x:row>
    <x:row r="640" ht="22" customHeight="1">
      <x:c r="A640" s="11" t="n">
        <x:v>636</x:v>
      </x:c>
      <x:c r="B640" s="11" t="n">
        <x:v>321</x:v>
      </x:c>
      <x:c r="C640" s="18" t="n">
        <x:v>45694</x:v>
      </x:c>
      <x:c r="D640" s="11" t="str">
        <x:v>2025-02</x:v>
      </x:c>
      <x:c r="E640" s="11" t="str">
        <x:v>West</x:v>
      </x:c>
      <x:c r="F640" s="11" t="str">
        <x:v>Office Supplies</x:v>
      </x:c>
      <x:c r="G640" s="11" t="str">
        <x:v>Storage box</x:v>
      </x:c>
      <x:c r="H640" s="11" t="n">
        <x:v>3</x:v>
      </x:c>
      <x:c r="I640" s="19" t="n">
        <x:v>0</x:v>
      </x:c>
      <x:c r="J640" s="11" t="n">
        <x:v>0</x:v>
      </x:c>
      <x:c r="K640" s="20" t="n">
        <x:v>78</x:v>
      </x:c>
      <x:c r="L640" s="20" t="n">
        <x:v>0</x:v>
      </x:c>
      <x:c r="M640" s="20" t="n">
        <x:v>36</x:v>
      </x:c>
      <x:c r="N640" s="20" t="n">
        <x:f>IF(J640=1,0,K640-L640)</x:f>
        <x:v>78</x:v>
      </x:c>
      <x:c r="O640" s="20" t="n">
        <x:f>N640-M640</x:f>
        <x:v>42</x:v>
      </x:c>
    </x:row>
    <x:row r="641" ht="22" customHeight="1">
      <x:c r="A641" s="11" t="n">
        <x:v>637</x:v>
      </x:c>
      <x:c r="B641" s="11" t="n">
        <x:v>322</x:v>
      </x:c>
      <x:c r="C641" s="18" t="n">
        <x:v>45339</x:v>
      </x:c>
      <x:c r="D641" s="11" t="str">
        <x:v>2024-02</x:v>
      </x:c>
      <x:c r="E641" s="11" t="str">
        <x:v>Central</x:v>
      </x:c>
      <x:c r="F641" s="11" t="str">
        <x:v>Technology</x:v>
      </x:c>
      <x:c r="G641" s="11" t="str">
        <x:v>Keyboard</x:v>
      </x:c>
      <x:c r="H641" s="11" t="n">
        <x:v>5</x:v>
      </x:c>
      <x:c r="I641" s="19" t="n">
        <x:v>0</x:v>
      </x:c>
      <x:c r="J641" s="11" t="n">
        <x:v>0</x:v>
      </x:c>
      <x:c r="K641" s="20" t="n">
        <x:v>325</x:v>
      </x:c>
      <x:c r="L641" s="20" t="n">
        <x:v>0</x:v>
      </x:c>
      <x:c r="M641" s="20" t="n">
        <x:v>160</x:v>
      </x:c>
      <x:c r="N641" s="20" t="n">
        <x:f>IF(J641=1,0,K641-L641)</x:f>
        <x:v>325</x:v>
      </x:c>
      <x:c r="O641" s="20" t="n">
        <x:f>N641-M641</x:f>
        <x:v>165</x:v>
      </x:c>
    </x:row>
    <x:row r="642" ht="22" customHeight="1">
      <x:c r="A642" s="11" t="n">
        <x:v>638</x:v>
      </x:c>
      <x:c r="B642" s="11" t="n">
        <x:v>322</x:v>
      </x:c>
      <x:c r="C642" s="18" t="n">
        <x:v>45339</x:v>
      </x:c>
      <x:c r="D642" s="11" t="str">
        <x:v>2024-02</x:v>
      </x:c>
      <x:c r="E642" s="11" t="str">
        <x:v>Central</x:v>
      </x:c>
      <x:c r="F642" s="11" t="str">
        <x:v>Office Supplies</x:v>
      </x:c>
      <x:c r="G642" s="11" t="str">
        <x:v>Notebook pack</x:v>
      </x:c>
      <x:c r="H642" s="11" t="n">
        <x:v>1</x:v>
      </x:c>
      <x:c r="I642" s="19" t="n">
        <x:v>0.15</x:v>
      </x:c>
      <x:c r="J642" s="11" t="n">
        <x:v>0</x:v>
      </x:c>
      <x:c r="K642" s="20" t="n">
        <x:v>18</x:v>
      </x:c>
      <x:c r="L642" s="20" t="n">
        <x:v>2.7</x:v>
      </x:c>
      <x:c r="M642" s="20" t="n">
        <x:v>7</x:v>
      </x:c>
      <x:c r="N642" s="20" t="n">
        <x:f>IF(J642=1,0,K642-L642)</x:f>
        <x:v>15.3</x:v>
      </x:c>
      <x:c r="O642" s="20" t="n">
        <x:f>N642-M642</x:f>
        <x:v>8.3</x:v>
      </x:c>
    </x:row>
    <x:row r="643" ht="22" customHeight="1">
      <x:c r="A643" s="11" t="n">
        <x:v>639</x:v>
      </x:c>
      <x:c r="B643" s="11" t="n">
        <x:v>323</x:v>
      </x:c>
      <x:c r="C643" s="18" t="n">
        <x:v>45858</x:v>
      </x:c>
      <x:c r="D643" s="11" t="str">
        <x:v>2025-07</x:v>
      </x:c>
      <x:c r="E643" s="11" t="str">
        <x:v>West</x:v>
      </x:c>
      <x:c r="F643" s="11" t="str">
        <x:v>Furniture</x:v>
      </x:c>
      <x:c r="G643" s="11" t="str">
        <x:v>Chair</x:v>
      </x:c>
      <x:c r="H643" s="11" t="n">
        <x:v>2</x:v>
      </x:c>
      <x:c r="I643" s="19" t="n">
        <x:v>0</x:v>
      </x:c>
      <x:c r="J643" s="11" t="n">
        <x:v>0</x:v>
      </x:c>
      <x:c r="K643" s="20" t="n">
        <x:v>340</x:v>
      </x:c>
      <x:c r="L643" s="20" t="n">
        <x:v>0</x:v>
      </x:c>
      <x:c r="M643" s="20" t="n">
        <x:v>220</x:v>
      </x:c>
      <x:c r="N643" s="20" t="n">
        <x:f>IF(J643=1,0,K643-L643)</x:f>
        <x:v>340</x:v>
      </x:c>
      <x:c r="O643" s="20" t="n">
        <x:f>N643-M643</x:f>
        <x:v>120</x:v>
      </x:c>
    </x:row>
    <x:row r="644" ht="22" customHeight="1">
      <x:c r="A644" s="11" t="n">
        <x:v>640</x:v>
      </x:c>
      <x:c r="B644" s="11" t="n">
        <x:v>323</x:v>
      </x:c>
      <x:c r="C644" s="18" t="n">
        <x:v>45858</x:v>
      </x:c>
      <x:c r="D644" s="11" t="str">
        <x:v>2025-07</x:v>
      </x:c>
      <x:c r="E644" s="11" t="str">
        <x:v>West</x:v>
      </x:c>
      <x:c r="F644" s="11" t="str">
        <x:v>Office Supplies</x:v>
      </x:c>
      <x:c r="G644" s="11" t="str">
        <x:v>Notebook pack</x:v>
      </x:c>
      <x:c r="H644" s="11" t="n">
        <x:v>5</x:v>
      </x:c>
      <x:c r="I644" s="19" t="n">
        <x:v>0.15</x:v>
      </x:c>
      <x:c r="J644" s="11" t="n">
        <x:v>0</x:v>
      </x:c>
      <x:c r="K644" s="20" t="n">
        <x:v>90</x:v>
      </x:c>
      <x:c r="L644" s="20" t="n">
        <x:v>13.5</x:v>
      </x:c>
      <x:c r="M644" s="20" t="n">
        <x:v>35</x:v>
      </x:c>
      <x:c r="N644" s="20" t="n">
        <x:f>IF(J644=1,0,K644-L644)</x:f>
        <x:v>76.5</x:v>
      </x:c>
      <x:c r="O644" s="20" t="n">
        <x:f>N644-M644</x:f>
        <x:v>41.5</x:v>
      </x:c>
    </x:row>
    <x:row r="645" ht="22" customHeight="1">
      <x:c r="A645" s="11" t="n">
        <x:v>641</x:v>
      </x:c>
      <x:c r="B645" s="11" t="n">
        <x:v>323</x:v>
      </x:c>
      <x:c r="C645" s="18" t="n">
        <x:v>45858</x:v>
      </x:c>
      <x:c r="D645" s="11" t="str">
        <x:v>2025-07</x:v>
      </x:c>
      <x:c r="E645" s="11" t="str">
        <x:v>West</x:v>
      </x:c>
      <x:c r="F645" s="11" t="str">
        <x:v>Office Supplies</x:v>
      </x:c>
      <x:c r="G645" s="11" t="str">
        <x:v>Storage box</x:v>
      </x:c>
      <x:c r="H645" s="11" t="n">
        <x:v>5</x:v>
      </x:c>
      <x:c r="I645" s="19" t="n">
        <x:v>0.1</x:v>
      </x:c>
      <x:c r="J645" s="11" t="n">
        <x:v>0</x:v>
      </x:c>
      <x:c r="K645" s="20" t="n">
        <x:v>130</x:v>
      </x:c>
      <x:c r="L645" s="20" t="n">
        <x:v>13</x:v>
      </x:c>
      <x:c r="M645" s="20" t="n">
        <x:v>60</x:v>
      </x:c>
      <x:c r="N645" s="20" t="n">
        <x:f>IF(J645=1,0,K645-L645)</x:f>
        <x:v>117</x:v>
      </x:c>
      <x:c r="O645" s="20" t="n">
        <x:f>N645-M645</x:f>
        <x:v>57</x:v>
      </x:c>
    </x:row>
    <x:row r="646" ht="22" customHeight="1">
      <x:c r="A646" s="11" t="n">
        <x:v>642</x:v>
      </x:c>
      <x:c r="B646" s="11" t="n">
        <x:v>324</x:v>
      </x:c>
      <x:c r="C646" s="18" t="n">
        <x:v>45915</x:v>
      </x:c>
      <x:c r="D646" s="11" t="str">
        <x:v>2025-09</x:v>
      </x:c>
      <x:c r="E646" s="11" t="str">
        <x:v>Central</x:v>
      </x:c>
      <x:c r="F646" s="11" t="str">
        <x:v>Technology</x:v>
      </x:c>
      <x:c r="G646" s="11" t="str">
        <x:v>Keyboard</x:v>
      </x:c>
      <x:c r="H646" s="11" t="n">
        <x:v>3</x:v>
      </x:c>
      <x:c r="I646" s="19" t="n">
        <x:v>0.1</x:v>
      </x:c>
      <x:c r="J646" s="11" t="n">
        <x:v>0</x:v>
      </x:c>
      <x:c r="K646" s="20" t="n">
        <x:v>195</x:v>
      </x:c>
      <x:c r="L646" s="20" t="n">
        <x:v>19.5</x:v>
      </x:c>
      <x:c r="M646" s="20" t="n">
        <x:v>96</x:v>
      </x:c>
      <x:c r="N646" s="20" t="n">
        <x:f>IF(J646=1,0,K646-L646)</x:f>
        <x:v>175.5</x:v>
      </x:c>
      <x:c r="O646" s="20" t="n">
        <x:f>N646-M646</x:f>
        <x:v>79.5</x:v>
      </x:c>
    </x:row>
    <x:row r="647" ht="22" customHeight="1">
      <x:c r="A647" s="11" t="n">
        <x:v>643</x:v>
      </x:c>
      <x:c r="B647" s="11" t="n">
        <x:v>324</x:v>
      </x:c>
      <x:c r="C647" s="18" t="n">
        <x:v>45915</x:v>
      </x:c>
      <x:c r="D647" s="11" t="str">
        <x:v>2025-09</x:v>
      </x:c>
      <x:c r="E647" s="11" t="str">
        <x:v>Central</x:v>
      </x:c>
      <x:c r="F647" s="11" t="str">
        <x:v>Technology</x:v>
      </x:c>
      <x:c r="G647" s="11" t="str">
        <x:v>Monitor</x:v>
      </x:c>
      <x:c r="H647" s="11" t="n">
        <x:v>2</x:v>
      </x:c>
      <x:c r="I647" s="19" t="n">
        <x:v>0.1</x:v>
      </x:c>
      <x:c r="J647" s="11" t="n">
        <x:v>0</x:v>
      </x:c>
      <x:c r="K647" s="20" t="n">
        <x:v>480</x:v>
      </x:c>
      <x:c r="L647" s="20" t="n">
        <x:v>48</x:v>
      </x:c>
      <x:c r="M647" s="20" t="n">
        <x:v>320</x:v>
      </x:c>
      <x:c r="N647" s="20" t="n">
        <x:f>IF(J647=1,0,K647-L647)</x:f>
        <x:v>432</x:v>
      </x:c>
      <x:c r="O647" s="20" t="n">
        <x:f>N647-M647</x:f>
        <x:v>112</x:v>
      </x:c>
    </x:row>
    <x:row r="648" ht="22" customHeight="1">
      <x:c r="A648" s="11" t="n">
        <x:v>644</x:v>
      </x:c>
      <x:c r="B648" s="11" t="n">
        <x:v>325</x:v>
      </x:c>
      <x:c r="C648" s="18" t="n">
        <x:v>45816</x:v>
      </x:c>
      <x:c r="D648" s="11" t="str">
        <x:v>2025-06</x:v>
      </x:c>
      <x:c r="E648" s="11" t="str">
        <x:v>Central</x:v>
      </x:c>
      <x:c r="F648" s="11" t="str">
        <x:v>Office Supplies</x:v>
      </x:c>
      <x:c r="G648" s="11" t="str">
        <x:v>Storage box</x:v>
      </x:c>
      <x:c r="H648" s="11" t="n">
        <x:v>2</x:v>
      </x:c>
      <x:c r="I648" s="19" t="n">
        <x:v>0</x:v>
      </x:c>
      <x:c r="J648" s="11" t="n">
        <x:v>0</x:v>
      </x:c>
      <x:c r="K648" s="20" t="n">
        <x:v>52</x:v>
      </x:c>
      <x:c r="L648" s="20" t="n">
        <x:v>0</x:v>
      </x:c>
      <x:c r="M648" s="20" t="n">
        <x:v>24</x:v>
      </x:c>
      <x:c r="N648" s="20" t="n">
        <x:f>IF(J648=1,0,K648-L648)</x:f>
        <x:v>52</x:v>
      </x:c>
      <x:c r="O648" s="20" t="n">
        <x:f>N648-M648</x:f>
        <x:v>28</x:v>
      </x:c>
    </x:row>
    <x:row r="649" ht="22" customHeight="1">
      <x:c r="A649" s="11" t="n">
        <x:v>645</x:v>
      </x:c>
      <x:c r="B649" s="11" t="n">
        <x:v>325</x:v>
      </x:c>
      <x:c r="C649" s="18" t="n">
        <x:v>45816</x:v>
      </x:c>
      <x:c r="D649" s="11" t="str">
        <x:v>2025-06</x:v>
      </x:c>
      <x:c r="E649" s="11" t="str">
        <x:v>Central</x:v>
      </x:c>
      <x:c r="F649" s="11" t="str">
        <x:v>Office Supplies</x:v>
      </x:c>
      <x:c r="G649" s="11" t="str">
        <x:v>Notebook pack</x:v>
      </x:c>
      <x:c r="H649" s="11" t="n">
        <x:v>3</x:v>
      </x:c>
      <x:c r="I649" s="19" t="n">
        <x:v>0.05</x:v>
      </x:c>
      <x:c r="J649" s="11" t="n">
        <x:v>0</x:v>
      </x:c>
      <x:c r="K649" s="20" t="n">
        <x:v>54</x:v>
      </x:c>
      <x:c r="L649" s="20" t="n">
        <x:v>2.7</x:v>
      </x:c>
      <x:c r="M649" s="20" t="n">
        <x:v>21</x:v>
      </x:c>
      <x:c r="N649" s="20" t="n">
        <x:f>IF(J649=1,0,K649-L649)</x:f>
        <x:v>51.3</x:v>
      </x:c>
      <x:c r="O649" s="20" t="n">
        <x:f>N649-M649</x:f>
        <x:v>30.299999999999997</x:v>
      </x:c>
    </x:row>
    <x:row r="650" ht="22" customHeight="1">
      <x:c r="A650" s="11" t="n">
        <x:v>646</x:v>
      </x:c>
      <x:c r="B650" s="11" t="n">
        <x:v>325</x:v>
      </x:c>
      <x:c r="C650" s="18" t="n">
        <x:v>45816</x:v>
      </x:c>
      <x:c r="D650" s="11" t="str">
        <x:v>2025-06</x:v>
      </x:c>
      <x:c r="E650" s="11" t="str">
        <x:v>Central</x:v>
      </x:c>
      <x:c r="F650" s="11" t="str">
        <x:v>Furniture</x:v>
      </x:c>
      <x:c r="G650" s="11" t="str">
        <x:v>Chair</x:v>
      </x:c>
      <x:c r="H650" s="11" t="n">
        <x:v>2</x:v>
      </x:c>
      <x:c r="I650" s="19" t="n">
        <x:v>0</x:v>
      </x:c>
      <x:c r="J650" s="11" t="n">
        <x:v>0</x:v>
      </x:c>
      <x:c r="K650" s="20" t="n">
        <x:v>340</x:v>
      </x:c>
      <x:c r="L650" s="20" t="n">
        <x:v>0</x:v>
      </x:c>
      <x:c r="M650" s="20" t="n">
        <x:v>220</x:v>
      </x:c>
      <x:c r="N650" s="20" t="n">
        <x:f>IF(J650=1,0,K650-L650)</x:f>
        <x:v>340</x:v>
      </x:c>
      <x:c r="O650" s="20" t="n">
        <x:f>N650-M650</x:f>
        <x:v>120</x:v>
      </x:c>
    </x:row>
    <x:row r="651" ht="22" customHeight="1">
      <x:c r="A651" s="11" t="n">
        <x:v>647</x:v>
      </x:c>
      <x:c r="B651" s="11" t="n">
        <x:v>326</x:v>
      </x:c>
      <x:c r="C651" s="18" t="n">
        <x:v>46002</x:v>
      </x:c>
      <x:c r="D651" s="11" t="str">
        <x:v>2025-12</x:v>
      </x:c>
      <x:c r="E651" s="11" t="str">
        <x:v>West</x:v>
      </x:c>
      <x:c r="F651" s="11" t="str">
        <x:v>Furniture</x:v>
      </x:c>
      <x:c r="G651" s="11" t="str">
        <x:v>Desk</x:v>
      </x:c>
      <x:c r="H651" s="11" t="n">
        <x:v>5</x:v>
      </x:c>
      <x:c r="I651" s="19" t="n">
        <x:v>0.25</x:v>
      </x:c>
      <x:c r="J651" s="11" t="n">
        <x:v>0</x:v>
      </x:c>
      <x:c r="K651" s="20" t="n">
        <x:v>1400</x:v>
      </x:c>
      <x:c r="L651" s="20" t="n">
        <x:v>350</x:v>
      </x:c>
      <x:c r="M651" s="20" t="n">
        <x:v>950</x:v>
      </x:c>
      <x:c r="N651" s="20" t="n">
        <x:f>IF(J651=1,0,K651-L651)</x:f>
        <x:v>1050</x:v>
      </x:c>
      <x:c r="O651" s="20" t="n">
        <x:f>N651-M651</x:f>
        <x:v>100</x:v>
      </x:c>
    </x:row>
    <x:row r="652" ht="22" customHeight="1">
      <x:c r="A652" s="11" t="n">
        <x:v>648</x:v>
      </x:c>
      <x:c r="B652" s="11" t="n">
        <x:v>326</x:v>
      </x:c>
      <x:c r="C652" s="18" t="n">
        <x:v>46002</x:v>
      </x:c>
      <x:c r="D652" s="11" t="str">
        <x:v>2025-12</x:v>
      </x:c>
      <x:c r="E652" s="11" t="str">
        <x:v>West</x:v>
      </x:c>
      <x:c r="F652" s="11" t="str">
        <x:v>Technology</x:v>
      </x:c>
      <x:c r="G652" s="11" t="str">
        <x:v>Monitor</x:v>
      </x:c>
      <x:c r="H652" s="11" t="n">
        <x:v>5</x:v>
      </x:c>
      <x:c r="I652" s="19" t="n">
        <x:v>0.05</x:v>
      </x:c>
      <x:c r="J652" s="11" t="n">
        <x:v>0</x:v>
      </x:c>
      <x:c r="K652" s="20" t="n">
        <x:v>1200</x:v>
      </x:c>
      <x:c r="L652" s="20" t="n">
        <x:v>60</x:v>
      </x:c>
      <x:c r="M652" s="20" t="n">
        <x:v>800</x:v>
      </x:c>
      <x:c r="N652" s="20" t="n">
        <x:f>IF(J652=1,0,K652-L652)</x:f>
        <x:v>1140</x:v>
      </x:c>
      <x:c r="O652" s="20" t="n">
        <x:f>N652-M652</x:f>
        <x:v>340</x:v>
      </x:c>
    </x:row>
    <x:row r="653" ht="22" customHeight="1">
      <x:c r="A653" s="11" t="n">
        <x:v>649</x:v>
      </x:c>
      <x:c r="B653" s="11" t="n">
        <x:v>326</x:v>
      </x:c>
      <x:c r="C653" s="18" t="n">
        <x:v>46002</x:v>
      </x:c>
      <x:c r="D653" s="11" t="str">
        <x:v>2025-12</x:v>
      </x:c>
      <x:c r="E653" s="11" t="str">
        <x:v>West</x:v>
      </x:c>
      <x:c r="F653" s="11" t="str">
        <x:v>Technology</x:v>
      </x:c>
      <x:c r="G653" s="11" t="str">
        <x:v>Keyboard</x:v>
      </x:c>
      <x:c r="H653" s="11" t="n">
        <x:v>4</x:v>
      </x:c>
      <x:c r="I653" s="19" t="n">
        <x:v>0</x:v>
      </x:c>
      <x:c r="J653" s="11" t="n">
        <x:v>0</x:v>
      </x:c>
      <x:c r="K653" s="20" t="n">
        <x:v>260</x:v>
      </x:c>
      <x:c r="L653" s="20" t="n">
        <x:v>0</x:v>
      </x:c>
      <x:c r="M653" s="20" t="n">
        <x:v>128</x:v>
      </x:c>
      <x:c r="N653" s="20" t="n">
        <x:f>IF(J653=1,0,K653-L653)</x:f>
        <x:v>260</x:v>
      </x:c>
      <x:c r="O653" s="20" t="n">
        <x:f>N653-M653</x:f>
        <x:v>132</x:v>
      </x:c>
    </x:row>
    <x:row r="654" ht="22" customHeight="1">
      <x:c r="A654" s="11" t="n">
        <x:v>650</x:v>
      </x:c>
      <x:c r="B654" s="11" t="n">
        <x:v>327</x:v>
      </x:c>
      <x:c r="C654" s="18" t="n">
        <x:v>45317</x:v>
      </x:c>
      <x:c r="D654" s="11" t="str">
        <x:v>2024-01</x:v>
      </x:c>
      <x:c r="E654" s="11" t="str">
        <x:v>Central</x:v>
      </x:c>
      <x:c r="F654" s="11" t="str">
        <x:v>Office Supplies</x:v>
      </x:c>
      <x:c r="G654" s="11" t="str">
        <x:v>Storage box</x:v>
      </x:c>
      <x:c r="H654" s="11" t="n">
        <x:v>1</x:v>
      </x:c>
      <x:c r="I654" s="19" t="n">
        <x:v>0</x:v>
      </x:c>
      <x:c r="J654" s="11" t="n">
        <x:v>0</x:v>
      </x:c>
      <x:c r="K654" s="20" t="n">
        <x:v>26</x:v>
      </x:c>
      <x:c r="L654" s="20" t="n">
        <x:v>0</x:v>
      </x:c>
      <x:c r="M654" s="20" t="n">
        <x:v>12</x:v>
      </x:c>
      <x:c r="N654" s="20" t="n">
        <x:f>IF(J654=1,0,K654-L654)</x:f>
        <x:v>26</x:v>
      </x:c>
      <x:c r="O654" s="20" t="n">
        <x:f>N654-M654</x:f>
        <x:v>14</x:v>
      </x:c>
    </x:row>
    <x:row r="655" ht="22" customHeight="1">
      <x:c r="A655" s="11" t="n">
        <x:v>651</x:v>
      </x:c>
      <x:c r="B655" s="11" t="n">
        <x:v>328</x:v>
      </x:c>
      <x:c r="C655" s="18" t="n">
        <x:v>45456</x:v>
      </x:c>
      <x:c r="D655" s="11" t="str">
        <x:v>2024-06</x:v>
      </x:c>
      <x:c r="E655" s="11" t="str">
        <x:v>South</x:v>
      </x:c>
      <x:c r="F655" s="11" t="str">
        <x:v>Furniture</x:v>
      </x:c>
      <x:c r="G655" s="11" t="str">
        <x:v>Desk</x:v>
      </x:c>
      <x:c r="H655" s="11" t="n">
        <x:v>3</x:v>
      </x:c>
      <x:c r="I655" s="19" t="n">
        <x:v>0.05</x:v>
      </x:c>
      <x:c r="J655" s="11" t="n">
        <x:v>0</x:v>
      </x:c>
      <x:c r="K655" s="20" t="n">
        <x:v>840</x:v>
      </x:c>
      <x:c r="L655" s="20" t="n">
        <x:v>42</x:v>
      </x:c>
      <x:c r="M655" s="20" t="n">
        <x:v>570</x:v>
      </x:c>
      <x:c r="N655" s="20" t="n">
        <x:f>IF(J655=1,0,K655-L655)</x:f>
        <x:v>798</x:v>
      </x:c>
      <x:c r="O655" s="20" t="n">
        <x:f>N655-M655</x:f>
        <x:v>228</x:v>
      </x:c>
    </x:row>
    <x:row r="656" ht="22" customHeight="1">
      <x:c r="A656" s="11" t="n">
        <x:v>652</x:v>
      </x:c>
      <x:c r="B656" s="11" t="n">
        <x:v>329</x:v>
      </x:c>
      <x:c r="C656" s="18" t="n">
        <x:v>45325</x:v>
      </x:c>
      <x:c r="D656" s="11" t="str">
        <x:v>2024-02</x:v>
      </x:c>
      <x:c r="E656" s="11" t="str">
        <x:v>East</x:v>
      </x:c>
      <x:c r="F656" s="11" t="str">
        <x:v>Office Supplies</x:v>
      </x:c>
      <x:c r="G656" s="11" t="str">
        <x:v>Notebook pack</x:v>
      </x:c>
      <x:c r="H656" s="11" t="n">
        <x:v>5</x:v>
      </x:c>
      <x:c r="I656" s="19" t="n">
        <x:v>0</x:v>
      </x:c>
      <x:c r="J656" s="11" t="n">
        <x:v>0</x:v>
      </x:c>
      <x:c r="K656" s="20" t="n">
        <x:v>90</x:v>
      </x:c>
      <x:c r="L656" s="20" t="n">
        <x:v>0</x:v>
      </x:c>
      <x:c r="M656" s="20" t="n">
        <x:v>35</x:v>
      </x:c>
      <x:c r="N656" s="20" t="n">
        <x:f>IF(J656=1,0,K656-L656)</x:f>
        <x:v>90</x:v>
      </x:c>
      <x:c r="O656" s="20" t="n">
        <x:f>N656-M656</x:f>
        <x:v>55</x:v>
      </x:c>
    </x:row>
    <x:row r="657" ht="22" customHeight="1">
      <x:c r="A657" s="11" t="n">
        <x:v>653</x:v>
      </x:c>
      <x:c r="B657" s="11" t="n">
        <x:v>330</x:v>
      </x:c>
      <x:c r="C657" s="18" t="n">
        <x:v>45866</x:v>
      </x:c>
      <x:c r="D657" s="11" t="str">
        <x:v>2025-07</x:v>
      </x:c>
      <x:c r="E657" s="11" t="str">
        <x:v>South</x:v>
      </x:c>
      <x:c r="F657" s="11" t="str">
        <x:v>Office Supplies</x:v>
      </x:c>
      <x:c r="G657" s="11" t="str">
        <x:v>Storage box</x:v>
      </x:c>
      <x:c r="H657" s="11" t="n">
        <x:v>4</x:v>
      </x:c>
      <x:c r="I657" s="19" t="n">
        <x:v>0.1</x:v>
      </x:c>
      <x:c r="J657" s="11" t="n">
        <x:v>0</x:v>
      </x:c>
      <x:c r="K657" s="20" t="n">
        <x:v>104</x:v>
      </x:c>
      <x:c r="L657" s="20" t="n">
        <x:v>10.4</x:v>
      </x:c>
      <x:c r="M657" s="20" t="n">
        <x:v>48</x:v>
      </x:c>
      <x:c r="N657" s="20" t="n">
        <x:f>IF(J657=1,0,K657-L657)</x:f>
        <x:v>93.6</x:v>
      </x:c>
      <x:c r="O657" s="20" t="n">
        <x:f>N657-M657</x:f>
        <x:v>45.599999999999994</x:v>
      </x:c>
    </x:row>
    <x:row r="658" ht="22" customHeight="1">
      <x:c r="A658" s="11" t="n">
        <x:v>654</x:v>
      </x:c>
      <x:c r="B658" s="11" t="n">
        <x:v>330</x:v>
      </x:c>
      <x:c r="C658" s="18" t="n">
        <x:v>45866</x:v>
      </x:c>
      <x:c r="D658" s="11" t="str">
        <x:v>2025-07</x:v>
      </x:c>
      <x:c r="E658" s="11" t="str">
        <x:v>South</x:v>
      </x:c>
      <x:c r="F658" s="11" t="str">
        <x:v>Technology</x:v>
      </x:c>
      <x:c r="G658" s="11" t="str">
        <x:v>Monitor</x:v>
      </x:c>
      <x:c r="H658" s="11" t="n">
        <x:v>3</x:v>
      </x:c>
      <x:c r="I658" s="19" t="n">
        <x:v>0.15</x:v>
      </x:c>
      <x:c r="J658" s="11" t="n">
        <x:v>1</x:v>
      </x:c>
      <x:c r="K658" s="20" t="n">
        <x:v>720</x:v>
      </x:c>
      <x:c r="L658" s="20" t="n">
        <x:v>108</x:v>
      </x:c>
      <x:c r="M658" s="20" t="n">
        <x:v>0</x:v>
      </x:c>
      <x:c r="N658" s="20" t="n">
        <x:f>IF(J658=1,0,K658-L658)</x:f>
        <x:v>0</x:v>
      </x:c>
      <x:c r="O658" s="20" t="n">
        <x:f>N658-M658</x:f>
        <x:v>0</x:v>
      </x:c>
    </x:row>
    <x:row r="659" ht="22" customHeight="1">
      <x:c r="A659" s="11" t="n">
        <x:v>655</x:v>
      </x:c>
      <x:c r="B659" s="11" t="n">
        <x:v>330</x:v>
      </x:c>
      <x:c r="C659" s="18" t="n">
        <x:v>45866</x:v>
      </x:c>
      <x:c r="D659" s="11" t="str">
        <x:v>2025-07</x:v>
      </x:c>
      <x:c r="E659" s="11" t="str">
        <x:v>South</x:v>
      </x:c>
      <x:c r="F659" s="11" t="str">
        <x:v>Furniture</x:v>
      </x:c>
      <x:c r="G659" s="11" t="str">
        <x:v>Desk</x:v>
      </x:c>
      <x:c r="H659" s="11" t="n">
        <x:v>3</x:v>
      </x:c>
      <x:c r="I659" s="19" t="n">
        <x:v>0.05</x:v>
      </x:c>
      <x:c r="J659" s="11" t="n">
        <x:v>0</x:v>
      </x:c>
      <x:c r="K659" s="20" t="n">
        <x:v>840</x:v>
      </x:c>
      <x:c r="L659" s="20" t="n">
        <x:v>42</x:v>
      </x:c>
      <x:c r="M659" s="20" t="n">
        <x:v>570</x:v>
      </x:c>
      <x:c r="N659" s="20" t="n">
        <x:f>IF(J659=1,0,K659-L659)</x:f>
        <x:v>798</x:v>
      </x:c>
      <x:c r="O659" s="20" t="n">
        <x:f>N659-M659</x:f>
        <x:v>228</x:v>
      </x:c>
    </x:row>
    <x:row r="660" ht="22" customHeight="1">
      <x:c r="A660" s="11" t="n">
        <x:v>656</x:v>
      </x:c>
      <x:c r="B660" s="11" t="n">
        <x:v>331</x:v>
      </x:c>
      <x:c r="C660" s="18" t="n">
        <x:v>45745</x:v>
      </x:c>
      <x:c r="D660" s="11" t="str">
        <x:v>2025-03</x:v>
      </x:c>
      <x:c r="E660" s="11" t="str">
        <x:v>West</x:v>
      </x:c>
      <x:c r="F660" s="11" t="str">
        <x:v>Office Supplies</x:v>
      </x:c>
      <x:c r="G660" s="11" t="str">
        <x:v>Notebook pack</x:v>
      </x:c>
      <x:c r="H660" s="11" t="n">
        <x:v>2</x:v>
      </x:c>
      <x:c r="I660" s="19" t="n">
        <x:v>0.05</x:v>
      </x:c>
      <x:c r="J660" s="11" t="n">
        <x:v>0</x:v>
      </x:c>
      <x:c r="K660" s="20" t="n">
        <x:v>36</x:v>
      </x:c>
      <x:c r="L660" s="20" t="n">
        <x:v>1.8</x:v>
      </x:c>
      <x:c r="M660" s="20" t="n">
        <x:v>14</x:v>
      </x:c>
      <x:c r="N660" s="20" t="n">
        <x:f>IF(J660=1,0,K660-L660)</x:f>
        <x:v>34.2</x:v>
      </x:c>
      <x:c r="O660" s="20" t="n">
        <x:f>N660-M660</x:f>
        <x:v>20.200000000000003</x:v>
      </x:c>
    </x:row>
    <x:row r="661" ht="22" customHeight="1">
      <x:c r="A661" s="11" t="n">
        <x:v>657</x:v>
      </x:c>
      <x:c r="B661" s="11" t="n">
        <x:v>331</x:v>
      </x:c>
      <x:c r="C661" s="18" t="n">
        <x:v>45745</x:v>
      </x:c>
      <x:c r="D661" s="11" t="str">
        <x:v>2025-03</x:v>
      </x:c>
      <x:c r="E661" s="11" t="str">
        <x:v>West</x:v>
      </x:c>
      <x:c r="F661" s="11" t="str">
        <x:v>Office Supplies</x:v>
      </x:c>
      <x:c r="G661" s="11" t="str">
        <x:v>Storage box</x:v>
      </x:c>
      <x:c r="H661" s="11" t="n">
        <x:v>1</x:v>
      </x:c>
      <x:c r="I661" s="19" t="n">
        <x:v>0</x:v>
      </x:c>
      <x:c r="J661" s="11" t="n">
        <x:v>0</x:v>
      </x:c>
      <x:c r="K661" s="20" t="n">
        <x:v>26</x:v>
      </x:c>
      <x:c r="L661" s="20" t="n">
        <x:v>0</x:v>
      </x:c>
      <x:c r="M661" s="20" t="n">
        <x:v>12</x:v>
      </x:c>
      <x:c r="N661" s="20" t="n">
        <x:f>IF(J661=1,0,K661-L661)</x:f>
        <x:v>26</x:v>
      </x:c>
      <x:c r="O661" s="20" t="n">
        <x:f>N661-M661</x:f>
        <x:v>14</x:v>
      </x:c>
    </x:row>
    <x:row r="662" ht="22" customHeight="1">
      <x:c r="A662" s="11" t="n">
        <x:v>658</x:v>
      </x:c>
      <x:c r="B662" s="11" t="n">
        <x:v>331</x:v>
      </x:c>
      <x:c r="C662" s="18" t="n">
        <x:v>45745</x:v>
      </x:c>
      <x:c r="D662" s="11" t="str">
        <x:v>2025-03</x:v>
      </x:c>
      <x:c r="E662" s="11" t="str">
        <x:v>West</x:v>
      </x:c>
      <x:c r="F662" s="11" t="str">
        <x:v>Furniture</x:v>
      </x:c>
      <x:c r="G662" s="11" t="str">
        <x:v>Chair</x:v>
      </x:c>
      <x:c r="H662" s="11" t="n">
        <x:v>5</x:v>
      </x:c>
      <x:c r="I662" s="19" t="n">
        <x:v>0</x:v>
      </x:c>
      <x:c r="J662" s="11" t="n">
        <x:v>0</x:v>
      </x:c>
      <x:c r="K662" s="20" t="n">
        <x:v>850</x:v>
      </x:c>
      <x:c r="L662" s="20" t="n">
        <x:v>0</x:v>
      </x:c>
      <x:c r="M662" s="20" t="n">
        <x:v>550</x:v>
      </x:c>
      <x:c r="N662" s="20" t="n">
        <x:f>IF(J662=1,0,K662-L662)</x:f>
        <x:v>850</x:v>
      </x:c>
      <x:c r="O662" s="20" t="n">
        <x:f>N662-M662</x:f>
        <x:v>300</x:v>
      </x:c>
    </x:row>
    <x:row r="663" ht="22" customHeight="1">
      <x:c r="A663" s="11" t="n">
        <x:v>659</x:v>
      </x:c>
      <x:c r="B663" s="11" t="n">
        <x:v>332</x:v>
      </x:c>
      <x:c r="C663" s="18" t="n">
        <x:v>45730</x:v>
      </x:c>
      <x:c r="D663" s="11" t="str">
        <x:v>2025-03</x:v>
      </x:c>
      <x:c r="E663" s="11" t="str">
        <x:v>West</x:v>
      </x:c>
      <x:c r="F663" s="11" t="str">
        <x:v>Furniture</x:v>
      </x:c>
      <x:c r="G663" s="11" t="str">
        <x:v>Chair</x:v>
      </x:c>
      <x:c r="H663" s="11" t="n">
        <x:v>5</x:v>
      </x:c>
      <x:c r="I663" s="19" t="n">
        <x:v>0.1</x:v>
      </x:c>
      <x:c r="J663" s="11" t="n">
        <x:v>1</x:v>
      </x:c>
      <x:c r="K663" s="20" t="n">
        <x:v>850</x:v>
      </x:c>
      <x:c r="L663" s="20" t="n">
        <x:v>85</x:v>
      </x:c>
      <x:c r="M663" s="20" t="n">
        <x:v>0</x:v>
      </x:c>
      <x:c r="N663" s="20" t="n">
        <x:f>IF(J663=1,0,K663-L663)</x:f>
        <x:v>0</x:v>
      </x:c>
      <x:c r="O663" s="20" t="n">
        <x:f>N663-M663</x:f>
        <x:v>0</x:v>
      </x:c>
    </x:row>
    <x:row r="664" ht="22" customHeight="1">
      <x:c r="A664" s="11" t="n">
        <x:v>660</x:v>
      </x:c>
      <x:c r="B664" s="11" t="n">
        <x:v>333</x:v>
      </x:c>
      <x:c r="C664" s="18" t="n">
        <x:v>45769</x:v>
      </x:c>
      <x:c r="D664" s="11" t="str">
        <x:v>2025-04</x:v>
      </x:c>
      <x:c r="E664" s="11" t="str">
        <x:v>South</x:v>
      </x:c>
      <x:c r="F664" s="11" t="str">
        <x:v>Furniture</x:v>
      </x:c>
      <x:c r="G664" s="11" t="str">
        <x:v>Chair</x:v>
      </x:c>
      <x:c r="H664" s="11" t="n">
        <x:v>3</x:v>
      </x:c>
      <x:c r="I664" s="19" t="n">
        <x:v>0</x:v>
      </x:c>
      <x:c r="J664" s="11" t="n">
        <x:v>0</x:v>
      </x:c>
      <x:c r="K664" s="20" t="n">
        <x:v>510</x:v>
      </x:c>
      <x:c r="L664" s="20" t="n">
        <x:v>0</x:v>
      </x:c>
      <x:c r="M664" s="20" t="n">
        <x:v>330</x:v>
      </x:c>
      <x:c r="N664" s="20" t="n">
        <x:f>IF(J664=1,0,K664-L664)</x:f>
        <x:v>510</x:v>
      </x:c>
      <x:c r="O664" s="20" t="n">
        <x:f>N664-M664</x:f>
        <x:v>180</x:v>
      </x:c>
    </x:row>
    <x:row r="665" ht="22" customHeight="1">
      <x:c r="A665" s="11" t="n">
        <x:v>661</x:v>
      </x:c>
      <x:c r="B665" s="11" t="n">
        <x:v>334</x:v>
      </x:c>
      <x:c r="C665" s="18" t="n">
        <x:v>45932</x:v>
      </x:c>
      <x:c r="D665" s="11" t="str">
        <x:v>2025-10</x:v>
      </x:c>
      <x:c r="E665" s="11" t="str">
        <x:v>East</x:v>
      </x:c>
      <x:c r="F665" s="11" t="str">
        <x:v>Office Supplies</x:v>
      </x:c>
      <x:c r="G665" s="11" t="str">
        <x:v>Notebook pack</x:v>
      </x:c>
      <x:c r="H665" s="11" t="n">
        <x:v>3</x:v>
      </x:c>
      <x:c r="I665" s="19" t="n">
        <x:v>0</x:v>
      </x:c>
      <x:c r="J665" s="11" t="n">
        <x:v>0</x:v>
      </x:c>
      <x:c r="K665" s="20" t="n">
        <x:v>54</x:v>
      </x:c>
      <x:c r="L665" s="20" t="n">
        <x:v>0</x:v>
      </x:c>
      <x:c r="M665" s="20" t="n">
        <x:v>21</x:v>
      </x:c>
      <x:c r="N665" s="20" t="n">
        <x:f>IF(J665=1,0,K665-L665)</x:f>
        <x:v>54</x:v>
      </x:c>
      <x:c r="O665" s="20" t="n">
        <x:f>N665-M665</x:f>
        <x:v>33</x:v>
      </x:c>
    </x:row>
    <x:row r="666" ht="22" customHeight="1">
      <x:c r="A666" s="11" t="n">
        <x:v>662</x:v>
      </x:c>
      <x:c r="B666" s="11" t="n">
        <x:v>334</x:v>
      </x:c>
      <x:c r="C666" s="18" t="n">
        <x:v>45932</x:v>
      </x:c>
      <x:c r="D666" s="11" t="str">
        <x:v>2025-10</x:v>
      </x:c>
      <x:c r="E666" s="11" t="str">
        <x:v>East</x:v>
      </x:c>
      <x:c r="F666" s="11" t="str">
        <x:v>Office Supplies</x:v>
      </x:c>
      <x:c r="G666" s="11" t="str">
        <x:v>Storage box</x:v>
      </x:c>
      <x:c r="H666" s="11" t="n">
        <x:v>3</x:v>
      </x:c>
      <x:c r="I666" s="19" t="n">
        <x:v>0.15</x:v>
      </x:c>
      <x:c r="J666" s="11" t="n">
        <x:v>0</x:v>
      </x:c>
      <x:c r="K666" s="20" t="n">
        <x:v>78</x:v>
      </x:c>
      <x:c r="L666" s="20" t="n">
        <x:v>11.7</x:v>
      </x:c>
      <x:c r="M666" s="20" t="n">
        <x:v>36</x:v>
      </x:c>
      <x:c r="N666" s="20" t="n">
        <x:f>IF(J666=1,0,K666-L666)</x:f>
        <x:v>66.3</x:v>
      </x:c>
      <x:c r="O666" s="20" t="n">
        <x:f>N666-M666</x:f>
        <x:v>30.299999999999997</x:v>
      </x:c>
    </x:row>
    <x:row r="667" ht="22" customHeight="1">
      <x:c r="A667" s="11" t="n">
        <x:v>663</x:v>
      </x:c>
      <x:c r="B667" s="11" t="n">
        <x:v>335</x:v>
      </x:c>
      <x:c r="C667" s="18" t="n">
        <x:v>45480</x:v>
      </x:c>
      <x:c r="D667" s="11" t="str">
        <x:v>2024-07</x:v>
      </x:c>
      <x:c r="E667" s="11" t="str">
        <x:v>Central</x:v>
      </x:c>
      <x:c r="F667" s="11" t="str">
        <x:v>Furniture</x:v>
      </x:c>
      <x:c r="G667" s="11" t="str">
        <x:v>Chair</x:v>
      </x:c>
      <x:c r="H667" s="11" t="n">
        <x:v>1</x:v>
      </x:c>
      <x:c r="I667" s="19" t="n">
        <x:v>0.15</x:v>
      </x:c>
      <x:c r="J667" s="11" t="n">
        <x:v>0</x:v>
      </x:c>
      <x:c r="K667" s="20" t="n">
        <x:v>170</x:v>
      </x:c>
      <x:c r="L667" s="20" t="n">
        <x:v>25.5</x:v>
      </x:c>
      <x:c r="M667" s="20" t="n">
        <x:v>110</x:v>
      </x:c>
      <x:c r="N667" s="20" t="n">
        <x:f>IF(J667=1,0,K667-L667)</x:f>
        <x:v>144.5</x:v>
      </x:c>
      <x:c r="O667" s="20" t="n">
        <x:f>N667-M667</x:f>
        <x:v>34.5</x:v>
      </x:c>
    </x:row>
    <x:row r="668" ht="22" customHeight="1">
      <x:c r="A668" s="11" t="n">
        <x:v>664</x:v>
      </x:c>
      <x:c r="B668" s="11" t="n">
        <x:v>335</x:v>
      </x:c>
      <x:c r="C668" s="18" t="n">
        <x:v>45480</x:v>
      </x:c>
      <x:c r="D668" s="11" t="str">
        <x:v>2024-07</x:v>
      </x:c>
      <x:c r="E668" s="11" t="str">
        <x:v>Central</x:v>
      </x:c>
      <x:c r="F668" s="11" t="str">
        <x:v>Technology</x:v>
      </x:c>
      <x:c r="G668" s="11" t="str">
        <x:v>Keyboard</x:v>
      </x:c>
      <x:c r="H668" s="11" t="n">
        <x:v>2</x:v>
      </x:c>
      <x:c r="I668" s="19" t="n">
        <x:v>0.05</x:v>
      </x:c>
      <x:c r="J668" s="11" t="n">
        <x:v>0</x:v>
      </x:c>
      <x:c r="K668" s="20" t="n">
        <x:v>130</x:v>
      </x:c>
      <x:c r="L668" s="20" t="n">
        <x:v>6.5</x:v>
      </x:c>
      <x:c r="M668" s="20" t="n">
        <x:v>64</x:v>
      </x:c>
      <x:c r="N668" s="20" t="n">
        <x:f>IF(J668=1,0,K668-L668)</x:f>
        <x:v>123.5</x:v>
      </x:c>
      <x:c r="O668" s="20" t="n">
        <x:f>N668-M668</x:f>
        <x:v>59.5</x:v>
      </x:c>
    </x:row>
    <x:row r="669" ht="22" customHeight="1">
      <x:c r="A669" s="11" t="n">
        <x:v>665</x:v>
      </x:c>
      <x:c r="B669" s="11" t="n">
        <x:v>335</x:v>
      </x:c>
      <x:c r="C669" s="18" t="n">
        <x:v>45480</x:v>
      </x:c>
      <x:c r="D669" s="11" t="str">
        <x:v>2024-07</x:v>
      </x:c>
      <x:c r="E669" s="11" t="str">
        <x:v>Central</x:v>
      </x:c>
      <x:c r="F669" s="11" t="str">
        <x:v>Office Supplies</x:v>
      </x:c>
      <x:c r="G669" s="11" t="str">
        <x:v>Notebook pack</x:v>
      </x:c>
      <x:c r="H669" s="11" t="n">
        <x:v>3</x:v>
      </x:c>
      <x:c r="I669" s="19" t="n">
        <x:v>0</x:v>
      </x:c>
      <x:c r="J669" s="11" t="n">
        <x:v>0</x:v>
      </x:c>
      <x:c r="K669" s="20" t="n">
        <x:v>54</x:v>
      </x:c>
      <x:c r="L669" s="20" t="n">
        <x:v>0</x:v>
      </x:c>
      <x:c r="M669" s="20" t="n">
        <x:v>21</x:v>
      </x:c>
      <x:c r="N669" s="20" t="n">
        <x:f>IF(J669=1,0,K669-L669)</x:f>
        <x:v>54</x:v>
      </x:c>
      <x:c r="O669" s="20" t="n">
        <x:f>N669-M669</x:f>
        <x:v>33</x:v>
      </x:c>
    </x:row>
    <x:row r="670" ht="22" customHeight="1">
      <x:c r="A670" s="11" t="n">
        <x:v>666</x:v>
      </x:c>
      <x:c r="B670" s="11" t="n">
        <x:v>336</x:v>
      </x:c>
      <x:c r="C670" s="18" t="n">
        <x:v>45925</x:v>
      </x:c>
      <x:c r="D670" s="11" t="str">
        <x:v>2025-09</x:v>
      </x:c>
      <x:c r="E670" s="11" t="str">
        <x:v>East</x:v>
      </x:c>
      <x:c r="F670" s="11" t="str">
        <x:v>Office Supplies</x:v>
      </x:c>
      <x:c r="G670" s="11" t="str">
        <x:v>Storage box</x:v>
      </x:c>
      <x:c r="H670" s="11" t="n">
        <x:v>3</x:v>
      </x:c>
      <x:c r="I670" s="19" t="n">
        <x:v>0.1</x:v>
      </x:c>
      <x:c r="J670" s="11" t="n">
        <x:v>0</x:v>
      </x:c>
      <x:c r="K670" s="20" t="n">
        <x:v>78</x:v>
      </x:c>
      <x:c r="L670" s="20" t="n">
        <x:v>7.8</x:v>
      </x:c>
      <x:c r="M670" s="20" t="n">
        <x:v>36</x:v>
      </x:c>
      <x:c r="N670" s="20" t="n">
        <x:f>IF(J670=1,0,K670-L670)</x:f>
        <x:v>70.2</x:v>
      </x:c>
      <x:c r="O670" s="20" t="n">
        <x:f>N670-M670</x:f>
        <x:v>34.2</x:v>
      </x:c>
    </x:row>
    <x:row r="671" ht="22" customHeight="1">
      <x:c r="A671" s="11" t="n">
        <x:v>667</x:v>
      </x:c>
      <x:c r="B671" s="11" t="n">
        <x:v>336</x:v>
      </x:c>
      <x:c r="C671" s="18" t="n">
        <x:v>45925</x:v>
      </x:c>
      <x:c r="D671" s="11" t="str">
        <x:v>2025-09</x:v>
      </x:c>
      <x:c r="E671" s="11" t="str">
        <x:v>East</x:v>
      </x:c>
      <x:c r="F671" s="11" t="str">
        <x:v>Furniture</x:v>
      </x:c>
      <x:c r="G671" s="11" t="str">
        <x:v>Desk</x:v>
      </x:c>
      <x:c r="H671" s="11" t="n">
        <x:v>5</x:v>
      </x:c>
      <x:c r="I671" s="19" t="n">
        <x:v>0.05</x:v>
      </x:c>
      <x:c r="J671" s="11" t="n">
        <x:v>0</x:v>
      </x:c>
      <x:c r="K671" s="20" t="n">
        <x:v>1400</x:v>
      </x:c>
      <x:c r="L671" s="20" t="n">
        <x:v>70</x:v>
      </x:c>
      <x:c r="M671" s="20" t="n">
        <x:v>950</x:v>
      </x:c>
      <x:c r="N671" s="20" t="n">
        <x:f>IF(J671=1,0,K671-L671)</x:f>
        <x:v>1330</x:v>
      </x:c>
      <x:c r="O671" s="20" t="n">
        <x:f>N671-M671</x:f>
        <x:v>380</x:v>
      </x:c>
    </x:row>
    <x:row r="672" ht="22" customHeight="1">
      <x:c r="A672" s="11" t="n">
        <x:v>668</x:v>
      </x:c>
      <x:c r="B672" s="11" t="n">
        <x:v>336</x:v>
      </x:c>
      <x:c r="C672" s="18" t="n">
        <x:v>45925</x:v>
      </x:c>
      <x:c r="D672" s="11" t="str">
        <x:v>2025-09</x:v>
      </x:c>
      <x:c r="E672" s="11" t="str">
        <x:v>East</x:v>
      </x:c>
      <x:c r="F672" s="11" t="str">
        <x:v>Office Supplies</x:v>
      </x:c>
      <x:c r="G672" s="11" t="str">
        <x:v>Notebook pack</x:v>
      </x:c>
      <x:c r="H672" s="11" t="n">
        <x:v>3</x:v>
      </x:c>
      <x:c r="I672" s="19" t="n">
        <x:v>0.1</x:v>
      </x:c>
      <x:c r="J672" s="11" t="n">
        <x:v>0</x:v>
      </x:c>
      <x:c r="K672" s="20" t="n">
        <x:v>54</x:v>
      </x:c>
      <x:c r="L672" s="20" t="n">
        <x:v>5.4</x:v>
      </x:c>
      <x:c r="M672" s="20" t="n">
        <x:v>21</x:v>
      </x:c>
      <x:c r="N672" s="20" t="n">
        <x:f>IF(J672=1,0,K672-L672)</x:f>
        <x:v>48.6</x:v>
      </x:c>
      <x:c r="O672" s="20" t="n">
        <x:f>N672-M672</x:f>
        <x:v>27.6</x:v>
      </x:c>
    </x:row>
    <x:row r="673" ht="22" customHeight="1">
      <x:c r="A673" s="11" t="n">
        <x:v>669</x:v>
      </x:c>
      <x:c r="B673" s="11" t="n">
        <x:v>337</x:v>
      </x:c>
      <x:c r="C673" s="18" t="n">
        <x:v>45408</x:v>
      </x:c>
      <x:c r="D673" s="11" t="str">
        <x:v>2024-04</x:v>
      </x:c>
      <x:c r="E673" s="11" t="str">
        <x:v>West</x:v>
      </x:c>
      <x:c r="F673" s="11" t="str">
        <x:v>Office Supplies</x:v>
      </x:c>
      <x:c r="G673" s="11" t="str">
        <x:v>Storage box</x:v>
      </x:c>
      <x:c r="H673" s="11" t="n">
        <x:v>5</x:v>
      </x:c>
      <x:c r="I673" s="19" t="n">
        <x:v>0.05</x:v>
      </x:c>
      <x:c r="J673" s="11" t="n">
        <x:v>0</x:v>
      </x:c>
      <x:c r="K673" s="20" t="n">
        <x:v>130</x:v>
      </x:c>
      <x:c r="L673" s="20" t="n">
        <x:v>6.5</x:v>
      </x:c>
      <x:c r="M673" s="20" t="n">
        <x:v>60</x:v>
      </x:c>
      <x:c r="N673" s="20" t="n">
        <x:f>IF(J673=1,0,K673-L673)</x:f>
        <x:v>123.5</x:v>
      </x:c>
      <x:c r="O673" s="20" t="n">
        <x:f>N673-M673</x:f>
        <x:v>63.5</x:v>
      </x:c>
    </x:row>
    <x:row r="674" ht="22" customHeight="1">
      <x:c r="A674" s="11" t="n">
        <x:v>670</x:v>
      </x:c>
      <x:c r="B674" s="11" t="n">
        <x:v>337</x:v>
      </x:c>
      <x:c r="C674" s="18" t="n">
        <x:v>45408</x:v>
      </x:c>
      <x:c r="D674" s="11" t="str">
        <x:v>2024-04</x:v>
      </x:c>
      <x:c r="E674" s="11" t="str">
        <x:v>West</x:v>
      </x:c>
      <x:c r="F674" s="11" t="str">
        <x:v>Technology</x:v>
      </x:c>
      <x:c r="G674" s="11" t="str">
        <x:v>Monitor</x:v>
      </x:c>
      <x:c r="H674" s="11" t="n">
        <x:v>5</x:v>
      </x:c>
      <x:c r="I674" s="19" t="n">
        <x:v>0.1</x:v>
      </x:c>
      <x:c r="J674" s="11" t="n">
        <x:v>0</x:v>
      </x:c>
      <x:c r="K674" s="20" t="n">
        <x:v>1200</x:v>
      </x:c>
      <x:c r="L674" s="20" t="n">
        <x:v>120</x:v>
      </x:c>
      <x:c r="M674" s="20" t="n">
        <x:v>800</x:v>
      </x:c>
      <x:c r="N674" s="20" t="n">
        <x:f>IF(J674=1,0,K674-L674)</x:f>
        <x:v>1080</x:v>
      </x:c>
      <x:c r="O674" s="20" t="n">
        <x:f>N674-M674</x:f>
        <x:v>280</x:v>
      </x:c>
    </x:row>
    <x:row r="675" ht="22" customHeight="1">
      <x:c r="A675" s="11" t="n">
        <x:v>671</x:v>
      </x:c>
      <x:c r="B675" s="11" t="n">
        <x:v>337</x:v>
      </x:c>
      <x:c r="C675" s="18" t="n">
        <x:v>45408</x:v>
      </x:c>
      <x:c r="D675" s="11" t="str">
        <x:v>2024-04</x:v>
      </x:c>
      <x:c r="E675" s="11" t="str">
        <x:v>West</x:v>
      </x:c>
      <x:c r="F675" s="11" t="str">
        <x:v>Furniture</x:v>
      </x:c>
      <x:c r="G675" s="11" t="str">
        <x:v>Desk</x:v>
      </x:c>
      <x:c r="H675" s="11" t="n">
        <x:v>3</x:v>
      </x:c>
      <x:c r="I675" s="19" t="n">
        <x:v>0.05</x:v>
      </x:c>
      <x:c r="J675" s="11" t="n">
        <x:v>0</x:v>
      </x:c>
      <x:c r="K675" s="20" t="n">
        <x:v>840</x:v>
      </x:c>
      <x:c r="L675" s="20" t="n">
        <x:v>42</x:v>
      </x:c>
      <x:c r="M675" s="20" t="n">
        <x:v>570</x:v>
      </x:c>
      <x:c r="N675" s="20" t="n">
        <x:f>IF(J675=1,0,K675-L675)</x:f>
        <x:v>798</x:v>
      </x:c>
      <x:c r="O675" s="20" t="n">
        <x:f>N675-M675</x:f>
        <x:v>228</x:v>
      </x:c>
    </x:row>
    <x:row r="676" ht="22" customHeight="1">
      <x:c r="A676" s="11" t="n">
        <x:v>672</x:v>
      </x:c>
      <x:c r="B676" s="11" t="n">
        <x:v>338</x:v>
      </x:c>
      <x:c r="C676" s="18" t="n">
        <x:v>45376</x:v>
      </x:c>
      <x:c r="D676" s="11" t="str">
        <x:v>2024-03</x:v>
      </x:c>
      <x:c r="E676" s="11" t="str">
        <x:v>West</x:v>
      </x:c>
      <x:c r="F676" s="11" t="str">
        <x:v>Office Supplies</x:v>
      </x:c>
      <x:c r="G676" s="11" t="str">
        <x:v>Notebook pack</x:v>
      </x:c>
      <x:c r="H676" s="11" t="n">
        <x:v>2</x:v>
      </x:c>
      <x:c r="I676" s="19" t="n">
        <x:v>0</x:v>
      </x:c>
      <x:c r="J676" s="11" t="n">
        <x:v>0</x:v>
      </x:c>
      <x:c r="K676" s="20" t="n">
        <x:v>36</x:v>
      </x:c>
      <x:c r="L676" s="20" t="n">
        <x:v>0</x:v>
      </x:c>
      <x:c r="M676" s="20" t="n">
        <x:v>14</x:v>
      </x:c>
      <x:c r="N676" s="20" t="n">
        <x:f>IF(J676=1,0,K676-L676)</x:f>
        <x:v>36</x:v>
      </x:c>
      <x:c r="O676" s="20" t="n">
        <x:f>N676-M676</x:f>
        <x:v>22</x:v>
      </x:c>
    </x:row>
    <x:row r="677" ht="22" customHeight="1">
      <x:c r="A677" s="11" t="n">
        <x:v>673</x:v>
      </x:c>
      <x:c r="B677" s="11" t="n">
        <x:v>338</x:v>
      </x:c>
      <x:c r="C677" s="18" t="n">
        <x:v>45376</x:v>
      </x:c>
      <x:c r="D677" s="11" t="str">
        <x:v>2024-03</x:v>
      </x:c>
      <x:c r="E677" s="11" t="str">
        <x:v>West</x:v>
      </x:c>
      <x:c r="F677" s="11" t="str">
        <x:v>Furniture</x:v>
      </x:c>
      <x:c r="G677" s="11" t="str">
        <x:v>Desk</x:v>
      </x:c>
      <x:c r="H677" s="11" t="n">
        <x:v>4</x:v>
      </x:c>
      <x:c r="I677" s="19" t="n">
        <x:v>0</x:v>
      </x:c>
      <x:c r="J677" s="11" t="n">
        <x:v>0</x:v>
      </x:c>
      <x:c r="K677" s="20" t="n">
        <x:v>1120</x:v>
      </x:c>
      <x:c r="L677" s="20" t="n">
        <x:v>0</x:v>
      </x:c>
      <x:c r="M677" s="20" t="n">
        <x:v>760</x:v>
      </x:c>
      <x:c r="N677" s="20" t="n">
        <x:f>IF(J677=1,0,K677-L677)</x:f>
        <x:v>1120</x:v>
      </x:c>
      <x:c r="O677" s="20" t="n">
        <x:f>N677-M677</x:f>
        <x:v>360</x:v>
      </x:c>
    </x:row>
    <x:row r="678" ht="22" customHeight="1">
      <x:c r="A678" s="11" t="n">
        <x:v>674</x:v>
      </x:c>
      <x:c r="B678" s="11" t="n">
        <x:v>338</x:v>
      </x:c>
      <x:c r="C678" s="18" t="n">
        <x:v>45376</x:v>
      </x:c>
      <x:c r="D678" s="11" t="str">
        <x:v>2024-03</x:v>
      </x:c>
      <x:c r="E678" s="11" t="str">
        <x:v>West</x:v>
      </x:c>
      <x:c r="F678" s="11" t="str">
        <x:v>Office Supplies</x:v>
      </x:c>
      <x:c r="G678" s="11" t="str">
        <x:v>Storage box</x:v>
      </x:c>
      <x:c r="H678" s="11" t="n">
        <x:v>4</x:v>
      </x:c>
      <x:c r="I678" s="19" t="n">
        <x:v>0</x:v>
      </x:c>
      <x:c r="J678" s="11" t="n">
        <x:v>0</x:v>
      </x:c>
      <x:c r="K678" s="20" t="n">
        <x:v>104</x:v>
      </x:c>
      <x:c r="L678" s="20" t="n">
        <x:v>0</x:v>
      </x:c>
      <x:c r="M678" s="20" t="n">
        <x:v>48</x:v>
      </x:c>
      <x:c r="N678" s="20" t="n">
        <x:f>IF(J678=1,0,K678-L678)</x:f>
        <x:v>104</x:v>
      </x:c>
      <x:c r="O678" s="20" t="n">
        <x:f>N678-M678</x:f>
        <x:v>56</x:v>
      </x:c>
    </x:row>
    <x:row r="679" ht="22" customHeight="1">
      <x:c r="A679" s="11" t="n">
        <x:v>675</x:v>
      </x:c>
      <x:c r="B679" s="11" t="n">
        <x:v>339</x:v>
      </x:c>
      <x:c r="C679" s="18" t="n">
        <x:v>45449</x:v>
      </x:c>
      <x:c r="D679" s="11" t="str">
        <x:v>2024-06</x:v>
      </x:c>
      <x:c r="E679" s="11" t="str">
        <x:v>West</x:v>
      </x:c>
      <x:c r="F679" s="11" t="str">
        <x:v>Technology</x:v>
      </x:c>
      <x:c r="G679" s="11" t="str">
        <x:v>Monitor</x:v>
      </x:c>
      <x:c r="H679" s="11" t="n">
        <x:v>1</x:v>
      </x:c>
      <x:c r="I679" s="19" t="n">
        <x:v>0</x:v>
      </x:c>
      <x:c r="J679" s="11" t="n">
        <x:v>0</x:v>
      </x:c>
      <x:c r="K679" s="20" t="n">
        <x:v>240</x:v>
      </x:c>
      <x:c r="L679" s="20" t="n">
        <x:v>0</x:v>
      </x:c>
      <x:c r="M679" s="20" t="n">
        <x:v>160</x:v>
      </x:c>
      <x:c r="N679" s="20" t="n">
        <x:f>IF(J679=1,0,K679-L679)</x:f>
        <x:v>240</x:v>
      </x:c>
      <x:c r="O679" s="20" t="n">
        <x:f>N679-M679</x:f>
        <x:v>80</x:v>
      </x:c>
    </x:row>
    <x:row r="680" ht="22" customHeight="1">
      <x:c r="A680" s="11" t="n">
        <x:v>676</x:v>
      </x:c>
      <x:c r="B680" s="11" t="n">
        <x:v>339</x:v>
      </x:c>
      <x:c r="C680" s="18" t="n">
        <x:v>45449</x:v>
      </x:c>
      <x:c r="D680" s="11" t="str">
        <x:v>2024-06</x:v>
      </x:c>
      <x:c r="E680" s="11" t="str">
        <x:v>West</x:v>
      </x:c>
      <x:c r="F680" s="11" t="str">
        <x:v>Furniture</x:v>
      </x:c>
      <x:c r="G680" s="11" t="str">
        <x:v>Desk</x:v>
      </x:c>
      <x:c r="H680" s="11" t="n">
        <x:v>3</x:v>
      </x:c>
      <x:c r="I680" s="19" t="n">
        <x:v>0</x:v>
      </x:c>
      <x:c r="J680" s="11" t="n">
        <x:v>0</x:v>
      </x:c>
      <x:c r="K680" s="20" t="n">
        <x:v>840</x:v>
      </x:c>
      <x:c r="L680" s="20" t="n">
        <x:v>0</x:v>
      </x:c>
      <x:c r="M680" s="20" t="n">
        <x:v>570</x:v>
      </x:c>
      <x:c r="N680" s="20" t="n">
        <x:f>IF(J680=1,0,K680-L680)</x:f>
        <x:v>840</x:v>
      </x:c>
      <x:c r="O680" s="20" t="n">
        <x:f>N680-M680</x:f>
        <x:v>270</x:v>
      </x:c>
    </x:row>
    <x:row r="681" ht="22" customHeight="1">
      <x:c r="A681" s="11" t="n">
        <x:v>677</x:v>
      </x:c>
      <x:c r="B681" s="11" t="n">
        <x:v>339</x:v>
      </x:c>
      <x:c r="C681" s="18" t="n">
        <x:v>45449</x:v>
      </x:c>
      <x:c r="D681" s="11" t="str">
        <x:v>2024-06</x:v>
      </x:c>
      <x:c r="E681" s="11" t="str">
        <x:v>West</x:v>
      </x:c>
      <x:c r="F681" s="11" t="str">
        <x:v>Office Supplies</x:v>
      </x:c>
      <x:c r="G681" s="11" t="str">
        <x:v>Notebook pack</x:v>
      </x:c>
      <x:c r="H681" s="11" t="n">
        <x:v>2</x:v>
      </x:c>
      <x:c r="I681" s="19" t="n">
        <x:v>0.05</x:v>
      </x:c>
      <x:c r="J681" s="11" t="n">
        <x:v>0</x:v>
      </x:c>
      <x:c r="K681" s="20" t="n">
        <x:v>36</x:v>
      </x:c>
      <x:c r="L681" s="20" t="n">
        <x:v>1.8</x:v>
      </x:c>
      <x:c r="M681" s="20" t="n">
        <x:v>14</x:v>
      </x:c>
      <x:c r="N681" s="20" t="n">
        <x:f>IF(J681=1,0,K681-L681)</x:f>
        <x:v>34.2</x:v>
      </x:c>
      <x:c r="O681" s="20" t="n">
        <x:f>N681-M681</x:f>
        <x:v>20.200000000000003</x:v>
      </x:c>
    </x:row>
    <x:row r="682" ht="22" customHeight="1">
      <x:c r="A682" s="11" t="n">
        <x:v>678</x:v>
      </x:c>
      <x:c r="B682" s="11" t="n">
        <x:v>340</x:v>
      </x:c>
      <x:c r="C682" s="18" t="n">
        <x:v>45753</x:v>
      </x:c>
      <x:c r="D682" s="11" t="str">
        <x:v>2025-04</x:v>
      </x:c>
      <x:c r="E682" s="11" t="str">
        <x:v>East</x:v>
      </x:c>
      <x:c r="F682" s="11" t="str">
        <x:v>Technology</x:v>
      </x:c>
      <x:c r="G682" s="11" t="str">
        <x:v>Monitor</x:v>
      </x:c>
      <x:c r="H682" s="11" t="n">
        <x:v>4</x:v>
      </x:c>
      <x:c r="I682" s="19" t="n">
        <x:v>0</x:v>
      </x:c>
      <x:c r="J682" s="11" t="n">
        <x:v>0</x:v>
      </x:c>
      <x:c r="K682" s="20" t="n">
        <x:v>960</x:v>
      </x:c>
      <x:c r="L682" s="20" t="n">
        <x:v>0</x:v>
      </x:c>
      <x:c r="M682" s="20" t="n">
        <x:v>640</x:v>
      </x:c>
      <x:c r="N682" s="20" t="n">
        <x:f>IF(J682=1,0,K682-L682)</x:f>
        <x:v>960</x:v>
      </x:c>
      <x:c r="O682" s="20" t="n">
        <x:f>N682-M682</x:f>
        <x:v>320</x:v>
      </x:c>
    </x:row>
    <x:row r="683" ht="22" customHeight="1">
      <x:c r="A683" s="11" t="n">
        <x:v>679</x:v>
      </x:c>
      <x:c r="B683" s="11" t="n">
        <x:v>340</x:v>
      </x:c>
      <x:c r="C683" s="18" t="n">
        <x:v>45753</x:v>
      </x:c>
      <x:c r="D683" s="11" t="str">
        <x:v>2025-04</x:v>
      </x:c>
      <x:c r="E683" s="11" t="str">
        <x:v>East</x:v>
      </x:c>
      <x:c r="F683" s="11" t="str">
        <x:v>Furniture</x:v>
      </x:c>
      <x:c r="G683" s="11" t="str">
        <x:v>Desk</x:v>
      </x:c>
      <x:c r="H683" s="11" t="n">
        <x:v>5</x:v>
      </x:c>
      <x:c r="I683" s="19" t="n">
        <x:v>0</x:v>
      </x:c>
      <x:c r="J683" s="11" t="n">
        <x:v>0</x:v>
      </x:c>
      <x:c r="K683" s="20" t="n">
        <x:v>1400</x:v>
      </x:c>
      <x:c r="L683" s="20" t="n">
        <x:v>0</x:v>
      </x:c>
      <x:c r="M683" s="20" t="n">
        <x:v>950</x:v>
      </x:c>
      <x:c r="N683" s="20" t="n">
        <x:f>IF(J683=1,0,K683-L683)</x:f>
        <x:v>1400</x:v>
      </x:c>
      <x:c r="O683" s="20" t="n">
        <x:f>N683-M683</x:f>
        <x:v>450</x:v>
      </x:c>
    </x:row>
    <x:row r="684" ht="22" customHeight="1">
      <x:c r="A684" s="11" t="n">
        <x:v>680</x:v>
      </x:c>
      <x:c r="B684" s="11" t="n">
        <x:v>341</x:v>
      </x:c>
      <x:c r="C684" s="18" t="n">
        <x:v>45891</x:v>
      </x:c>
      <x:c r="D684" s="11" t="str">
        <x:v>2025-08</x:v>
      </x:c>
      <x:c r="E684" s="11" t="str">
        <x:v>South</x:v>
      </x:c>
      <x:c r="F684" s="11" t="str">
        <x:v>Office Supplies</x:v>
      </x:c>
      <x:c r="G684" s="11" t="str">
        <x:v>Notebook pack</x:v>
      </x:c>
      <x:c r="H684" s="11" t="n">
        <x:v>3</x:v>
      </x:c>
      <x:c r="I684" s="19" t="n">
        <x:v>0.05</x:v>
      </x:c>
      <x:c r="J684" s="11" t="n">
        <x:v>0</x:v>
      </x:c>
      <x:c r="K684" s="20" t="n">
        <x:v>54</x:v>
      </x:c>
      <x:c r="L684" s="20" t="n">
        <x:v>2.7</x:v>
      </x:c>
      <x:c r="M684" s="20" t="n">
        <x:v>21</x:v>
      </x:c>
      <x:c r="N684" s="20" t="n">
        <x:f>IF(J684=1,0,K684-L684)</x:f>
        <x:v>51.3</x:v>
      </x:c>
      <x:c r="O684" s="20" t="n">
        <x:f>N684-M684</x:f>
        <x:v>30.299999999999997</x:v>
      </x:c>
    </x:row>
    <x:row r="685" ht="22" customHeight="1">
      <x:c r="A685" s="11" t="n">
        <x:v>681</x:v>
      </x:c>
      <x:c r="B685" s="11" t="n">
        <x:v>341</x:v>
      </x:c>
      <x:c r="C685" s="18" t="n">
        <x:v>45891</x:v>
      </x:c>
      <x:c r="D685" s="11" t="str">
        <x:v>2025-08</x:v>
      </x:c>
      <x:c r="E685" s="11" t="str">
        <x:v>South</x:v>
      </x:c>
      <x:c r="F685" s="11" t="str">
        <x:v>Furniture</x:v>
      </x:c>
      <x:c r="G685" s="11" t="str">
        <x:v>Desk</x:v>
      </x:c>
      <x:c r="H685" s="11" t="n">
        <x:v>3</x:v>
      </x:c>
      <x:c r="I685" s="19" t="n">
        <x:v>0.35</x:v>
      </x:c>
      <x:c r="J685" s="11" t="n">
        <x:v>0</x:v>
      </x:c>
      <x:c r="K685" s="20" t="n">
        <x:v>840</x:v>
      </x:c>
      <x:c r="L685" s="20" t="n">
        <x:v>294</x:v>
      </x:c>
      <x:c r="M685" s="20" t="n">
        <x:v>570</x:v>
      </x:c>
      <x:c r="N685" s="20" t="n">
        <x:f>IF(J685=1,0,K685-L685)</x:f>
        <x:v>546</x:v>
      </x:c>
      <x:c r="O685" s="20" t="n">
        <x:f>N685-M685</x:f>
        <x:v>-24</x:v>
      </x:c>
    </x:row>
    <x:row r="686" ht="22" customHeight="1">
      <x:c r="A686" s="11" t="n">
        <x:v>682</x:v>
      </x:c>
      <x:c r="B686" s="11" t="n">
        <x:v>342</x:v>
      </x:c>
      <x:c r="C686" s="18" t="n">
        <x:v>45968</x:v>
      </x:c>
      <x:c r="D686" s="11" t="str">
        <x:v>2025-11</x:v>
      </x:c>
      <x:c r="E686" s="11" t="str">
        <x:v>East</x:v>
      </x:c>
      <x:c r="F686" s="11" t="str">
        <x:v>Office Supplies</x:v>
      </x:c>
      <x:c r="G686" s="11" t="str">
        <x:v>Notebook pack</x:v>
      </x:c>
      <x:c r="H686" s="11" t="n">
        <x:v>2</x:v>
      </x:c>
      <x:c r="I686" s="19" t="n">
        <x:v>0</x:v>
      </x:c>
      <x:c r="J686" s="11" t="n">
        <x:v>0</x:v>
      </x:c>
      <x:c r="K686" s="20" t="n">
        <x:v>36</x:v>
      </x:c>
      <x:c r="L686" s="20" t="n">
        <x:v>0</x:v>
      </x:c>
      <x:c r="M686" s="20" t="n">
        <x:v>14</x:v>
      </x:c>
      <x:c r="N686" s="20" t="n">
        <x:f>IF(J686=1,0,K686-L686)</x:f>
        <x:v>36</x:v>
      </x:c>
      <x:c r="O686" s="20" t="n">
        <x:f>N686-M686</x:f>
        <x:v>22</x:v>
      </x:c>
    </x:row>
    <x:row r="687" ht="22" customHeight="1">
      <x:c r="A687" s="11" t="n">
        <x:v>683</x:v>
      </x:c>
      <x:c r="B687" s="11" t="n">
        <x:v>343</x:v>
      </x:c>
      <x:c r="C687" s="18" t="n">
        <x:v>45850</x:v>
      </x:c>
      <x:c r="D687" s="11" t="str">
        <x:v>2025-07</x:v>
      </x:c>
      <x:c r="E687" s="11" t="str">
        <x:v>West</x:v>
      </x:c>
      <x:c r="F687" s="11" t="str">
        <x:v>Office Supplies</x:v>
      </x:c>
      <x:c r="G687" s="11" t="str">
        <x:v>Storage box</x:v>
      </x:c>
      <x:c r="H687" s="11" t="n">
        <x:v>1</x:v>
      </x:c>
      <x:c r="I687" s="19" t="n">
        <x:v>0.15</x:v>
      </x:c>
      <x:c r="J687" s="11" t="n">
        <x:v>0</x:v>
      </x:c>
      <x:c r="K687" s="20" t="n">
        <x:v>26</x:v>
      </x:c>
      <x:c r="L687" s="20" t="n">
        <x:v>3.9</x:v>
      </x:c>
      <x:c r="M687" s="20" t="n">
        <x:v>12</x:v>
      </x:c>
      <x:c r="N687" s="20" t="n">
        <x:f>IF(J687=1,0,K687-L687)</x:f>
        <x:v>22.1</x:v>
      </x:c>
      <x:c r="O687" s="20" t="n">
        <x:f>N687-M687</x:f>
        <x:v>10.100000000000001</x:v>
      </x:c>
    </x:row>
    <x:row r="688" ht="22" customHeight="1">
      <x:c r="A688" s="11" t="n">
        <x:v>684</x:v>
      </x:c>
      <x:c r="B688" s="11" t="n">
        <x:v>343</x:v>
      </x:c>
      <x:c r="C688" s="18" t="n">
        <x:v>45850</x:v>
      </x:c>
      <x:c r="D688" s="11" t="str">
        <x:v>2025-07</x:v>
      </x:c>
      <x:c r="E688" s="11" t="str">
        <x:v>West</x:v>
      </x:c>
      <x:c r="F688" s="11" t="str">
        <x:v>Technology</x:v>
      </x:c>
      <x:c r="G688" s="11" t="str">
        <x:v>Monitor</x:v>
      </x:c>
      <x:c r="H688" s="11" t="n">
        <x:v>2</x:v>
      </x:c>
      <x:c r="I688" s="19" t="n">
        <x:v>0</x:v>
      </x:c>
      <x:c r="J688" s="11" t="n">
        <x:v>1</x:v>
      </x:c>
      <x:c r="K688" s="20" t="n">
        <x:v>480</x:v>
      </x:c>
      <x:c r="L688" s="20" t="n">
        <x:v>0</x:v>
      </x:c>
      <x:c r="M688" s="20" t="n">
        <x:v>0</x:v>
      </x:c>
      <x:c r="N688" s="20" t="n">
        <x:f>IF(J688=1,0,K688-L688)</x:f>
        <x:v>0</x:v>
      </x:c>
      <x:c r="O688" s="20" t="n">
        <x:f>N688-M688</x:f>
        <x:v>0</x:v>
      </x:c>
    </x:row>
    <x:row r="689" ht="22" customHeight="1">
      <x:c r="A689" s="11" t="n">
        <x:v>685</x:v>
      </x:c>
      <x:c r="B689" s="11" t="n">
        <x:v>344</x:v>
      </x:c>
      <x:c r="C689" s="18" t="n">
        <x:v>45878</x:v>
      </x:c>
      <x:c r="D689" s="11" t="str">
        <x:v>2025-08</x:v>
      </x:c>
      <x:c r="E689" s="11" t="str">
        <x:v>West</x:v>
      </x:c>
      <x:c r="F689" s="11" t="str">
        <x:v>Office Supplies</x:v>
      </x:c>
      <x:c r="G689" s="11" t="str">
        <x:v>Notebook pack</x:v>
      </x:c>
      <x:c r="H689" s="11" t="n">
        <x:v>2</x:v>
      </x:c>
      <x:c r="I689" s="19" t="n">
        <x:v>0.05</x:v>
      </x:c>
      <x:c r="J689" s="11" t="n">
        <x:v>0</x:v>
      </x:c>
      <x:c r="K689" s="20" t="n">
        <x:v>36</x:v>
      </x:c>
      <x:c r="L689" s="20" t="n">
        <x:v>1.8</x:v>
      </x:c>
      <x:c r="M689" s="20" t="n">
        <x:v>14</x:v>
      </x:c>
      <x:c r="N689" s="20" t="n">
        <x:f>IF(J689=1,0,K689-L689)</x:f>
        <x:v>34.2</x:v>
      </x:c>
      <x:c r="O689" s="20" t="n">
        <x:f>N689-M689</x:f>
        <x:v>20.200000000000003</x:v>
      </x:c>
    </x:row>
    <x:row r="690" ht="22" customHeight="1">
      <x:c r="A690" s="11" t="n">
        <x:v>686</x:v>
      </x:c>
      <x:c r="B690" s="11" t="n">
        <x:v>344</x:v>
      </x:c>
      <x:c r="C690" s="18" t="n">
        <x:v>45878</x:v>
      </x:c>
      <x:c r="D690" s="11" t="str">
        <x:v>2025-08</x:v>
      </x:c>
      <x:c r="E690" s="11" t="str">
        <x:v>West</x:v>
      </x:c>
      <x:c r="F690" s="11" t="str">
        <x:v>Furniture</x:v>
      </x:c>
      <x:c r="G690" s="11" t="str">
        <x:v>Desk</x:v>
      </x:c>
      <x:c r="H690" s="11" t="n">
        <x:v>5</x:v>
      </x:c>
      <x:c r="I690" s="19" t="n">
        <x:v>0</x:v>
      </x:c>
      <x:c r="J690" s="11" t="n">
        <x:v>0</x:v>
      </x:c>
      <x:c r="K690" s="20" t="n">
        <x:v>1400</x:v>
      </x:c>
      <x:c r="L690" s="20" t="n">
        <x:v>0</x:v>
      </x:c>
      <x:c r="M690" s="20" t="n">
        <x:v>950</x:v>
      </x:c>
      <x:c r="N690" s="20" t="n">
        <x:f>IF(J690=1,0,K690-L690)</x:f>
        <x:v>1400</x:v>
      </x:c>
      <x:c r="O690" s="20" t="n">
        <x:f>N690-M690</x:f>
        <x:v>450</x:v>
      </x:c>
    </x:row>
    <x:row r="691" ht="22" customHeight="1">
      <x:c r="A691" s="11" t="n">
        <x:v>687</x:v>
      </x:c>
      <x:c r="B691" s="11" t="n">
        <x:v>344</x:v>
      </x:c>
      <x:c r="C691" s="18" t="n">
        <x:v>45878</x:v>
      </x:c>
      <x:c r="D691" s="11" t="str">
        <x:v>2025-08</x:v>
      </x:c>
      <x:c r="E691" s="11" t="str">
        <x:v>West</x:v>
      </x:c>
      <x:c r="F691" s="11" t="str">
        <x:v>Technology</x:v>
      </x:c>
      <x:c r="G691" s="11" t="str">
        <x:v>Monitor</x:v>
      </x:c>
      <x:c r="H691" s="11" t="n">
        <x:v>2</x:v>
      </x:c>
      <x:c r="I691" s="19" t="n">
        <x:v>0.15</x:v>
      </x:c>
      <x:c r="J691" s="11" t="n">
        <x:v>0</x:v>
      </x:c>
      <x:c r="K691" s="20" t="n">
        <x:v>480</x:v>
      </x:c>
      <x:c r="L691" s="20" t="n">
        <x:v>72</x:v>
      </x:c>
      <x:c r="M691" s="20" t="n">
        <x:v>320</x:v>
      </x:c>
      <x:c r="N691" s="20" t="n">
        <x:f>IF(J691=1,0,K691-L691)</x:f>
        <x:v>408</x:v>
      </x:c>
      <x:c r="O691" s="20" t="n">
        <x:f>N691-M691</x:f>
        <x:v>88</x:v>
      </x:c>
    </x:row>
    <x:row r="692" ht="22" customHeight="1">
      <x:c r="A692" s="11" t="n">
        <x:v>688</x:v>
      </x:c>
      <x:c r="B692" s="11" t="n">
        <x:v>345</x:v>
      </x:c>
      <x:c r="C692" s="18" t="n">
        <x:v>45490</x:v>
      </x:c>
      <x:c r="D692" s="11" t="str">
        <x:v>2024-07</x:v>
      </x:c>
      <x:c r="E692" s="11" t="str">
        <x:v>Central</x:v>
      </x:c>
      <x:c r="F692" s="11" t="str">
        <x:v>Office Supplies</x:v>
      </x:c>
      <x:c r="G692" s="11" t="str">
        <x:v>Notebook pack</x:v>
      </x:c>
      <x:c r="H692" s="11" t="n">
        <x:v>5</x:v>
      </x:c>
      <x:c r="I692" s="19" t="n">
        <x:v>0</x:v>
      </x:c>
      <x:c r="J692" s="11" t="n">
        <x:v>0</x:v>
      </x:c>
      <x:c r="K692" s="20" t="n">
        <x:v>90</x:v>
      </x:c>
      <x:c r="L692" s="20" t="n">
        <x:v>0</x:v>
      </x:c>
      <x:c r="M692" s="20" t="n">
        <x:v>35</x:v>
      </x:c>
      <x:c r="N692" s="20" t="n">
        <x:f>IF(J692=1,0,K692-L692)</x:f>
        <x:v>90</x:v>
      </x:c>
      <x:c r="O692" s="20" t="n">
        <x:f>N692-M692</x:f>
        <x:v>55</x:v>
      </x:c>
    </x:row>
    <x:row r="693" ht="22" customHeight="1">
      <x:c r="A693" s="11" t="n">
        <x:v>689</x:v>
      </x:c>
      <x:c r="B693" s="11" t="n">
        <x:v>345</x:v>
      </x:c>
      <x:c r="C693" s="18" t="n">
        <x:v>45490</x:v>
      </x:c>
      <x:c r="D693" s="11" t="str">
        <x:v>2024-07</x:v>
      </x:c>
      <x:c r="E693" s="11" t="str">
        <x:v>Central</x:v>
      </x:c>
      <x:c r="F693" s="11" t="str">
        <x:v>Furniture</x:v>
      </x:c>
      <x:c r="G693" s="11" t="str">
        <x:v>Desk</x:v>
      </x:c>
      <x:c r="H693" s="11" t="n">
        <x:v>1</x:v>
      </x:c>
      <x:c r="I693" s="19" t="n">
        <x:v>0.1</x:v>
      </x:c>
      <x:c r="J693" s="11" t="n">
        <x:v>0</x:v>
      </x:c>
      <x:c r="K693" s="20" t="n">
        <x:v>280</x:v>
      </x:c>
      <x:c r="L693" s="20" t="n">
        <x:v>28</x:v>
      </x:c>
      <x:c r="M693" s="20" t="n">
        <x:v>190</x:v>
      </x:c>
      <x:c r="N693" s="20" t="n">
        <x:f>IF(J693=1,0,K693-L693)</x:f>
        <x:v>252</x:v>
      </x:c>
      <x:c r="O693" s="20" t="n">
        <x:f>N693-M693</x:f>
        <x:v>62</x:v>
      </x:c>
    </x:row>
    <x:row r="694" ht="22" customHeight="1">
      <x:c r="A694" s="11" t="n">
        <x:v>690</x:v>
      </x:c>
      <x:c r="B694" s="11" t="n">
        <x:v>345</x:v>
      </x:c>
      <x:c r="C694" s="18" t="n">
        <x:v>45490</x:v>
      </x:c>
      <x:c r="D694" s="11" t="str">
        <x:v>2024-07</x:v>
      </x:c>
      <x:c r="E694" s="11" t="str">
        <x:v>Central</x:v>
      </x:c>
      <x:c r="F694" s="11" t="str">
        <x:v>Technology</x:v>
      </x:c>
      <x:c r="G694" s="11" t="str">
        <x:v>Keyboard</x:v>
      </x:c>
      <x:c r="H694" s="11" t="n">
        <x:v>5</x:v>
      </x:c>
      <x:c r="I694" s="19" t="n">
        <x:v>0.1</x:v>
      </x:c>
      <x:c r="J694" s="11" t="n">
        <x:v>0</x:v>
      </x:c>
      <x:c r="K694" s="20" t="n">
        <x:v>325</x:v>
      </x:c>
      <x:c r="L694" s="20" t="n">
        <x:v>32.5</x:v>
      </x:c>
      <x:c r="M694" s="20" t="n">
        <x:v>160</x:v>
      </x:c>
      <x:c r="N694" s="20" t="n">
        <x:f>IF(J694=1,0,K694-L694)</x:f>
        <x:v>292.5</x:v>
      </x:c>
      <x:c r="O694" s="20" t="n">
        <x:f>N694-M694</x:f>
        <x:v>132.5</x:v>
      </x:c>
    </x:row>
    <x:row r="695" ht="22" customHeight="1">
      <x:c r="A695" s="11" t="n">
        <x:v>691</x:v>
      </x:c>
      <x:c r="B695" s="11" t="n">
        <x:v>346</x:v>
      </x:c>
      <x:c r="C695" s="18" t="n">
        <x:v>45657</x:v>
      </x:c>
      <x:c r="D695" s="11" t="str">
        <x:v>2024-12</x:v>
      </x:c>
      <x:c r="E695" s="11" t="str">
        <x:v>South</x:v>
      </x:c>
      <x:c r="F695" s="11" t="str">
        <x:v>Technology</x:v>
      </x:c>
      <x:c r="G695" s="11" t="str">
        <x:v>Monitor</x:v>
      </x:c>
      <x:c r="H695" s="11" t="n">
        <x:v>5</x:v>
      </x:c>
      <x:c r="I695" s="19" t="n">
        <x:v>0</x:v>
      </x:c>
      <x:c r="J695" s="11" t="n">
        <x:v>0</x:v>
      </x:c>
      <x:c r="K695" s="20" t="n">
        <x:v>1200</x:v>
      </x:c>
      <x:c r="L695" s="20" t="n">
        <x:v>0</x:v>
      </x:c>
      <x:c r="M695" s="20" t="n">
        <x:v>800</x:v>
      </x:c>
      <x:c r="N695" s="20" t="n">
        <x:f>IF(J695=1,0,K695-L695)</x:f>
        <x:v>1200</x:v>
      </x:c>
      <x:c r="O695" s="20" t="n">
        <x:f>N695-M695</x:f>
        <x:v>400</x:v>
      </x:c>
    </x:row>
    <x:row r="696" ht="22" customHeight="1">
      <x:c r="A696" s="11" t="n">
        <x:v>692</x:v>
      </x:c>
      <x:c r="B696" s="11" t="n">
        <x:v>347</x:v>
      </x:c>
      <x:c r="C696" s="18" t="n">
        <x:v>45617</x:v>
      </x:c>
      <x:c r="D696" s="11" t="str">
        <x:v>2024-11</x:v>
      </x:c>
      <x:c r="E696" s="11" t="str">
        <x:v>Central</x:v>
      </x:c>
      <x:c r="F696" s="11" t="str">
        <x:v>Office Supplies</x:v>
      </x:c>
      <x:c r="G696" s="11" t="str">
        <x:v>Notebook pack</x:v>
      </x:c>
      <x:c r="H696" s="11" t="n">
        <x:v>5</x:v>
      </x:c>
      <x:c r="I696" s="19" t="n">
        <x:v>0</x:v>
      </x:c>
      <x:c r="J696" s="11" t="n">
        <x:v>0</x:v>
      </x:c>
      <x:c r="K696" s="20" t="n">
        <x:v>90</x:v>
      </x:c>
      <x:c r="L696" s="20" t="n">
        <x:v>0</x:v>
      </x:c>
      <x:c r="M696" s="20" t="n">
        <x:v>35</x:v>
      </x:c>
      <x:c r="N696" s="20" t="n">
        <x:f>IF(J696=1,0,K696-L696)</x:f>
        <x:v>90</x:v>
      </x:c>
      <x:c r="O696" s="20" t="n">
        <x:f>N696-M696</x:f>
        <x:v>55</x:v>
      </x:c>
    </x:row>
    <x:row r="697" ht="22" customHeight="1">
      <x:c r="A697" s="11" t="n">
        <x:v>693</x:v>
      </x:c>
      <x:c r="B697" s="11" t="n">
        <x:v>347</x:v>
      </x:c>
      <x:c r="C697" s="18" t="n">
        <x:v>45617</x:v>
      </x:c>
      <x:c r="D697" s="11" t="str">
        <x:v>2024-11</x:v>
      </x:c>
      <x:c r="E697" s="11" t="str">
        <x:v>Central</x:v>
      </x:c>
      <x:c r="F697" s="11" t="str">
        <x:v>Technology</x:v>
      </x:c>
      <x:c r="G697" s="11" t="str">
        <x:v>Monitor</x:v>
      </x:c>
      <x:c r="H697" s="11" t="n">
        <x:v>3</x:v>
      </x:c>
      <x:c r="I697" s="19" t="n">
        <x:v>0.05</x:v>
      </x:c>
      <x:c r="J697" s="11" t="n">
        <x:v>0</x:v>
      </x:c>
      <x:c r="K697" s="20" t="n">
        <x:v>720</x:v>
      </x:c>
      <x:c r="L697" s="20" t="n">
        <x:v>36</x:v>
      </x:c>
      <x:c r="M697" s="20" t="n">
        <x:v>480</x:v>
      </x:c>
      <x:c r="N697" s="20" t="n">
        <x:f>IF(J697=1,0,K697-L697)</x:f>
        <x:v>684</x:v>
      </x:c>
      <x:c r="O697" s="20" t="n">
        <x:f>N697-M697</x:f>
        <x:v>204</x:v>
      </x:c>
    </x:row>
    <x:row r="698" ht="22" customHeight="1">
      <x:c r="A698" s="11" t="n">
        <x:v>694</x:v>
      </x:c>
      <x:c r="B698" s="11" t="n">
        <x:v>348</x:v>
      </x:c>
      <x:c r="C698" s="18" t="n">
        <x:v>45464</x:v>
      </x:c>
      <x:c r="D698" s="11" t="str">
        <x:v>2024-06</x:v>
      </x:c>
      <x:c r="E698" s="11" t="str">
        <x:v>Central</x:v>
      </x:c>
      <x:c r="F698" s="11" t="str">
        <x:v>Furniture</x:v>
      </x:c>
      <x:c r="G698" s="11" t="str">
        <x:v>Chair</x:v>
      </x:c>
      <x:c r="H698" s="11" t="n">
        <x:v>4</x:v>
      </x:c>
      <x:c r="I698" s="19" t="n">
        <x:v>0.1</x:v>
      </x:c>
      <x:c r="J698" s="11" t="n">
        <x:v>0</x:v>
      </x:c>
      <x:c r="K698" s="20" t="n">
        <x:v>680</x:v>
      </x:c>
      <x:c r="L698" s="20" t="n">
        <x:v>68</x:v>
      </x:c>
      <x:c r="M698" s="20" t="n">
        <x:v>440</x:v>
      </x:c>
      <x:c r="N698" s="20" t="n">
        <x:f>IF(J698=1,0,K698-L698)</x:f>
        <x:v>612</x:v>
      </x:c>
      <x:c r="O698" s="20" t="n">
        <x:f>N698-M698</x:f>
        <x:v>172</x:v>
      </x:c>
    </x:row>
    <x:row r="699" ht="22" customHeight="1">
      <x:c r="A699" s="11" t="n">
        <x:v>695</x:v>
      </x:c>
      <x:c r="B699" s="11" t="n">
        <x:v>349</x:v>
      </x:c>
      <x:c r="C699" s="18" t="n">
        <x:v>45429</x:v>
      </x:c>
      <x:c r="D699" s="11" t="str">
        <x:v>2024-05</x:v>
      </x:c>
      <x:c r="E699" s="11" t="str">
        <x:v>Central</x:v>
      </x:c>
      <x:c r="F699" s="11" t="str">
        <x:v>Technology</x:v>
      </x:c>
      <x:c r="G699" s="11" t="str">
        <x:v>Keyboard</x:v>
      </x:c>
      <x:c r="H699" s="11" t="n">
        <x:v>3</x:v>
      </x:c>
      <x:c r="I699" s="19" t="n">
        <x:v>0.05</x:v>
      </x:c>
      <x:c r="J699" s="11" t="n">
        <x:v>0</x:v>
      </x:c>
      <x:c r="K699" s="20" t="n">
        <x:v>195</x:v>
      </x:c>
      <x:c r="L699" s="20" t="n">
        <x:v>9.75</x:v>
      </x:c>
      <x:c r="M699" s="20" t="n">
        <x:v>96</x:v>
      </x:c>
      <x:c r="N699" s="20" t="n">
        <x:f>IF(J699=1,0,K699-L699)</x:f>
        <x:v>185.25</x:v>
      </x:c>
      <x:c r="O699" s="20" t="n">
        <x:f>N699-M699</x:f>
        <x:v>89.25</x:v>
      </x:c>
    </x:row>
    <x:row r="700" ht="22" customHeight="1">
      <x:c r="A700" s="11" t="n">
        <x:v>696</x:v>
      </x:c>
      <x:c r="B700" s="11" t="n">
        <x:v>349</x:v>
      </x:c>
      <x:c r="C700" s="18" t="n">
        <x:v>45429</x:v>
      </x:c>
      <x:c r="D700" s="11" t="str">
        <x:v>2024-05</x:v>
      </x:c>
      <x:c r="E700" s="11" t="str">
        <x:v>Central</x:v>
      </x:c>
      <x:c r="F700" s="11" t="str">
        <x:v>Office Supplies</x:v>
      </x:c>
      <x:c r="G700" s="11" t="str">
        <x:v>Storage box</x:v>
      </x:c>
      <x:c r="H700" s="11" t="n">
        <x:v>1</x:v>
      </x:c>
      <x:c r="I700" s="19" t="n">
        <x:v>0</x:v>
      </x:c>
      <x:c r="J700" s="11" t="n">
        <x:v>0</x:v>
      </x:c>
      <x:c r="K700" s="20" t="n">
        <x:v>26</x:v>
      </x:c>
      <x:c r="L700" s="20" t="n">
        <x:v>0</x:v>
      </x:c>
      <x:c r="M700" s="20" t="n">
        <x:v>12</x:v>
      </x:c>
      <x:c r="N700" s="20" t="n">
        <x:f>IF(J700=1,0,K700-L700)</x:f>
        <x:v>26</x:v>
      </x:c>
      <x:c r="O700" s="20" t="n">
        <x:f>N700-M700</x:f>
        <x:v>14</x:v>
      </x:c>
    </x:row>
    <x:row r="701" ht="22" customHeight="1">
      <x:c r="A701" s="11" t="n">
        <x:v>697</x:v>
      </x:c>
      <x:c r="B701" s="11" t="n">
        <x:v>350</x:v>
      </x:c>
      <x:c r="C701" s="18" t="n">
        <x:v>45375</x:v>
      </x:c>
      <x:c r="D701" s="11" t="str">
        <x:v>2024-03</x:v>
      </x:c>
      <x:c r="E701" s="11" t="str">
        <x:v>West</x:v>
      </x:c>
      <x:c r="F701" s="11" t="str">
        <x:v>Furniture</x:v>
      </x:c>
      <x:c r="G701" s="11" t="str">
        <x:v>Chair</x:v>
      </x:c>
      <x:c r="H701" s="11" t="n">
        <x:v>1</x:v>
      </x:c>
      <x:c r="I701" s="19" t="n">
        <x:v>0</x:v>
      </x:c>
      <x:c r="J701" s="11" t="n">
        <x:v>0</x:v>
      </x:c>
      <x:c r="K701" s="20" t="n">
        <x:v>170</x:v>
      </x:c>
      <x:c r="L701" s="20" t="n">
        <x:v>0</x:v>
      </x:c>
      <x:c r="M701" s="20" t="n">
        <x:v>110</x:v>
      </x:c>
      <x:c r="N701" s="20" t="n">
        <x:f>IF(J701=1,0,K701-L701)</x:f>
        <x:v>170</x:v>
      </x:c>
      <x:c r="O701" s="20" t="n">
        <x:f>N701-M701</x:f>
        <x:v>60</x:v>
      </x:c>
    </x:row>
    <x:row r="702" ht="22" customHeight="1">
      <x:c r="A702" s="11" t="n">
        <x:v>698</x:v>
      </x:c>
      <x:c r="B702" s="11" t="n">
        <x:v>350</x:v>
      </x:c>
      <x:c r="C702" s="18" t="n">
        <x:v>45375</x:v>
      </x:c>
      <x:c r="D702" s="11" t="str">
        <x:v>2024-03</x:v>
      </x:c>
      <x:c r="E702" s="11" t="str">
        <x:v>West</x:v>
      </x:c>
      <x:c r="F702" s="11" t="str">
        <x:v>Technology</x:v>
      </x:c>
      <x:c r="G702" s="11" t="str">
        <x:v>Monitor</x:v>
      </x:c>
      <x:c r="H702" s="11" t="n">
        <x:v>1</x:v>
      </x:c>
      <x:c r="I702" s="19" t="n">
        <x:v>0.15</x:v>
      </x:c>
      <x:c r="J702" s="11" t="n">
        <x:v>0</x:v>
      </x:c>
      <x:c r="K702" s="20" t="n">
        <x:v>240</x:v>
      </x:c>
      <x:c r="L702" s="20" t="n">
        <x:v>36</x:v>
      </x:c>
      <x:c r="M702" s="20" t="n">
        <x:v>160</x:v>
      </x:c>
      <x:c r="N702" s="20" t="n">
        <x:f>IF(J702=1,0,K702-L702)</x:f>
        <x:v>204</x:v>
      </x:c>
      <x:c r="O702" s="20" t="n">
        <x:f>N702-M702</x:f>
        <x:v>44</x:v>
      </x:c>
    </x:row>
    <x:row r="703" ht="22" customHeight="1">
      <x:c r="A703" s="11" t="n">
        <x:v>699</x:v>
      </x:c>
      <x:c r="B703" s="11" t="n">
        <x:v>350</x:v>
      </x:c>
      <x:c r="C703" s="18" t="n">
        <x:v>45375</x:v>
      </x:c>
      <x:c r="D703" s="11" t="str">
        <x:v>2024-03</x:v>
      </x:c>
      <x:c r="E703" s="11" t="str">
        <x:v>West</x:v>
      </x:c>
      <x:c r="F703" s="11" t="str">
        <x:v>Furniture</x:v>
      </x:c>
      <x:c r="G703" s="11" t="str">
        <x:v>Desk</x:v>
      </x:c>
      <x:c r="H703" s="11" t="n">
        <x:v>5</x:v>
      </x:c>
      <x:c r="I703" s="19" t="n">
        <x:v>0.05</x:v>
      </x:c>
      <x:c r="J703" s="11" t="n">
        <x:v>0</x:v>
      </x:c>
      <x:c r="K703" s="20" t="n">
        <x:v>1400</x:v>
      </x:c>
      <x:c r="L703" s="20" t="n">
        <x:v>70</x:v>
      </x:c>
      <x:c r="M703" s="20" t="n">
        <x:v>950</x:v>
      </x:c>
      <x:c r="N703" s="20" t="n">
        <x:f>IF(J703=1,0,K703-L703)</x:f>
        <x:v>1330</x:v>
      </x:c>
      <x:c r="O703" s="20" t="n">
        <x:f>N703-M703</x:f>
        <x:v>380</x:v>
      </x:c>
    </x:row>
    <x:row r="704" ht="22" customHeight="1">
      <x:c r="A704" s="11" t="n">
        <x:v>700</x:v>
      </x:c>
      <x:c r="B704" s="11" t="n">
        <x:v>351</x:v>
      </x:c>
      <x:c r="C704" s="18" t="n">
        <x:v>45856</x:v>
      </x:c>
      <x:c r="D704" s="11" t="str">
        <x:v>2025-07</x:v>
      </x:c>
      <x:c r="E704" s="11" t="str">
        <x:v>East</x:v>
      </x:c>
      <x:c r="F704" s="11" t="str">
        <x:v>Furniture</x:v>
      </x:c>
      <x:c r="G704" s="11" t="str">
        <x:v>Chair</x:v>
      </x:c>
      <x:c r="H704" s="11" t="n">
        <x:v>2</x:v>
      </x:c>
      <x:c r="I704" s="19" t="n">
        <x:v>0.1</x:v>
      </x:c>
      <x:c r="J704" s="11" t="n">
        <x:v>0</x:v>
      </x:c>
      <x:c r="K704" s="20" t="n">
        <x:v>340</x:v>
      </x:c>
      <x:c r="L704" s="20" t="n">
        <x:v>34</x:v>
      </x:c>
      <x:c r="M704" s="20" t="n">
        <x:v>220</x:v>
      </x:c>
      <x:c r="N704" s="20" t="n">
        <x:f>IF(J704=1,0,K704-L704)</x:f>
        <x:v>306</x:v>
      </x:c>
      <x:c r="O704" s="20" t="n">
        <x:f>N704-M704</x:f>
        <x:v>86</x:v>
      </x:c>
    </x:row>
    <x:row r="705" ht="22" customHeight="1">
      <x:c r="A705" s="11" t="n">
        <x:v>701</x:v>
      </x:c>
      <x:c r="B705" s="11" t="n">
        <x:v>351</x:v>
      </x:c>
      <x:c r="C705" s="18" t="n">
        <x:v>45856</x:v>
      </x:c>
      <x:c r="D705" s="11" t="str">
        <x:v>2025-07</x:v>
      </x:c>
      <x:c r="E705" s="11" t="str">
        <x:v>East</x:v>
      </x:c>
      <x:c r="F705" s="11" t="str">
        <x:v>Technology</x:v>
      </x:c>
      <x:c r="G705" s="11" t="str">
        <x:v>Monitor</x:v>
      </x:c>
      <x:c r="H705" s="11" t="n">
        <x:v>5</x:v>
      </x:c>
      <x:c r="I705" s="19" t="n">
        <x:v>0.15</x:v>
      </x:c>
      <x:c r="J705" s="11" t="n">
        <x:v>0</x:v>
      </x:c>
      <x:c r="K705" s="20" t="n">
        <x:v>1200</x:v>
      </x:c>
      <x:c r="L705" s="20" t="n">
        <x:v>180</x:v>
      </x:c>
      <x:c r="M705" s="20" t="n">
        <x:v>800</x:v>
      </x:c>
      <x:c r="N705" s="20" t="n">
        <x:f>IF(J705=1,0,K705-L705)</x:f>
        <x:v>1020</x:v>
      </x:c>
      <x:c r="O705" s="20" t="n">
        <x:f>N705-M705</x:f>
        <x:v>220</x:v>
      </x:c>
    </x:row>
    <x:row r="706" ht="22" customHeight="1">
      <x:c r="A706" s="11" t="n">
        <x:v>702</x:v>
      </x:c>
      <x:c r="B706" s="11" t="n">
        <x:v>351</x:v>
      </x:c>
      <x:c r="C706" s="18" t="n">
        <x:v>45856</x:v>
      </x:c>
      <x:c r="D706" s="11" t="str">
        <x:v>2025-07</x:v>
      </x:c>
      <x:c r="E706" s="11" t="str">
        <x:v>East</x:v>
      </x:c>
      <x:c r="F706" s="11" t="str">
        <x:v>Technology</x:v>
      </x:c>
      <x:c r="G706" s="11" t="str">
        <x:v>Keyboard</x:v>
      </x:c>
      <x:c r="H706" s="11" t="n">
        <x:v>3</x:v>
      </x:c>
      <x:c r="I706" s="19" t="n">
        <x:v>0.15</x:v>
      </x:c>
      <x:c r="J706" s="11" t="n">
        <x:v>1</x:v>
      </x:c>
      <x:c r="K706" s="20" t="n">
        <x:v>195</x:v>
      </x:c>
      <x:c r="L706" s="20" t="n">
        <x:v>29.25</x:v>
      </x:c>
      <x:c r="M706" s="20" t="n">
        <x:v>0</x:v>
      </x:c>
      <x:c r="N706" s="20" t="n">
        <x:f>IF(J706=1,0,K706-L706)</x:f>
        <x:v>0</x:v>
      </x:c>
      <x:c r="O706" s="20" t="n">
        <x:f>N706-M706</x:f>
        <x:v>0</x:v>
      </x:c>
    </x:row>
    <x:row r="707" ht="22" customHeight="1">
      <x:c r="A707" s="11" t="n">
        <x:v>703</x:v>
      </x:c>
      <x:c r="B707" s="11" t="n">
        <x:v>352</x:v>
      </x:c>
      <x:c r="C707" s="18" t="n">
        <x:v>45536</x:v>
      </x:c>
      <x:c r="D707" s="11" t="str">
        <x:v>2024-09</x:v>
      </x:c>
      <x:c r="E707" s="11" t="str">
        <x:v>East</x:v>
      </x:c>
      <x:c r="F707" s="11" t="str">
        <x:v>Furniture</x:v>
      </x:c>
      <x:c r="G707" s="11" t="str">
        <x:v>Chair</x:v>
      </x:c>
      <x:c r="H707" s="11" t="n">
        <x:v>2</x:v>
      </x:c>
      <x:c r="I707" s="19" t="n">
        <x:v>0</x:v>
      </x:c>
      <x:c r="J707" s="11" t="n">
        <x:v>0</x:v>
      </x:c>
      <x:c r="K707" s="20" t="n">
        <x:v>340</x:v>
      </x:c>
      <x:c r="L707" s="20" t="n">
        <x:v>0</x:v>
      </x:c>
      <x:c r="M707" s="20" t="n">
        <x:v>220</x:v>
      </x:c>
      <x:c r="N707" s="20" t="n">
        <x:f>IF(J707=1,0,K707-L707)</x:f>
        <x:v>340</x:v>
      </x:c>
      <x:c r="O707" s="20" t="n">
        <x:f>N707-M707</x:f>
        <x:v>120</x:v>
      </x:c>
    </x:row>
    <x:row r="708" ht="22" customHeight="1">
      <x:c r="A708" s="11" t="n">
        <x:v>704</x:v>
      </x:c>
      <x:c r="B708" s="11" t="n">
        <x:v>352</x:v>
      </x:c>
      <x:c r="C708" s="18" t="n">
        <x:v>45536</x:v>
      </x:c>
      <x:c r="D708" s="11" t="str">
        <x:v>2024-09</x:v>
      </x:c>
      <x:c r="E708" s="11" t="str">
        <x:v>East</x:v>
      </x:c>
      <x:c r="F708" s="11" t="str">
        <x:v>Technology</x:v>
      </x:c>
      <x:c r="G708" s="11" t="str">
        <x:v>Keyboard</x:v>
      </x:c>
      <x:c r="H708" s="11" t="n">
        <x:v>4</x:v>
      </x:c>
      <x:c r="I708" s="19" t="n">
        <x:v>0.05</x:v>
      </x:c>
      <x:c r="J708" s="11" t="n">
        <x:v>1</x:v>
      </x:c>
      <x:c r="K708" s="20" t="n">
        <x:v>260</x:v>
      </x:c>
      <x:c r="L708" s="20" t="n">
        <x:v>13</x:v>
      </x:c>
      <x:c r="M708" s="20" t="n">
        <x:v>0</x:v>
      </x:c>
      <x:c r="N708" s="20" t="n">
        <x:f>IF(J708=1,0,K708-L708)</x:f>
        <x:v>0</x:v>
      </x:c>
      <x:c r="O708" s="20" t="n">
        <x:f>N708-M708</x:f>
        <x:v>0</x:v>
      </x:c>
    </x:row>
    <x:row r="709" ht="22" customHeight="1">
      <x:c r="A709" s="11" t="n">
        <x:v>705</x:v>
      </x:c>
      <x:c r="B709" s="11" t="n">
        <x:v>352</x:v>
      </x:c>
      <x:c r="C709" s="18" t="n">
        <x:v>45536</x:v>
      </x:c>
      <x:c r="D709" s="11" t="str">
        <x:v>2024-09</x:v>
      </x:c>
      <x:c r="E709" s="11" t="str">
        <x:v>East</x:v>
      </x:c>
      <x:c r="F709" s="11" t="str">
        <x:v>Office Supplies</x:v>
      </x:c>
      <x:c r="G709" s="11" t="str">
        <x:v>Storage box</x:v>
      </x:c>
      <x:c r="H709" s="11" t="n">
        <x:v>4</x:v>
      </x:c>
      <x:c r="I709" s="19" t="n">
        <x:v>0</x:v>
      </x:c>
      <x:c r="J709" s="11" t="n">
        <x:v>0</x:v>
      </x:c>
      <x:c r="K709" s="20" t="n">
        <x:v>104</x:v>
      </x:c>
      <x:c r="L709" s="20" t="n">
        <x:v>0</x:v>
      </x:c>
      <x:c r="M709" s="20" t="n">
        <x:v>48</x:v>
      </x:c>
      <x:c r="N709" s="20" t="n">
        <x:f>IF(J709=1,0,K709-L709)</x:f>
        <x:v>104</x:v>
      </x:c>
      <x:c r="O709" s="20" t="n">
        <x:f>N709-M709</x:f>
        <x:v>56</x:v>
      </x:c>
    </x:row>
    <x:row r="710" ht="22" customHeight="1">
      <x:c r="A710" s="11" t="n">
        <x:v>706</x:v>
      </x:c>
      <x:c r="B710" s="11" t="n">
        <x:v>353</x:v>
      </x:c>
      <x:c r="C710" s="18" t="n">
        <x:v>45670</x:v>
      </x:c>
      <x:c r="D710" s="11" t="str">
        <x:v>2025-01</x:v>
      </x:c>
      <x:c r="E710" s="11" t="str">
        <x:v>West</x:v>
      </x:c>
      <x:c r="F710" s="11" t="str">
        <x:v>Furniture</x:v>
      </x:c>
      <x:c r="G710" s="11" t="str">
        <x:v>Chair</x:v>
      </x:c>
      <x:c r="H710" s="11" t="n">
        <x:v>4</x:v>
      </x:c>
      <x:c r="I710" s="19" t="n">
        <x:v>0.35</x:v>
      </x:c>
      <x:c r="J710" s="11" t="n">
        <x:v>0</x:v>
      </x:c>
      <x:c r="K710" s="20" t="n">
        <x:v>680</x:v>
      </x:c>
      <x:c r="L710" s="20" t="n">
        <x:v>238</x:v>
      </x:c>
      <x:c r="M710" s="20" t="n">
        <x:v>440</x:v>
      </x:c>
      <x:c r="N710" s="20" t="n">
        <x:f>IF(J710=1,0,K710-L710)</x:f>
        <x:v>442</x:v>
      </x:c>
      <x:c r="O710" s="20" t="n">
        <x:f>N710-M710</x:f>
        <x:v>2</x:v>
      </x:c>
    </x:row>
    <x:row r="711" ht="22" customHeight="1">
      <x:c r="A711" s="11" t="n">
        <x:v>707</x:v>
      </x:c>
      <x:c r="B711" s="11" t="n">
        <x:v>353</x:v>
      </x:c>
      <x:c r="C711" s="18" t="n">
        <x:v>45670</x:v>
      </x:c>
      <x:c r="D711" s="11" t="str">
        <x:v>2025-01</x:v>
      </x:c>
      <x:c r="E711" s="11" t="str">
        <x:v>West</x:v>
      </x:c>
      <x:c r="F711" s="11" t="str">
        <x:v>Office Supplies</x:v>
      </x:c>
      <x:c r="G711" s="11" t="str">
        <x:v>Notebook pack</x:v>
      </x:c>
      <x:c r="H711" s="11" t="n">
        <x:v>1</x:v>
      </x:c>
      <x:c r="I711" s="19" t="n">
        <x:v>0</x:v>
      </x:c>
      <x:c r="J711" s="11" t="n">
        <x:v>0</x:v>
      </x:c>
      <x:c r="K711" s="20" t="n">
        <x:v>18</x:v>
      </x:c>
      <x:c r="L711" s="20" t="n">
        <x:v>0</x:v>
      </x:c>
      <x:c r="M711" s="20" t="n">
        <x:v>7</x:v>
      </x:c>
      <x:c r="N711" s="20" t="n">
        <x:f>IF(J711=1,0,K711-L711)</x:f>
        <x:v>18</x:v>
      </x:c>
      <x:c r="O711" s="20" t="n">
        <x:f>N711-M711</x:f>
        <x:v>11</x:v>
      </x:c>
    </x:row>
    <x:row r="712" ht="22" customHeight="1">
      <x:c r="A712" s="11" t="n">
        <x:v>708</x:v>
      </x:c>
      <x:c r="B712" s="11" t="n">
        <x:v>353</x:v>
      </x:c>
      <x:c r="C712" s="18" t="n">
        <x:v>45670</x:v>
      </x:c>
      <x:c r="D712" s="11" t="str">
        <x:v>2025-01</x:v>
      </x:c>
      <x:c r="E712" s="11" t="str">
        <x:v>West</x:v>
      </x:c>
      <x:c r="F712" s="11" t="str">
        <x:v>Technology</x:v>
      </x:c>
      <x:c r="G712" s="11" t="str">
        <x:v>Monitor</x:v>
      </x:c>
      <x:c r="H712" s="11" t="n">
        <x:v>3</x:v>
      </x:c>
      <x:c r="I712" s="19" t="n">
        <x:v>0</x:v>
      </x:c>
      <x:c r="J712" s="11" t="n">
        <x:v>0</x:v>
      </x:c>
      <x:c r="K712" s="20" t="n">
        <x:v>720</x:v>
      </x:c>
      <x:c r="L712" s="20" t="n">
        <x:v>0</x:v>
      </x:c>
      <x:c r="M712" s="20" t="n">
        <x:v>480</x:v>
      </x:c>
      <x:c r="N712" s="20" t="n">
        <x:f>IF(J712=1,0,K712-L712)</x:f>
        <x:v>720</x:v>
      </x:c>
      <x:c r="O712" s="20" t="n">
        <x:f>N712-M712</x:f>
        <x:v>240</x:v>
      </x:c>
    </x:row>
    <x:row r="713" ht="22" customHeight="1">
      <x:c r="A713" s="11" t="n">
        <x:v>709</x:v>
      </x:c>
      <x:c r="B713" s="11" t="n">
        <x:v>354</x:v>
      </x:c>
      <x:c r="C713" s="18" t="n">
        <x:v>45825</x:v>
      </x:c>
      <x:c r="D713" s="11" t="str">
        <x:v>2025-06</x:v>
      </x:c>
      <x:c r="E713" s="11" t="str">
        <x:v>Central</x:v>
      </x:c>
      <x:c r="F713" s="11" t="str">
        <x:v>Technology</x:v>
      </x:c>
      <x:c r="G713" s="11" t="str">
        <x:v>Monitor</x:v>
      </x:c>
      <x:c r="H713" s="11" t="n">
        <x:v>4</x:v>
      </x:c>
      <x:c r="I713" s="19" t="n">
        <x:v>0.1</x:v>
      </x:c>
      <x:c r="J713" s="11" t="n">
        <x:v>0</x:v>
      </x:c>
      <x:c r="K713" s="20" t="n">
        <x:v>960</x:v>
      </x:c>
      <x:c r="L713" s="20" t="n">
        <x:v>96</x:v>
      </x:c>
      <x:c r="M713" s="20" t="n">
        <x:v>640</x:v>
      </x:c>
      <x:c r="N713" s="20" t="n">
        <x:f>IF(J713=1,0,K713-L713)</x:f>
        <x:v>864</x:v>
      </x:c>
      <x:c r="O713" s="20" t="n">
        <x:f>N713-M713</x:f>
        <x:v>224</x:v>
      </x:c>
    </x:row>
    <x:row r="714" ht="22" customHeight="1">
      <x:c r="A714" s="11" t="n">
        <x:v>710</x:v>
      </x:c>
      <x:c r="B714" s="11" t="n">
        <x:v>354</x:v>
      </x:c>
      <x:c r="C714" s="18" t="n">
        <x:v>45825</x:v>
      </x:c>
      <x:c r="D714" s="11" t="str">
        <x:v>2025-06</x:v>
      </x:c>
      <x:c r="E714" s="11" t="str">
        <x:v>Central</x:v>
      </x:c>
      <x:c r="F714" s="11" t="str">
        <x:v>Office Supplies</x:v>
      </x:c>
      <x:c r="G714" s="11" t="str">
        <x:v>Notebook pack</x:v>
      </x:c>
      <x:c r="H714" s="11" t="n">
        <x:v>1</x:v>
      </x:c>
      <x:c r="I714" s="19" t="n">
        <x:v>0.15</x:v>
      </x:c>
      <x:c r="J714" s="11" t="n">
        <x:v>0</x:v>
      </x:c>
      <x:c r="K714" s="20" t="n">
        <x:v>18</x:v>
      </x:c>
      <x:c r="L714" s="20" t="n">
        <x:v>2.7</x:v>
      </x:c>
      <x:c r="M714" s="20" t="n">
        <x:v>7</x:v>
      </x:c>
      <x:c r="N714" s="20" t="n">
        <x:f>IF(J714=1,0,K714-L714)</x:f>
        <x:v>15.3</x:v>
      </x:c>
      <x:c r="O714" s="20" t="n">
        <x:f>N714-M714</x:f>
        <x:v>8.3</x:v>
      </x:c>
    </x:row>
    <x:row r="715" ht="22" customHeight="1">
      <x:c r="A715" s="11" t="n">
        <x:v>711</x:v>
      </x:c>
      <x:c r="B715" s="11" t="n">
        <x:v>354</x:v>
      </x:c>
      <x:c r="C715" s="18" t="n">
        <x:v>45825</x:v>
      </x:c>
      <x:c r="D715" s="11" t="str">
        <x:v>2025-06</x:v>
      </x:c>
      <x:c r="E715" s="11" t="str">
        <x:v>Central</x:v>
      </x:c>
      <x:c r="F715" s="11" t="str">
        <x:v>Furniture</x:v>
      </x:c>
      <x:c r="G715" s="11" t="str">
        <x:v>Chair</x:v>
      </x:c>
      <x:c r="H715" s="11" t="n">
        <x:v>2</x:v>
      </x:c>
      <x:c r="I715" s="19" t="n">
        <x:v>0.25</x:v>
      </x:c>
      <x:c r="J715" s="11" t="n">
        <x:v>0</x:v>
      </x:c>
      <x:c r="K715" s="20" t="n">
        <x:v>340</x:v>
      </x:c>
      <x:c r="L715" s="20" t="n">
        <x:v>85</x:v>
      </x:c>
      <x:c r="M715" s="20" t="n">
        <x:v>220</x:v>
      </x:c>
      <x:c r="N715" s="20" t="n">
        <x:f>IF(J715=1,0,K715-L715)</x:f>
        <x:v>255</x:v>
      </x:c>
      <x:c r="O715" s="20" t="n">
        <x:f>N715-M715</x:f>
        <x:v>35</x:v>
      </x:c>
    </x:row>
    <x:row r="716" ht="22" customHeight="1">
      <x:c r="A716" s="11" t="n">
        <x:v>712</x:v>
      </x:c>
      <x:c r="B716" s="11" t="n">
        <x:v>355</x:v>
      </x:c>
      <x:c r="C716" s="18" t="n">
        <x:v>45645</x:v>
      </x:c>
      <x:c r="D716" s="11" t="str">
        <x:v>2024-12</x:v>
      </x:c>
      <x:c r="E716" s="11" t="str">
        <x:v>Central</x:v>
      </x:c>
      <x:c r="F716" s="11" t="str">
        <x:v>Furniture</x:v>
      </x:c>
      <x:c r="G716" s="11" t="str">
        <x:v>Desk</x:v>
      </x:c>
      <x:c r="H716" s="11" t="n">
        <x:v>4</x:v>
      </x:c>
      <x:c r="I716" s="19" t="n">
        <x:v>0</x:v>
      </x:c>
      <x:c r="J716" s="11" t="n">
        <x:v>0</x:v>
      </x:c>
      <x:c r="K716" s="20" t="n">
        <x:v>1120</x:v>
      </x:c>
      <x:c r="L716" s="20" t="n">
        <x:v>0</x:v>
      </x:c>
      <x:c r="M716" s="20" t="n">
        <x:v>760</x:v>
      </x:c>
      <x:c r="N716" s="20" t="n">
        <x:f>IF(J716=1,0,K716-L716)</x:f>
        <x:v>1120</x:v>
      </x:c>
      <x:c r="O716" s="20" t="n">
        <x:f>N716-M716</x:f>
        <x:v>360</x:v>
      </x:c>
    </x:row>
    <x:row r="717" ht="22" customHeight="1">
      <x:c r="A717" s="11" t="n">
        <x:v>713</x:v>
      </x:c>
      <x:c r="B717" s="11" t="n">
        <x:v>355</x:v>
      </x:c>
      <x:c r="C717" s="18" t="n">
        <x:v>45645</x:v>
      </x:c>
      <x:c r="D717" s="11" t="str">
        <x:v>2024-12</x:v>
      </x:c>
      <x:c r="E717" s="11" t="str">
        <x:v>Central</x:v>
      </x:c>
      <x:c r="F717" s="11" t="str">
        <x:v>Office Supplies</x:v>
      </x:c>
      <x:c r="G717" s="11" t="str">
        <x:v>Notebook pack</x:v>
      </x:c>
      <x:c r="H717" s="11" t="n">
        <x:v>5</x:v>
      </x:c>
      <x:c r="I717" s="19" t="n">
        <x:v>0.05</x:v>
      </x:c>
      <x:c r="J717" s="11" t="n">
        <x:v>0</x:v>
      </x:c>
      <x:c r="K717" s="20" t="n">
        <x:v>90</x:v>
      </x:c>
      <x:c r="L717" s="20" t="n">
        <x:v>4.5</x:v>
      </x:c>
      <x:c r="M717" s="20" t="n">
        <x:v>35</x:v>
      </x:c>
      <x:c r="N717" s="20" t="n">
        <x:f>IF(J717=1,0,K717-L717)</x:f>
        <x:v>85.5</x:v>
      </x:c>
      <x:c r="O717" s="20" t="n">
        <x:f>N717-M717</x:f>
        <x:v>50.5</x:v>
      </x:c>
    </x:row>
    <x:row r="718" ht="22" customHeight="1">
      <x:c r="A718" s="11" t="n">
        <x:v>714</x:v>
      </x:c>
      <x:c r="B718" s="11" t="n">
        <x:v>355</x:v>
      </x:c>
      <x:c r="C718" s="18" t="n">
        <x:v>45645</x:v>
      </x:c>
      <x:c r="D718" s="11" t="str">
        <x:v>2024-12</x:v>
      </x:c>
      <x:c r="E718" s="11" t="str">
        <x:v>Central</x:v>
      </x:c>
      <x:c r="F718" s="11" t="str">
        <x:v>Furniture</x:v>
      </x:c>
      <x:c r="G718" s="11" t="str">
        <x:v>Chair</x:v>
      </x:c>
      <x:c r="H718" s="11" t="n">
        <x:v>2</x:v>
      </x:c>
      <x:c r="I718" s="19" t="n">
        <x:v>0</x:v>
      </x:c>
      <x:c r="J718" s="11" t="n">
        <x:v>0</x:v>
      </x:c>
      <x:c r="K718" s="20" t="n">
        <x:v>340</x:v>
      </x:c>
      <x:c r="L718" s="20" t="n">
        <x:v>0</x:v>
      </x:c>
      <x:c r="M718" s="20" t="n">
        <x:v>220</x:v>
      </x:c>
      <x:c r="N718" s="20" t="n">
        <x:f>IF(J718=1,0,K718-L718)</x:f>
        <x:v>340</x:v>
      </x:c>
      <x:c r="O718" s="20" t="n">
        <x:f>N718-M718</x:f>
        <x:v>120</x:v>
      </x:c>
    </x:row>
    <x:row r="719" ht="22" customHeight="1">
      <x:c r="A719" s="11" t="n">
        <x:v>715</x:v>
      </x:c>
      <x:c r="B719" s="11" t="n">
        <x:v>356</x:v>
      </x:c>
      <x:c r="C719" s="18" t="n">
        <x:v>45413</x:v>
      </x:c>
      <x:c r="D719" s="11" t="str">
        <x:v>2024-05</x:v>
      </x:c>
      <x:c r="E719" s="11" t="str">
        <x:v>West</x:v>
      </x:c>
      <x:c r="F719" s="11" t="str">
        <x:v>Technology</x:v>
      </x:c>
      <x:c r="G719" s="11" t="str">
        <x:v>Monitor</x:v>
      </x:c>
      <x:c r="H719" s="11" t="n">
        <x:v>4</x:v>
      </x:c>
      <x:c r="I719" s="19" t="n">
        <x:v>0.1</x:v>
      </x:c>
      <x:c r="J719" s="11" t="n">
        <x:v>0</x:v>
      </x:c>
      <x:c r="K719" s="20" t="n">
        <x:v>960</x:v>
      </x:c>
      <x:c r="L719" s="20" t="n">
        <x:v>96</x:v>
      </x:c>
      <x:c r="M719" s="20" t="n">
        <x:v>640</x:v>
      </x:c>
      <x:c r="N719" s="20" t="n">
        <x:f>IF(J719=1,0,K719-L719)</x:f>
        <x:v>864</x:v>
      </x:c>
      <x:c r="O719" s="20" t="n">
        <x:f>N719-M719</x:f>
        <x:v>224</x:v>
      </x:c>
    </x:row>
    <x:row r="720" ht="22" customHeight="1">
      <x:c r="A720" s="11" t="n">
        <x:v>716</x:v>
      </x:c>
      <x:c r="B720" s="11" t="n">
        <x:v>356</x:v>
      </x:c>
      <x:c r="C720" s="18" t="n">
        <x:v>45413</x:v>
      </x:c>
      <x:c r="D720" s="11" t="str">
        <x:v>2024-05</x:v>
      </x:c>
      <x:c r="E720" s="11" t="str">
        <x:v>West</x:v>
      </x:c>
      <x:c r="F720" s="11" t="str">
        <x:v>Furniture</x:v>
      </x:c>
      <x:c r="G720" s="11" t="str">
        <x:v>Desk</x:v>
      </x:c>
      <x:c r="H720" s="11" t="n">
        <x:v>5</x:v>
      </x:c>
      <x:c r="I720" s="19" t="n">
        <x:v>0</x:v>
      </x:c>
      <x:c r="J720" s="11" t="n">
        <x:v>0</x:v>
      </x:c>
      <x:c r="K720" s="20" t="n">
        <x:v>1400</x:v>
      </x:c>
      <x:c r="L720" s="20" t="n">
        <x:v>0</x:v>
      </x:c>
      <x:c r="M720" s="20" t="n">
        <x:v>950</x:v>
      </x:c>
      <x:c r="N720" s="20" t="n">
        <x:f>IF(J720=1,0,K720-L720)</x:f>
        <x:v>1400</x:v>
      </x:c>
      <x:c r="O720" s="20" t="n">
        <x:f>N720-M720</x:f>
        <x:v>450</x:v>
      </x:c>
    </x:row>
    <x:row r="721" ht="22" customHeight="1">
      <x:c r="A721" s="11" t="n">
        <x:v>717</x:v>
      </x:c>
      <x:c r="B721" s="11" t="n">
        <x:v>357</x:v>
      </x:c>
      <x:c r="C721" s="18" t="n">
        <x:v>45712</x:v>
      </x:c>
      <x:c r="D721" s="11" t="str">
        <x:v>2025-02</x:v>
      </x:c>
      <x:c r="E721" s="11" t="str">
        <x:v>East</x:v>
      </x:c>
      <x:c r="F721" s="11" t="str">
        <x:v>Furniture</x:v>
      </x:c>
      <x:c r="G721" s="11" t="str">
        <x:v>Chair</x:v>
      </x:c>
      <x:c r="H721" s="11" t="n">
        <x:v>5</x:v>
      </x:c>
      <x:c r="I721" s="19" t="n">
        <x:v>0</x:v>
      </x:c>
      <x:c r="J721" s="11" t="n">
        <x:v>0</x:v>
      </x:c>
      <x:c r="K721" s="20" t="n">
        <x:v>850</x:v>
      </x:c>
      <x:c r="L721" s="20" t="n">
        <x:v>0</x:v>
      </x:c>
      <x:c r="M721" s="20" t="n">
        <x:v>550</x:v>
      </x:c>
      <x:c r="N721" s="20" t="n">
        <x:f>IF(J721=1,0,K721-L721)</x:f>
        <x:v>850</x:v>
      </x:c>
      <x:c r="O721" s="20" t="n">
        <x:f>N721-M721</x:f>
        <x:v>300</x:v>
      </x:c>
    </x:row>
    <x:row r="722" ht="22" customHeight="1">
      <x:c r="A722" s="11" t="n">
        <x:v>718</x:v>
      </x:c>
      <x:c r="B722" s="11" t="n">
        <x:v>358</x:v>
      </x:c>
      <x:c r="C722" s="18" t="n">
        <x:v>45816</x:v>
      </x:c>
      <x:c r="D722" s="11" t="str">
        <x:v>2025-06</x:v>
      </x:c>
      <x:c r="E722" s="11" t="str">
        <x:v>East</x:v>
      </x:c>
      <x:c r="F722" s="11" t="str">
        <x:v>Furniture</x:v>
      </x:c>
      <x:c r="G722" s="11" t="str">
        <x:v>Chair</x:v>
      </x:c>
      <x:c r="H722" s="11" t="n">
        <x:v>3</x:v>
      </x:c>
      <x:c r="I722" s="19" t="n">
        <x:v>0</x:v>
      </x:c>
      <x:c r="J722" s="11" t="n">
        <x:v>0</x:v>
      </x:c>
      <x:c r="K722" s="20" t="n">
        <x:v>510</x:v>
      </x:c>
      <x:c r="L722" s="20" t="n">
        <x:v>0</x:v>
      </x:c>
      <x:c r="M722" s="20" t="n">
        <x:v>330</x:v>
      </x:c>
      <x:c r="N722" s="20" t="n">
        <x:f>IF(J722=1,0,K722-L722)</x:f>
        <x:v>510</x:v>
      </x:c>
      <x:c r="O722" s="20" t="n">
        <x:f>N722-M722</x:f>
        <x:v>180</x:v>
      </x:c>
    </x:row>
    <x:row r="723" ht="22" customHeight="1">
      <x:c r="A723" s="11" t="n">
        <x:v>719</x:v>
      </x:c>
      <x:c r="B723" s="11" t="n">
        <x:v>359</x:v>
      </x:c>
      <x:c r="C723" s="18" t="n">
        <x:v>45707</x:v>
      </x:c>
      <x:c r="D723" s="11" t="str">
        <x:v>2025-02</x:v>
      </x:c>
      <x:c r="E723" s="11" t="str">
        <x:v>West</x:v>
      </x:c>
      <x:c r="F723" s="11" t="str">
        <x:v>Office Supplies</x:v>
      </x:c>
      <x:c r="G723" s="11" t="str">
        <x:v>Storage box</x:v>
      </x:c>
      <x:c r="H723" s="11" t="n">
        <x:v>2</x:v>
      </x:c>
      <x:c r="I723" s="19" t="n">
        <x:v>0.1</x:v>
      </x:c>
      <x:c r="J723" s="11" t="n">
        <x:v>0</x:v>
      </x:c>
      <x:c r="K723" s="20" t="n">
        <x:v>52</x:v>
      </x:c>
      <x:c r="L723" s="20" t="n">
        <x:v>5.2</x:v>
      </x:c>
      <x:c r="M723" s="20" t="n">
        <x:v>24</x:v>
      </x:c>
      <x:c r="N723" s="20" t="n">
        <x:f>IF(J723=1,0,K723-L723)</x:f>
        <x:v>46.8</x:v>
      </x:c>
      <x:c r="O723" s="20" t="n">
        <x:f>N723-M723</x:f>
        <x:v>22.799999999999997</x:v>
      </x:c>
    </x:row>
    <x:row r="724" ht="22" customHeight="1">
      <x:c r="A724" s="11" t="n">
        <x:v>720</x:v>
      </x:c>
      <x:c r="B724" s="11" t="n">
        <x:v>359</x:v>
      </x:c>
      <x:c r="C724" s="18" t="n">
        <x:v>45707</x:v>
      </x:c>
      <x:c r="D724" s="11" t="str">
        <x:v>2025-02</x:v>
      </x:c>
      <x:c r="E724" s="11" t="str">
        <x:v>West</x:v>
      </x:c>
      <x:c r="F724" s="11" t="str">
        <x:v>Technology</x:v>
      </x:c>
      <x:c r="G724" s="11" t="str">
        <x:v>Monitor</x:v>
      </x:c>
      <x:c r="H724" s="11" t="n">
        <x:v>4</x:v>
      </x:c>
      <x:c r="I724" s="19" t="n">
        <x:v>0.1</x:v>
      </x:c>
      <x:c r="J724" s="11" t="n">
        <x:v>0</x:v>
      </x:c>
      <x:c r="K724" s="20" t="n">
        <x:v>960</x:v>
      </x:c>
      <x:c r="L724" s="20" t="n">
        <x:v>96</x:v>
      </x:c>
      <x:c r="M724" s="20" t="n">
        <x:v>640</x:v>
      </x:c>
      <x:c r="N724" s="20" t="n">
        <x:f>IF(J724=1,0,K724-L724)</x:f>
        <x:v>864</x:v>
      </x:c>
      <x:c r="O724" s="20" t="n">
        <x:f>N724-M724</x:f>
        <x:v>224</x:v>
      </x:c>
    </x:row>
    <x:row r="725" ht="22" customHeight="1">
      <x:c r="A725" s="11" t="n">
        <x:v>721</x:v>
      </x:c>
      <x:c r="B725" s="11" t="n">
        <x:v>359</x:v>
      </x:c>
      <x:c r="C725" s="18" t="n">
        <x:v>45707</x:v>
      </x:c>
      <x:c r="D725" s="11" t="str">
        <x:v>2025-02</x:v>
      </x:c>
      <x:c r="E725" s="11" t="str">
        <x:v>West</x:v>
      </x:c>
      <x:c r="F725" s="11" t="str">
        <x:v>Furniture</x:v>
      </x:c>
      <x:c r="G725" s="11" t="str">
        <x:v>Desk</x:v>
      </x:c>
      <x:c r="H725" s="11" t="n">
        <x:v>4</x:v>
      </x:c>
      <x:c r="I725" s="19" t="n">
        <x:v>0</x:v>
      </x:c>
      <x:c r="J725" s="11" t="n">
        <x:v>0</x:v>
      </x:c>
      <x:c r="K725" s="20" t="n">
        <x:v>1120</x:v>
      </x:c>
      <x:c r="L725" s="20" t="n">
        <x:v>0</x:v>
      </x:c>
      <x:c r="M725" s="20" t="n">
        <x:v>760</x:v>
      </x:c>
      <x:c r="N725" s="20" t="n">
        <x:f>IF(J725=1,0,K725-L725)</x:f>
        <x:v>1120</x:v>
      </x:c>
      <x:c r="O725" s="20" t="n">
        <x:f>N725-M725</x:f>
        <x:v>360</x:v>
      </x:c>
    </x:row>
    <x:row r="726" ht="22" customHeight="1">
      <x:c r="A726" s="11" t="n">
        <x:v>722</x:v>
      </x:c>
      <x:c r="B726" s="11" t="n">
        <x:v>360</x:v>
      </x:c>
      <x:c r="C726" s="18" t="n">
        <x:v>45478</x:v>
      </x:c>
      <x:c r="D726" s="11" t="str">
        <x:v>2024-07</x:v>
      </x:c>
      <x:c r="E726" s="11" t="str">
        <x:v>West</x:v>
      </x:c>
      <x:c r="F726" s="11" t="str">
        <x:v>Office Supplies</x:v>
      </x:c>
      <x:c r="G726" s="11" t="str">
        <x:v>Storage box</x:v>
      </x:c>
      <x:c r="H726" s="11" t="n">
        <x:v>3</x:v>
      </x:c>
      <x:c r="I726" s="19" t="n">
        <x:v>0.1</x:v>
      </x:c>
      <x:c r="J726" s="11" t="n">
        <x:v>0</x:v>
      </x:c>
      <x:c r="K726" s="20" t="n">
        <x:v>78</x:v>
      </x:c>
      <x:c r="L726" s="20" t="n">
        <x:v>7.8</x:v>
      </x:c>
      <x:c r="M726" s="20" t="n">
        <x:v>36</x:v>
      </x:c>
      <x:c r="N726" s="20" t="n">
        <x:f>IF(J726=1,0,K726-L726)</x:f>
        <x:v>70.2</x:v>
      </x:c>
      <x:c r="O726" s="20" t="n">
        <x:f>N726-M726</x:f>
        <x:v>34.2</x:v>
      </x:c>
    </x:row>
    <x:row r="727" ht="22" customHeight="1">
      <x:c r="A727" s="11" t="n">
        <x:v>723</x:v>
      </x:c>
      <x:c r="B727" s="11" t="n">
        <x:v>361</x:v>
      </x:c>
      <x:c r="C727" s="18" t="n">
        <x:v>45362</x:v>
      </x:c>
      <x:c r="D727" s="11" t="str">
        <x:v>2024-03</x:v>
      </x:c>
      <x:c r="E727" s="11" t="str">
        <x:v>Central</x:v>
      </x:c>
      <x:c r="F727" s="11" t="str">
        <x:v>Furniture</x:v>
      </x:c>
      <x:c r="G727" s="11" t="str">
        <x:v>Chair</x:v>
      </x:c>
      <x:c r="H727" s="11" t="n">
        <x:v>1</x:v>
      </x:c>
      <x:c r="I727" s="19" t="n">
        <x:v>0.05</x:v>
      </x:c>
      <x:c r="J727" s="11" t="n">
        <x:v>0</x:v>
      </x:c>
      <x:c r="K727" s="20" t="n">
        <x:v>170</x:v>
      </x:c>
      <x:c r="L727" s="20" t="n">
        <x:v>8.5</x:v>
      </x:c>
      <x:c r="M727" s="20" t="n">
        <x:v>110</x:v>
      </x:c>
      <x:c r="N727" s="20" t="n">
        <x:f>IF(J727=1,0,K727-L727)</x:f>
        <x:v>161.5</x:v>
      </x:c>
      <x:c r="O727" s="20" t="n">
        <x:f>N727-M727</x:f>
        <x:v>51.5</x:v>
      </x:c>
    </x:row>
    <x:row r="728" ht="22" customHeight="1">
      <x:c r="A728" s="11" t="n">
        <x:v>724</x:v>
      </x:c>
      <x:c r="B728" s="11" t="n">
        <x:v>361</x:v>
      </x:c>
      <x:c r="C728" s="18" t="n">
        <x:v>45362</x:v>
      </x:c>
      <x:c r="D728" s="11" t="str">
        <x:v>2024-03</x:v>
      </x:c>
      <x:c r="E728" s="11" t="str">
        <x:v>Central</x:v>
      </x:c>
      <x:c r="F728" s="11" t="str">
        <x:v>Furniture</x:v>
      </x:c>
      <x:c r="G728" s="11" t="str">
        <x:v>Desk</x:v>
      </x:c>
      <x:c r="H728" s="11" t="n">
        <x:v>5</x:v>
      </x:c>
      <x:c r="I728" s="19" t="n">
        <x:v>0.25</x:v>
      </x:c>
      <x:c r="J728" s="11" t="n">
        <x:v>0</x:v>
      </x:c>
      <x:c r="K728" s="20" t="n">
        <x:v>1400</x:v>
      </x:c>
      <x:c r="L728" s="20" t="n">
        <x:v>350</x:v>
      </x:c>
      <x:c r="M728" s="20" t="n">
        <x:v>950</x:v>
      </x:c>
      <x:c r="N728" s="20" t="n">
        <x:f>IF(J728=1,0,K728-L728)</x:f>
        <x:v>1050</x:v>
      </x:c>
      <x:c r="O728" s="20" t="n">
        <x:f>N728-M728</x:f>
        <x:v>100</x:v>
      </x:c>
    </x:row>
    <x:row r="729" ht="22" customHeight="1">
      <x:c r="A729" s="11" t="n">
        <x:v>725</x:v>
      </x:c>
      <x:c r="B729" s="11" t="n">
        <x:v>362</x:v>
      </x:c>
      <x:c r="C729" s="18" t="n">
        <x:v>45912</x:v>
      </x:c>
      <x:c r="D729" s="11" t="str">
        <x:v>2025-09</x:v>
      </x:c>
      <x:c r="E729" s="11" t="str">
        <x:v>West</x:v>
      </x:c>
      <x:c r="F729" s="11" t="str">
        <x:v>Office Supplies</x:v>
      </x:c>
      <x:c r="G729" s="11" t="str">
        <x:v>Notebook pack</x:v>
      </x:c>
      <x:c r="H729" s="11" t="n">
        <x:v>1</x:v>
      </x:c>
      <x:c r="I729" s="19" t="n">
        <x:v>0.15</x:v>
      </x:c>
      <x:c r="J729" s="11" t="n">
        <x:v>0</x:v>
      </x:c>
      <x:c r="K729" s="20" t="n">
        <x:v>18</x:v>
      </x:c>
      <x:c r="L729" s="20" t="n">
        <x:v>2.7</x:v>
      </x:c>
      <x:c r="M729" s="20" t="n">
        <x:v>7</x:v>
      </x:c>
      <x:c r="N729" s="20" t="n">
        <x:f>IF(J729=1,0,K729-L729)</x:f>
        <x:v>15.3</x:v>
      </x:c>
      <x:c r="O729" s="20" t="n">
        <x:f>N729-M729</x:f>
        <x:v>8.3</x:v>
      </x:c>
    </x:row>
    <x:row r="730" ht="22" customHeight="1">
      <x:c r="A730" s="11" t="n">
        <x:v>726</x:v>
      </x:c>
      <x:c r="B730" s="11" t="n">
        <x:v>362</x:v>
      </x:c>
      <x:c r="C730" s="18" t="n">
        <x:v>45912</x:v>
      </x:c>
      <x:c r="D730" s="11" t="str">
        <x:v>2025-09</x:v>
      </x:c>
      <x:c r="E730" s="11" t="str">
        <x:v>West</x:v>
      </x:c>
      <x:c r="F730" s="11" t="str">
        <x:v>Office Supplies</x:v>
      </x:c>
      <x:c r="G730" s="11" t="str">
        <x:v>Storage box</x:v>
      </x:c>
      <x:c r="H730" s="11" t="n">
        <x:v>1</x:v>
      </x:c>
      <x:c r="I730" s="19" t="n">
        <x:v>0</x:v>
      </x:c>
      <x:c r="J730" s="11" t="n">
        <x:v>0</x:v>
      </x:c>
      <x:c r="K730" s="20" t="n">
        <x:v>26</x:v>
      </x:c>
      <x:c r="L730" s="20" t="n">
        <x:v>0</x:v>
      </x:c>
      <x:c r="M730" s="20" t="n">
        <x:v>12</x:v>
      </x:c>
      <x:c r="N730" s="20" t="n">
        <x:f>IF(J730=1,0,K730-L730)</x:f>
        <x:v>26</x:v>
      </x:c>
      <x:c r="O730" s="20" t="n">
        <x:f>N730-M730</x:f>
        <x:v>14</x:v>
      </x:c>
    </x:row>
    <x:row r="731" ht="22" customHeight="1">
      <x:c r="A731" s="11" t="n">
        <x:v>727</x:v>
      </x:c>
      <x:c r="B731" s="11" t="n">
        <x:v>363</x:v>
      </x:c>
      <x:c r="C731" s="18" t="n">
        <x:v>45425</x:v>
      </x:c>
      <x:c r="D731" s="11" t="str">
        <x:v>2024-05</x:v>
      </x:c>
      <x:c r="E731" s="11" t="str">
        <x:v>Central</x:v>
      </x:c>
      <x:c r="F731" s="11" t="str">
        <x:v>Office Supplies</x:v>
      </x:c>
      <x:c r="G731" s="11" t="str">
        <x:v>Storage box</x:v>
      </x:c>
      <x:c r="H731" s="11" t="n">
        <x:v>3</x:v>
      </x:c>
      <x:c r="I731" s="19" t="n">
        <x:v>0</x:v>
      </x:c>
      <x:c r="J731" s="11" t="n">
        <x:v>0</x:v>
      </x:c>
      <x:c r="K731" s="20" t="n">
        <x:v>78</x:v>
      </x:c>
      <x:c r="L731" s="20" t="n">
        <x:v>0</x:v>
      </x:c>
      <x:c r="M731" s="20" t="n">
        <x:v>36</x:v>
      </x:c>
      <x:c r="N731" s="20" t="n">
        <x:f>IF(J731=1,0,K731-L731)</x:f>
        <x:v>78</x:v>
      </x:c>
      <x:c r="O731" s="20" t="n">
        <x:f>N731-M731</x:f>
        <x:v>42</x:v>
      </x:c>
    </x:row>
    <x:row r="732" ht="22" customHeight="1">
      <x:c r="A732" s="11" t="n">
        <x:v>728</x:v>
      </x:c>
      <x:c r="B732" s="11" t="n">
        <x:v>363</x:v>
      </x:c>
      <x:c r="C732" s="18" t="n">
        <x:v>45425</x:v>
      </x:c>
      <x:c r="D732" s="11" t="str">
        <x:v>2024-05</x:v>
      </x:c>
      <x:c r="E732" s="11" t="str">
        <x:v>Central</x:v>
      </x:c>
      <x:c r="F732" s="11" t="str">
        <x:v>Technology</x:v>
      </x:c>
      <x:c r="G732" s="11" t="str">
        <x:v>Keyboard</x:v>
      </x:c>
      <x:c r="H732" s="11" t="n">
        <x:v>4</x:v>
      </x:c>
      <x:c r="I732" s="19" t="n">
        <x:v>0</x:v>
      </x:c>
      <x:c r="J732" s="11" t="n">
        <x:v>0</x:v>
      </x:c>
      <x:c r="K732" s="20" t="n">
        <x:v>260</x:v>
      </x:c>
      <x:c r="L732" s="20" t="n">
        <x:v>0</x:v>
      </x:c>
      <x:c r="M732" s="20" t="n">
        <x:v>128</x:v>
      </x:c>
      <x:c r="N732" s="20" t="n">
        <x:f>IF(J732=1,0,K732-L732)</x:f>
        <x:v>260</x:v>
      </x:c>
      <x:c r="O732" s="20" t="n">
        <x:f>N732-M732</x:f>
        <x:v>132</x:v>
      </x:c>
    </x:row>
    <x:row r="733" ht="22" customHeight="1">
      <x:c r="A733" s="11" t="n">
        <x:v>729</x:v>
      </x:c>
      <x:c r="B733" s="11" t="n">
        <x:v>363</x:v>
      </x:c>
      <x:c r="C733" s="18" t="n">
        <x:v>45425</x:v>
      </x:c>
      <x:c r="D733" s="11" t="str">
        <x:v>2024-05</x:v>
      </x:c>
      <x:c r="E733" s="11" t="str">
        <x:v>Central</x:v>
      </x:c>
      <x:c r="F733" s="11" t="str">
        <x:v>Office Supplies</x:v>
      </x:c>
      <x:c r="G733" s="11" t="str">
        <x:v>Notebook pack</x:v>
      </x:c>
      <x:c r="H733" s="11" t="n">
        <x:v>4</x:v>
      </x:c>
      <x:c r="I733" s="19" t="n">
        <x:v>0.1</x:v>
      </x:c>
      <x:c r="J733" s="11" t="n">
        <x:v>0</x:v>
      </x:c>
      <x:c r="K733" s="20" t="n">
        <x:v>72</x:v>
      </x:c>
      <x:c r="L733" s="20" t="n">
        <x:v>7.2</x:v>
      </x:c>
      <x:c r="M733" s="20" t="n">
        <x:v>28</x:v>
      </x:c>
      <x:c r="N733" s="20" t="n">
        <x:f>IF(J733=1,0,K733-L733)</x:f>
        <x:v>64.8</x:v>
      </x:c>
      <x:c r="O733" s="20" t="n">
        <x:f>N733-M733</x:f>
        <x:v>36.8</x:v>
      </x:c>
    </x:row>
    <x:row r="734" ht="22" customHeight="1">
      <x:c r="A734" s="11" t="n">
        <x:v>730</x:v>
      </x:c>
      <x:c r="B734" s="11" t="n">
        <x:v>364</x:v>
      </x:c>
      <x:c r="C734" s="18" t="n">
        <x:v>46005</x:v>
      </x:c>
      <x:c r="D734" s="11" t="str">
        <x:v>2025-12</x:v>
      </x:c>
      <x:c r="E734" s="11" t="str">
        <x:v>Central</x:v>
      </x:c>
      <x:c r="F734" s="11" t="str">
        <x:v>Furniture</x:v>
      </x:c>
      <x:c r="G734" s="11" t="str">
        <x:v>Chair</x:v>
      </x:c>
      <x:c r="H734" s="11" t="n">
        <x:v>4</x:v>
      </x:c>
      <x:c r="I734" s="19" t="n">
        <x:v>0.05</x:v>
      </x:c>
      <x:c r="J734" s="11" t="n">
        <x:v>0</x:v>
      </x:c>
      <x:c r="K734" s="20" t="n">
        <x:v>680</x:v>
      </x:c>
      <x:c r="L734" s="20" t="n">
        <x:v>34</x:v>
      </x:c>
      <x:c r="M734" s="20" t="n">
        <x:v>440</x:v>
      </x:c>
      <x:c r="N734" s="20" t="n">
        <x:f>IF(J734=1,0,K734-L734)</x:f>
        <x:v>646</x:v>
      </x:c>
      <x:c r="O734" s="20" t="n">
        <x:f>N734-M734</x:f>
        <x:v>206</x:v>
      </x:c>
    </x:row>
    <x:row r="735" ht="22" customHeight="1">
      <x:c r="A735" s="11" t="n">
        <x:v>731</x:v>
      </x:c>
      <x:c r="B735" s="11" t="n">
        <x:v>364</x:v>
      </x:c>
      <x:c r="C735" s="18" t="n">
        <x:v>46005</x:v>
      </x:c>
      <x:c r="D735" s="11" t="str">
        <x:v>2025-12</x:v>
      </x:c>
      <x:c r="E735" s="11" t="str">
        <x:v>Central</x:v>
      </x:c>
      <x:c r="F735" s="11" t="str">
        <x:v>Technology</x:v>
      </x:c>
      <x:c r="G735" s="11" t="str">
        <x:v>Monitor</x:v>
      </x:c>
      <x:c r="H735" s="11" t="n">
        <x:v>1</x:v>
      </x:c>
      <x:c r="I735" s="19" t="n">
        <x:v>0.05</x:v>
      </x:c>
      <x:c r="J735" s="11" t="n">
        <x:v>0</x:v>
      </x:c>
      <x:c r="K735" s="20" t="n">
        <x:v>240</x:v>
      </x:c>
      <x:c r="L735" s="20" t="n">
        <x:v>12</x:v>
      </x:c>
      <x:c r="M735" s="20" t="n">
        <x:v>160</x:v>
      </x:c>
      <x:c r="N735" s="20" t="n">
        <x:f>IF(J735=1,0,K735-L735)</x:f>
        <x:v>228</x:v>
      </x:c>
      <x:c r="O735" s="20" t="n">
        <x:f>N735-M735</x:f>
        <x:v>68</x:v>
      </x:c>
    </x:row>
    <x:row r="736" ht="22" customHeight="1">
      <x:c r="A736" s="11" t="n">
        <x:v>732</x:v>
      </x:c>
      <x:c r="B736" s="11" t="n">
        <x:v>365</x:v>
      </x:c>
      <x:c r="C736" s="18" t="n">
        <x:v>45848</x:v>
      </x:c>
      <x:c r="D736" s="11" t="str">
        <x:v>2025-07</x:v>
      </x:c>
      <x:c r="E736" s="11" t="str">
        <x:v>West</x:v>
      </x:c>
      <x:c r="F736" s="11" t="str">
        <x:v>Furniture</x:v>
      </x:c>
      <x:c r="G736" s="11" t="str">
        <x:v>Desk</x:v>
      </x:c>
      <x:c r="H736" s="11" t="n">
        <x:v>1</x:v>
      </x:c>
      <x:c r="I736" s="19" t="n">
        <x:v>0</x:v>
      </x:c>
      <x:c r="J736" s="11" t="n">
        <x:v>0</x:v>
      </x:c>
      <x:c r="K736" s="20" t="n">
        <x:v>280</x:v>
      </x:c>
      <x:c r="L736" s="20" t="n">
        <x:v>0</x:v>
      </x:c>
      <x:c r="M736" s="20" t="n">
        <x:v>190</x:v>
      </x:c>
      <x:c r="N736" s="20" t="n">
        <x:f>IF(J736=1,0,K736-L736)</x:f>
        <x:v>280</x:v>
      </x:c>
      <x:c r="O736" s="20" t="n">
        <x:f>N736-M736</x:f>
        <x:v>90</x:v>
      </x:c>
    </x:row>
    <x:row r="737" ht="22" customHeight="1">
      <x:c r="A737" s="11" t="n">
        <x:v>733</x:v>
      </x:c>
      <x:c r="B737" s="11" t="n">
        <x:v>366</x:v>
      </x:c>
      <x:c r="C737" s="18" t="n">
        <x:v>45676</x:v>
      </x:c>
      <x:c r="D737" s="11" t="str">
        <x:v>2025-01</x:v>
      </x:c>
      <x:c r="E737" s="11" t="str">
        <x:v>West</x:v>
      </x:c>
      <x:c r="F737" s="11" t="str">
        <x:v>Technology</x:v>
      </x:c>
      <x:c r="G737" s="11" t="str">
        <x:v>Monitor</x:v>
      </x:c>
      <x:c r="H737" s="11" t="n">
        <x:v>1</x:v>
      </x:c>
      <x:c r="I737" s="19" t="n">
        <x:v>0</x:v>
      </x:c>
      <x:c r="J737" s="11" t="n">
        <x:v>0</x:v>
      </x:c>
      <x:c r="K737" s="20" t="n">
        <x:v>240</x:v>
      </x:c>
      <x:c r="L737" s="20" t="n">
        <x:v>0</x:v>
      </x:c>
      <x:c r="M737" s="20" t="n">
        <x:v>160</x:v>
      </x:c>
      <x:c r="N737" s="20" t="n">
        <x:f>IF(J737=1,0,K737-L737)</x:f>
        <x:v>240</x:v>
      </x:c>
      <x:c r="O737" s="20" t="n">
        <x:f>N737-M737</x:f>
        <x:v>80</x:v>
      </x:c>
    </x:row>
    <x:row r="738" ht="22" customHeight="1">
      <x:c r="A738" s="11" t="n">
        <x:v>734</x:v>
      </x:c>
      <x:c r="B738" s="11" t="n">
        <x:v>366</x:v>
      </x:c>
      <x:c r="C738" s="18" t="n">
        <x:v>45676</x:v>
      </x:c>
      <x:c r="D738" s="11" t="str">
        <x:v>2025-01</x:v>
      </x:c>
      <x:c r="E738" s="11" t="str">
        <x:v>West</x:v>
      </x:c>
      <x:c r="F738" s="11" t="str">
        <x:v>Technology</x:v>
      </x:c>
      <x:c r="G738" s="11" t="str">
        <x:v>Keyboard</x:v>
      </x:c>
      <x:c r="H738" s="11" t="n">
        <x:v>5</x:v>
      </x:c>
      <x:c r="I738" s="19" t="n">
        <x:v>0.05</x:v>
      </x:c>
      <x:c r="J738" s="11" t="n">
        <x:v>0</x:v>
      </x:c>
      <x:c r="K738" s="20" t="n">
        <x:v>325</x:v>
      </x:c>
      <x:c r="L738" s="20" t="n">
        <x:v>16.25</x:v>
      </x:c>
      <x:c r="M738" s="20" t="n">
        <x:v>160</x:v>
      </x:c>
      <x:c r="N738" s="20" t="n">
        <x:f>IF(J738=1,0,K738-L738)</x:f>
        <x:v>308.75</x:v>
      </x:c>
      <x:c r="O738" s="20" t="n">
        <x:f>N738-M738</x:f>
        <x:v>148.75</x:v>
      </x:c>
    </x:row>
    <x:row r="739" ht="22" customHeight="1">
      <x:c r="A739" s="11" t="n">
        <x:v>735</x:v>
      </x:c>
      <x:c r="B739" s="11" t="n">
        <x:v>366</x:v>
      </x:c>
      <x:c r="C739" s="18" t="n">
        <x:v>45676</x:v>
      </x:c>
      <x:c r="D739" s="11" t="str">
        <x:v>2025-01</x:v>
      </x:c>
      <x:c r="E739" s="11" t="str">
        <x:v>West</x:v>
      </x:c>
      <x:c r="F739" s="11" t="str">
        <x:v>Office Supplies</x:v>
      </x:c>
      <x:c r="G739" s="11" t="str">
        <x:v>Storage box</x:v>
      </x:c>
      <x:c r="H739" s="11" t="n">
        <x:v>5</x:v>
      </x:c>
      <x:c r="I739" s="19" t="n">
        <x:v>0.1</x:v>
      </x:c>
      <x:c r="J739" s="11" t="n">
        <x:v>0</x:v>
      </x:c>
      <x:c r="K739" s="20" t="n">
        <x:v>130</x:v>
      </x:c>
      <x:c r="L739" s="20" t="n">
        <x:v>13</x:v>
      </x:c>
      <x:c r="M739" s="20" t="n">
        <x:v>60</x:v>
      </x:c>
      <x:c r="N739" s="20" t="n">
        <x:f>IF(J739=1,0,K739-L739)</x:f>
        <x:v>117</x:v>
      </x:c>
      <x:c r="O739" s="20" t="n">
        <x:f>N739-M739</x:f>
        <x:v>57</x:v>
      </x:c>
    </x:row>
    <x:row r="740" ht="22" customHeight="1">
      <x:c r="A740" s="11" t="n">
        <x:v>736</x:v>
      </x:c>
      <x:c r="B740" s="11" t="n">
        <x:v>367</x:v>
      </x:c>
      <x:c r="C740" s="18" t="n">
        <x:v>45918</x:v>
      </x:c>
      <x:c r="D740" s="11" t="str">
        <x:v>2025-09</x:v>
      </x:c>
      <x:c r="E740" s="11" t="str">
        <x:v>South</x:v>
      </x:c>
      <x:c r="F740" s="11" t="str">
        <x:v>Technology</x:v>
      </x:c>
      <x:c r="G740" s="11" t="str">
        <x:v>Keyboard</x:v>
      </x:c>
      <x:c r="H740" s="11" t="n">
        <x:v>5</x:v>
      </x:c>
      <x:c r="I740" s="19" t="n">
        <x:v>0.15</x:v>
      </x:c>
      <x:c r="J740" s="11" t="n">
        <x:v>0</x:v>
      </x:c>
      <x:c r="K740" s="20" t="n">
        <x:v>325</x:v>
      </x:c>
      <x:c r="L740" s="20" t="n">
        <x:v>48.75</x:v>
      </x:c>
      <x:c r="M740" s="20" t="n">
        <x:v>160</x:v>
      </x:c>
      <x:c r="N740" s="20" t="n">
        <x:f>IF(J740=1,0,K740-L740)</x:f>
        <x:v>276.25</x:v>
      </x:c>
      <x:c r="O740" s="20" t="n">
        <x:f>N740-M740</x:f>
        <x:v>116.25</x:v>
      </x:c>
    </x:row>
    <x:row r="741" ht="22" customHeight="1">
      <x:c r="A741" s="11" t="n">
        <x:v>737</x:v>
      </x:c>
      <x:c r="B741" s="11" t="n">
        <x:v>368</x:v>
      </x:c>
      <x:c r="C741" s="18" t="n">
        <x:v>45671</x:v>
      </x:c>
      <x:c r="D741" s="11" t="str">
        <x:v>2025-01</x:v>
      </x:c>
      <x:c r="E741" s="11" t="str">
        <x:v>East</x:v>
      </x:c>
      <x:c r="F741" s="11" t="str">
        <x:v>Technology</x:v>
      </x:c>
      <x:c r="G741" s="11" t="str">
        <x:v>Monitor</x:v>
      </x:c>
      <x:c r="H741" s="11" t="n">
        <x:v>3</x:v>
      </x:c>
      <x:c r="I741" s="19" t="n">
        <x:v>0.1</x:v>
      </x:c>
      <x:c r="J741" s="11" t="n">
        <x:v>0</x:v>
      </x:c>
      <x:c r="K741" s="20" t="n">
        <x:v>720</x:v>
      </x:c>
      <x:c r="L741" s="20" t="n">
        <x:v>72</x:v>
      </x:c>
      <x:c r="M741" s="20" t="n">
        <x:v>480</x:v>
      </x:c>
      <x:c r="N741" s="20" t="n">
        <x:f>IF(J741=1,0,K741-L741)</x:f>
        <x:v>648</x:v>
      </x:c>
      <x:c r="O741" s="20" t="n">
        <x:f>N741-M741</x:f>
        <x:v>168</x:v>
      </x:c>
    </x:row>
    <x:row r="742" ht="22" customHeight="1">
      <x:c r="A742" s="11" t="n">
        <x:v>738</x:v>
      </x:c>
      <x:c r="B742" s="11" t="n">
        <x:v>368</x:v>
      </x:c>
      <x:c r="C742" s="18" t="n">
        <x:v>45671</x:v>
      </x:c>
      <x:c r="D742" s="11" t="str">
        <x:v>2025-01</x:v>
      </x:c>
      <x:c r="E742" s="11" t="str">
        <x:v>East</x:v>
      </x:c>
      <x:c r="F742" s="11" t="str">
        <x:v>Office Supplies</x:v>
      </x:c>
      <x:c r="G742" s="11" t="str">
        <x:v>Notebook pack</x:v>
      </x:c>
      <x:c r="H742" s="11" t="n">
        <x:v>1</x:v>
      </x:c>
      <x:c r="I742" s="19" t="n">
        <x:v>0</x:v>
      </x:c>
      <x:c r="J742" s="11" t="n">
        <x:v>0</x:v>
      </x:c>
      <x:c r="K742" s="20" t="n">
        <x:v>18</x:v>
      </x:c>
      <x:c r="L742" s="20" t="n">
        <x:v>0</x:v>
      </x:c>
      <x:c r="M742" s="20" t="n">
        <x:v>7</x:v>
      </x:c>
      <x:c r="N742" s="20" t="n">
        <x:f>IF(J742=1,0,K742-L742)</x:f>
        <x:v>18</x:v>
      </x:c>
      <x:c r="O742" s="20" t="n">
        <x:f>N742-M742</x:f>
        <x:v>11</x:v>
      </x:c>
    </x:row>
    <x:row r="743" ht="22" customHeight="1">
      <x:c r="A743" s="11" t="n">
        <x:v>739</x:v>
      </x:c>
      <x:c r="B743" s="11" t="n">
        <x:v>369</x:v>
      </x:c>
      <x:c r="C743" s="18" t="n">
        <x:v>46008</x:v>
      </x:c>
      <x:c r="D743" s="11" t="str">
        <x:v>2025-12</x:v>
      </x:c>
      <x:c r="E743" s="11" t="str">
        <x:v>Central</x:v>
      </x:c>
      <x:c r="F743" s="11" t="str">
        <x:v>Office Supplies</x:v>
      </x:c>
      <x:c r="G743" s="11" t="str">
        <x:v>Notebook pack</x:v>
      </x:c>
      <x:c r="H743" s="11" t="n">
        <x:v>4</x:v>
      </x:c>
      <x:c r="I743" s="19" t="n">
        <x:v>0.05</x:v>
      </x:c>
      <x:c r="J743" s="11" t="n">
        <x:v>0</x:v>
      </x:c>
      <x:c r="K743" s="20" t="n">
        <x:v>72</x:v>
      </x:c>
      <x:c r="L743" s="20" t="n">
        <x:v>3.6</x:v>
      </x:c>
      <x:c r="M743" s="20" t="n">
        <x:v>28</x:v>
      </x:c>
      <x:c r="N743" s="20" t="n">
        <x:f>IF(J743=1,0,K743-L743)</x:f>
        <x:v>68.4</x:v>
      </x:c>
      <x:c r="O743" s="20" t="n">
        <x:f>N743-M743</x:f>
        <x:v>40.400000000000006</x:v>
      </x:c>
    </x:row>
    <x:row r="744" ht="22" customHeight="1">
      <x:c r="A744" s="11" t="n">
        <x:v>740</x:v>
      </x:c>
      <x:c r="B744" s="11" t="n">
        <x:v>370</x:v>
      </x:c>
      <x:c r="C744" s="18" t="n">
        <x:v>45920</x:v>
      </x:c>
      <x:c r="D744" s="11" t="str">
        <x:v>2025-09</x:v>
      </x:c>
      <x:c r="E744" s="11" t="str">
        <x:v>East</x:v>
      </x:c>
      <x:c r="F744" s="11" t="str">
        <x:v>Technology</x:v>
      </x:c>
      <x:c r="G744" s="11" t="str">
        <x:v>Keyboard</x:v>
      </x:c>
      <x:c r="H744" s="11" t="n">
        <x:v>1</x:v>
      </x:c>
      <x:c r="I744" s="19" t="n">
        <x:v>0</x:v>
      </x:c>
      <x:c r="J744" s="11" t="n">
        <x:v>0</x:v>
      </x:c>
      <x:c r="K744" s="20" t="n">
        <x:v>65</x:v>
      </x:c>
      <x:c r="L744" s="20" t="n">
        <x:v>0</x:v>
      </x:c>
      <x:c r="M744" s="20" t="n">
        <x:v>32</x:v>
      </x:c>
      <x:c r="N744" s="20" t="n">
        <x:f>IF(J744=1,0,K744-L744)</x:f>
        <x:v>65</x:v>
      </x:c>
      <x:c r="O744" s="20" t="n">
        <x:f>N744-M744</x:f>
        <x:v>33</x:v>
      </x:c>
    </x:row>
    <x:row r="745" ht="22" customHeight="1">
      <x:c r="A745" s="11" t="n">
        <x:v>741</x:v>
      </x:c>
      <x:c r="B745" s="11" t="n">
        <x:v>371</x:v>
      </x:c>
      <x:c r="C745" s="18" t="n">
        <x:v>45774</x:v>
      </x:c>
      <x:c r="D745" s="11" t="str">
        <x:v>2025-04</x:v>
      </x:c>
      <x:c r="E745" s="11" t="str">
        <x:v>West</x:v>
      </x:c>
      <x:c r="F745" s="11" t="str">
        <x:v>Furniture</x:v>
      </x:c>
      <x:c r="G745" s="11" t="str">
        <x:v>Desk</x:v>
      </x:c>
      <x:c r="H745" s="11" t="n">
        <x:v>3</x:v>
      </x:c>
      <x:c r="I745" s="19" t="n">
        <x:v>0.05</x:v>
      </x:c>
      <x:c r="J745" s="11" t="n">
        <x:v>0</x:v>
      </x:c>
      <x:c r="K745" s="20" t="n">
        <x:v>840</x:v>
      </x:c>
      <x:c r="L745" s="20" t="n">
        <x:v>42</x:v>
      </x:c>
      <x:c r="M745" s="20" t="n">
        <x:v>570</x:v>
      </x:c>
      <x:c r="N745" s="20" t="n">
        <x:f>IF(J745=1,0,K745-L745)</x:f>
        <x:v>798</x:v>
      </x:c>
      <x:c r="O745" s="20" t="n">
        <x:f>N745-M745</x:f>
        <x:v>228</x:v>
      </x:c>
    </x:row>
    <x:row r="746" ht="22" customHeight="1">
      <x:c r="A746" s="11" t="n">
        <x:v>742</x:v>
      </x:c>
      <x:c r="B746" s="11" t="n">
        <x:v>372</x:v>
      </x:c>
      <x:c r="C746" s="18" t="n">
        <x:v>45915</x:v>
      </x:c>
      <x:c r="D746" s="11" t="str">
        <x:v>2025-09</x:v>
      </x:c>
      <x:c r="E746" s="11" t="str">
        <x:v>South</x:v>
      </x:c>
      <x:c r="F746" s="11" t="str">
        <x:v>Office Supplies</x:v>
      </x:c>
      <x:c r="G746" s="11" t="str">
        <x:v>Notebook pack</x:v>
      </x:c>
      <x:c r="H746" s="11" t="n">
        <x:v>3</x:v>
      </x:c>
      <x:c r="I746" s="19" t="n">
        <x:v>0.15</x:v>
      </x:c>
      <x:c r="J746" s="11" t="n">
        <x:v>1</x:v>
      </x:c>
      <x:c r="K746" s="20" t="n">
        <x:v>54</x:v>
      </x:c>
      <x:c r="L746" s="20" t="n">
        <x:v>8.1</x:v>
      </x:c>
      <x:c r="M746" s="20" t="n">
        <x:v>0</x:v>
      </x:c>
      <x:c r="N746" s="20" t="n">
        <x:f>IF(J746=1,0,K746-L746)</x:f>
        <x:v>0</x:v>
      </x:c>
      <x:c r="O746" s="20" t="n">
        <x:f>N746-M746</x:f>
        <x:v>0</x:v>
      </x:c>
    </x:row>
    <x:row r="747" ht="22" customHeight="1">
      <x:c r="A747" s="11" t="n">
        <x:v>743</x:v>
      </x:c>
      <x:c r="B747" s="11" t="n">
        <x:v>372</x:v>
      </x:c>
      <x:c r="C747" s="18" t="n">
        <x:v>45915</x:v>
      </x:c>
      <x:c r="D747" s="11" t="str">
        <x:v>2025-09</x:v>
      </x:c>
      <x:c r="E747" s="11" t="str">
        <x:v>South</x:v>
      </x:c>
      <x:c r="F747" s="11" t="str">
        <x:v>Office Supplies</x:v>
      </x:c>
      <x:c r="G747" s="11" t="str">
        <x:v>Storage box</x:v>
      </x:c>
      <x:c r="H747" s="11" t="n">
        <x:v>2</x:v>
      </x:c>
      <x:c r="I747" s="19" t="n">
        <x:v>0.1</x:v>
      </x:c>
      <x:c r="J747" s="11" t="n">
        <x:v>0</x:v>
      </x:c>
      <x:c r="K747" s="20" t="n">
        <x:v>52</x:v>
      </x:c>
      <x:c r="L747" s="20" t="n">
        <x:v>5.2</x:v>
      </x:c>
      <x:c r="M747" s="20" t="n">
        <x:v>24</x:v>
      </x:c>
      <x:c r="N747" s="20" t="n">
        <x:f>IF(J747=1,0,K747-L747)</x:f>
        <x:v>46.8</x:v>
      </x:c>
      <x:c r="O747" s="20" t="n">
        <x:f>N747-M747</x:f>
        <x:v>22.799999999999997</x:v>
      </x:c>
    </x:row>
    <x:row r="748" ht="22" customHeight="1">
      <x:c r="A748" s="11" t="n">
        <x:v>744</x:v>
      </x:c>
      <x:c r="B748" s="11" t="n">
        <x:v>373</x:v>
      </x:c>
      <x:c r="C748" s="18" t="n">
        <x:v>45498</x:v>
      </x:c>
      <x:c r="D748" s="11" t="str">
        <x:v>2024-07</x:v>
      </x:c>
      <x:c r="E748" s="11" t="str">
        <x:v>Central</x:v>
      </x:c>
      <x:c r="F748" s="11" t="str">
        <x:v>Furniture</x:v>
      </x:c>
      <x:c r="G748" s="11" t="str">
        <x:v>Desk</x:v>
      </x:c>
      <x:c r="H748" s="11" t="n">
        <x:v>5</x:v>
      </x:c>
      <x:c r="I748" s="19" t="n">
        <x:v>0.05</x:v>
      </x:c>
      <x:c r="J748" s="11" t="n">
        <x:v>0</x:v>
      </x:c>
      <x:c r="K748" s="20" t="n">
        <x:v>1400</x:v>
      </x:c>
      <x:c r="L748" s="20" t="n">
        <x:v>70</x:v>
      </x:c>
      <x:c r="M748" s="20" t="n">
        <x:v>950</x:v>
      </x:c>
      <x:c r="N748" s="20" t="n">
        <x:f>IF(J748=1,0,K748-L748)</x:f>
        <x:v>1330</x:v>
      </x:c>
      <x:c r="O748" s="20" t="n">
        <x:f>N748-M748</x:f>
        <x:v>380</x:v>
      </x:c>
    </x:row>
    <x:row r="749" ht="22" customHeight="1">
      <x:c r="A749" s="11" t="n">
        <x:v>745</x:v>
      </x:c>
      <x:c r="B749" s="11" t="n">
        <x:v>374</x:v>
      </x:c>
      <x:c r="C749" s="18" t="n">
        <x:v>45982</x:v>
      </x:c>
      <x:c r="D749" s="11" t="str">
        <x:v>2025-11</x:v>
      </x:c>
      <x:c r="E749" s="11" t="str">
        <x:v>South</x:v>
      </x:c>
      <x:c r="F749" s="11" t="str">
        <x:v>Office Supplies</x:v>
      </x:c>
      <x:c r="G749" s="11" t="str">
        <x:v>Storage box</x:v>
      </x:c>
      <x:c r="H749" s="11" t="n">
        <x:v>1</x:v>
      </x:c>
      <x:c r="I749" s="19" t="n">
        <x:v>0</x:v>
      </x:c>
      <x:c r="J749" s="11" t="n">
        <x:v>0</x:v>
      </x:c>
      <x:c r="K749" s="20" t="n">
        <x:v>26</x:v>
      </x:c>
      <x:c r="L749" s="20" t="n">
        <x:v>0</x:v>
      </x:c>
      <x:c r="M749" s="20" t="n">
        <x:v>12</x:v>
      </x:c>
      <x:c r="N749" s="20" t="n">
        <x:f>IF(J749=1,0,K749-L749)</x:f>
        <x:v>26</x:v>
      </x:c>
      <x:c r="O749" s="20" t="n">
        <x:f>N749-M749</x:f>
        <x:v>14</x:v>
      </x:c>
    </x:row>
    <x:row r="750" ht="22" customHeight="1">
      <x:c r="A750" s="11" t="n">
        <x:v>746</x:v>
      </x:c>
      <x:c r="B750" s="11" t="n">
        <x:v>375</x:v>
      </x:c>
      <x:c r="C750" s="18" t="n">
        <x:v>45574</x:v>
      </x:c>
      <x:c r="D750" s="11" t="str">
        <x:v>2024-10</x:v>
      </x:c>
      <x:c r="E750" s="11" t="str">
        <x:v>South</x:v>
      </x:c>
      <x:c r="F750" s="11" t="str">
        <x:v>Office Supplies</x:v>
      </x:c>
      <x:c r="G750" s="11" t="str">
        <x:v>Storage box</x:v>
      </x:c>
      <x:c r="H750" s="11" t="n">
        <x:v>4</x:v>
      </x:c>
      <x:c r="I750" s="19" t="n">
        <x:v>0.15</x:v>
      </x:c>
      <x:c r="J750" s="11" t="n">
        <x:v>0</x:v>
      </x:c>
      <x:c r="K750" s="20" t="n">
        <x:v>104</x:v>
      </x:c>
      <x:c r="L750" s="20" t="n">
        <x:v>15.6</x:v>
      </x:c>
      <x:c r="M750" s="20" t="n">
        <x:v>48</x:v>
      </x:c>
      <x:c r="N750" s="20" t="n">
        <x:f>IF(J750=1,0,K750-L750)</x:f>
        <x:v>88.4</x:v>
      </x:c>
      <x:c r="O750" s="20" t="n">
        <x:f>N750-M750</x:f>
        <x:v>40.400000000000006</x:v>
      </x:c>
    </x:row>
    <x:row r="751" ht="22" customHeight="1">
      <x:c r="A751" s="11" t="n">
        <x:v>747</x:v>
      </x:c>
      <x:c r="B751" s="11" t="n">
        <x:v>375</x:v>
      </x:c>
      <x:c r="C751" s="18" t="n">
        <x:v>45574</x:v>
      </x:c>
      <x:c r="D751" s="11" t="str">
        <x:v>2024-10</x:v>
      </x:c>
      <x:c r="E751" s="11" t="str">
        <x:v>South</x:v>
      </x:c>
      <x:c r="F751" s="11" t="str">
        <x:v>Technology</x:v>
      </x:c>
      <x:c r="G751" s="11" t="str">
        <x:v>Keyboard</x:v>
      </x:c>
      <x:c r="H751" s="11" t="n">
        <x:v>1</x:v>
      </x:c>
      <x:c r="I751" s="19" t="n">
        <x:v>0</x:v>
      </x:c>
      <x:c r="J751" s="11" t="n">
        <x:v>0</x:v>
      </x:c>
      <x:c r="K751" s="20" t="n">
        <x:v>65</x:v>
      </x:c>
      <x:c r="L751" s="20" t="n">
        <x:v>0</x:v>
      </x:c>
      <x:c r="M751" s="20" t="n">
        <x:v>32</x:v>
      </x:c>
      <x:c r="N751" s="20" t="n">
        <x:f>IF(J751=1,0,K751-L751)</x:f>
        <x:v>65</x:v>
      </x:c>
      <x:c r="O751" s="20" t="n">
        <x:f>N751-M751</x:f>
        <x:v>33</x:v>
      </x:c>
    </x:row>
    <x:row r="752" ht="22" customHeight="1">
      <x:c r="A752" s="11" t="n">
        <x:v>748</x:v>
      </x:c>
      <x:c r="B752" s="11" t="n">
        <x:v>376</x:v>
      </x:c>
      <x:c r="C752" s="18" t="n">
        <x:v>45854</x:v>
      </x:c>
      <x:c r="D752" s="11" t="str">
        <x:v>2025-07</x:v>
      </x:c>
      <x:c r="E752" s="11" t="str">
        <x:v>South</x:v>
      </x:c>
      <x:c r="F752" s="11" t="str">
        <x:v>Technology</x:v>
      </x:c>
      <x:c r="G752" s="11" t="str">
        <x:v>Monitor</x:v>
      </x:c>
      <x:c r="H752" s="11" t="n">
        <x:v>5</x:v>
      </x:c>
      <x:c r="I752" s="19" t="n">
        <x:v>0</x:v>
      </x:c>
      <x:c r="J752" s="11" t="n">
        <x:v>0</x:v>
      </x:c>
      <x:c r="K752" s="20" t="n">
        <x:v>1200</x:v>
      </x:c>
      <x:c r="L752" s="20" t="n">
        <x:v>0</x:v>
      </x:c>
      <x:c r="M752" s="20" t="n">
        <x:v>800</x:v>
      </x:c>
      <x:c r="N752" s="20" t="n">
        <x:f>IF(J752=1,0,K752-L752)</x:f>
        <x:v>1200</x:v>
      </x:c>
      <x:c r="O752" s="20" t="n">
        <x:f>N752-M752</x:f>
        <x:v>400</x:v>
      </x:c>
    </x:row>
    <x:row r="753" ht="22" customHeight="1">
      <x:c r="A753" s="11" t="n">
        <x:v>749</x:v>
      </x:c>
      <x:c r="B753" s="11" t="n">
        <x:v>376</x:v>
      </x:c>
      <x:c r="C753" s="18" t="n">
        <x:v>45854</x:v>
      </x:c>
      <x:c r="D753" s="11" t="str">
        <x:v>2025-07</x:v>
      </x:c>
      <x:c r="E753" s="11" t="str">
        <x:v>South</x:v>
      </x:c>
      <x:c r="F753" s="11" t="str">
        <x:v>Furniture</x:v>
      </x:c>
      <x:c r="G753" s="11" t="str">
        <x:v>Chair</x:v>
      </x:c>
      <x:c r="H753" s="11" t="n">
        <x:v>4</x:v>
      </x:c>
      <x:c r="I753" s="19" t="n">
        <x:v>0</x:v>
      </x:c>
      <x:c r="J753" s="11" t="n">
        <x:v>0</x:v>
      </x:c>
      <x:c r="K753" s="20" t="n">
        <x:v>680</x:v>
      </x:c>
      <x:c r="L753" s="20" t="n">
        <x:v>0</x:v>
      </x:c>
      <x:c r="M753" s="20" t="n">
        <x:v>440</x:v>
      </x:c>
      <x:c r="N753" s="20" t="n">
        <x:f>IF(J753=1,0,K753-L753)</x:f>
        <x:v>680</x:v>
      </x:c>
      <x:c r="O753" s="20" t="n">
        <x:f>N753-M753</x:f>
        <x:v>240</x:v>
      </x:c>
    </x:row>
    <x:row r="754" ht="22" customHeight="1">
      <x:c r="A754" s="11" t="n">
        <x:v>750</x:v>
      </x:c>
      <x:c r="B754" s="11" t="n">
        <x:v>377</x:v>
      </x:c>
      <x:c r="C754" s="18" t="n">
        <x:v>45708</x:v>
      </x:c>
      <x:c r="D754" s="11" t="str">
        <x:v>2025-02</x:v>
      </x:c>
      <x:c r="E754" s="11" t="str">
        <x:v>East</x:v>
      </x:c>
      <x:c r="F754" s="11" t="str">
        <x:v>Furniture</x:v>
      </x:c>
      <x:c r="G754" s="11" t="str">
        <x:v>Desk</x:v>
      </x:c>
      <x:c r="H754" s="11" t="n">
        <x:v>3</x:v>
      </x:c>
      <x:c r="I754" s="19" t="n">
        <x:v>0</x:v>
      </x:c>
      <x:c r="J754" s="11" t="n">
        <x:v>0</x:v>
      </x:c>
      <x:c r="K754" s="20" t="n">
        <x:v>840</x:v>
      </x:c>
      <x:c r="L754" s="20" t="n">
        <x:v>0</x:v>
      </x:c>
      <x:c r="M754" s="20" t="n">
        <x:v>570</x:v>
      </x:c>
      <x:c r="N754" s="20" t="n">
        <x:f>IF(J754=1,0,K754-L754)</x:f>
        <x:v>840</x:v>
      </x:c>
      <x:c r="O754" s="20" t="n">
        <x:f>N754-M754</x:f>
        <x:v>270</x:v>
      </x:c>
    </x:row>
    <x:row r="755" ht="22" customHeight="1">
      <x:c r="A755" s="11" t="n">
        <x:v>751</x:v>
      </x:c>
      <x:c r="B755" s="11" t="n">
        <x:v>377</x:v>
      </x:c>
      <x:c r="C755" s="18" t="n">
        <x:v>45708</x:v>
      </x:c>
      <x:c r="D755" s="11" t="str">
        <x:v>2025-02</x:v>
      </x:c>
      <x:c r="E755" s="11" t="str">
        <x:v>East</x:v>
      </x:c>
      <x:c r="F755" s="11" t="str">
        <x:v>Office Supplies</x:v>
      </x:c>
      <x:c r="G755" s="11" t="str">
        <x:v>Notebook pack</x:v>
      </x:c>
      <x:c r="H755" s="11" t="n">
        <x:v>3</x:v>
      </x:c>
      <x:c r="I755" s="19" t="n">
        <x:v>0.15</x:v>
      </x:c>
      <x:c r="J755" s="11" t="n">
        <x:v>0</x:v>
      </x:c>
      <x:c r="K755" s="20" t="n">
        <x:v>54</x:v>
      </x:c>
      <x:c r="L755" s="20" t="n">
        <x:v>8.1</x:v>
      </x:c>
      <x:c r="M755" s="20" t="n">
        <x:v>21</x:v>
      </x:c>
      <x:c r="N755" s="20" t="n">
        <x:f>IF(J755=1,0,K755-L755)</x:f>
        <x:v>45.9</x:v>
      </x:c>
      <x:c r="O755" s="20" t="n">
        <x:f>N755-M755</x:f>
        <x:v>24.9</x:v>
      </x:c>
    </x:row>
    <x:row r="756" ht="22" customHeight="1">
      <x:c r="A756" s="11" t="n">
        <x:v>752</x:v>
      </x:c>
      <x:c r="B756" s="11" t="n">
        <x:v>377</x:v>
      </x:c>
      <x:c r="C756" s="18" t="n">
        <x:v>45708</x:v>
      </x:c>
      <x:c r="D756" s="11" t="str">
        <x:v>2025-02</x:v>
      </x:c>
      <x:c r="E756" s="11" t="str">
        <x:v>East</x:v>
      </x:c>
      <x:c r="F756" s="11" t="str">
        <x:v>Technology</x:v>
      </x:c>
      <x:c r="G756" s="11" t="str">
        <x:v>Monitor</x:v>
      </x:c>
      <x:c r="H756" s="11" t="n">
        <x:v>5</x:v>
      </x:c>
      <x:c r="I756" s="19" t="n">
        <x:v>0.05</x:v>
      </x:c>
      <x:c r="J756" s="11" t="n">
        <x:v>0</x:v>
      </x:c>
      <x:c r="K756" s="20" t="n">
        <x:v>1200</x:v>
      </x:c>
      <x:c r="L756" s="20" t="n">
        <x:v>60</x:v>
      </x:c>
      <x:c r="M756" s="20" t="n">
        <x:v>800</x:v>
      </x:c>
      <x:c r="N756" s="20" t="n">
        <x:f>IF(J756=1,0,K756-L756)</x:f>
        <x:v>1140</x:v>
      </x:c>
      <x:c r="O756" s="20" t="n">
        <x:f>N756-M756</x:f>
        <x:v>340</x:v>
      </x:c>
    </x:row>
    <x:row r="757" ht="22" customHeight="1">
      <x:c r="A757" s="11" t="n">
        <x:v>753</x:v>
      </x:c>
      <x:c r="B757" s="11" t="n">
        <x:v>378</x:v>
      </x:c>
      <x:c r="C757" s="18" t="n">
        <x:v>45678</x:v>
      </x:c>
      <x:c r="D757" s="11" t="str">
        <x:v>2025-01</x:v>
      </x:c>
      <x:c r="E757" s="11" t="str">
        <x:v>South</x:v>
      </x:c>
      <x:c r="F757" s="11" t="str">
        <x:v>Technology</x:v>
      </x:c>
      <x:c r="G757" s="11" t="str">
        <x:v>Monitor</x:v>
      </x:c>
      <x:c r="H757" s="11" t="n">
        <x:v>4</x:v>
      </x:c>
      <x:c r="I757" s="19" t="n">
        <x:v>0.1</x:v>
      </x:c>
      <x:c r="J757" s="11" t="n">
        <x:v>0</x:v>
      </x:c>
      <x:c r="K757" s="20" t="n">
        <x:v>960</x:v>
      </x:c>
      <x:c r="L757" s="20" t="n">
        <x:v>96</x:v>
      </x:c>
      <x:c r="M757" s="20" t="n">
        <x:v>640</x:v>
      </x:c>
      <x:c r="N757" s="20" t="n">
        <x:f>IF(J757=1,0,K757-L757)</x:f>
        <x:v>864</x:v>
      </x:c>
      <x:c r="O757" s="20" t="n">
        <x:f>N757-M757</x:f>
        <x:v>224</x:v>
      </x:c>
    </x:row>
    <x:row r="758" ht="22" customHeight="1">
      <x:c r="A758" s="11" t="n">
        <x:v>754</x:v>
      </x:c>
      <x:c r="B758" s="11" t="n">
        <x:v>379</x:v>
      </x:c>
      <x:c r="C758" s="18" t="n">
        <x:v>45320</x:v>
      </x:c>
      <x:c r="D758" s="11" t="str">
        <x:v>2024-01</x:v>
      </x:c>
      <x:c r="E758" s="11" t="str">
        <x:v>Central</x:v>
      </x:c>
      <x:c r="F758" s="11" t="str">
        <x:v>Furniture</x:v>
      </x:c>
      <x:c r="G758" s="11" t="str">
        <x:v>Desk</x:v>
      </x:c>
      <x:c r="H758" s="11" t="n">
        <x:v>2</x:v>
      </x:c>
      <x:c r="I758" s="19" t="n">
        <x:v>0.05</x:v>
      </x:c>
      <x:c r="J758" s="11" t="n">
        <x:v>0</x:v>
      </x:c>
      <x:c r="K758" s="20" t="n">
        <x:v>560</x:v>
      </x:c>
      <x:c r="L758" s="20" t="n">
        <x:v>28</x:v>
      </x:c>
      <x:c r="M758" s="20" t="n">
        <x:v>380</x:v>
      </x:c>
      <x:c r="N758" s="20" t="n">
        <x:f>IF(J758=1,0,K758-L758)</x:f>
        <x:v>532</x:v>
      </x:c>
      <x:c r="O758" s="20" t="n">
        <x:f>N758-M758</x:f>
        <x:v>152</x:v>
      </x:c>
    </x:row>
    <x:row r="759" ht="22" customHeight="1">
      <x:c r="A759" s="11" t="n">
        <x:v>755</x:v>
      </x:c>
      <x:c r="B759" s="11" t="n">
        <x:v>379</x:v>
      </x:c>
      <x:c r="C759" s="18" t="n">
        <x:v>45320</x:v>
      </x:c>
      <x:c r="D759" s="11" t="str">
        <x:v>2024-01</x:v>
      </x:c>
      <x:c r="E759" s="11" t="str">
        <x:v>Central</x:v>
      </x:c>
      <x:c r="F759" s="11" t="str">
        <x:v>Technology</x:v>
      </x:c>
      <x:c r="G759" s="11" t="str">
        <x:v>Keyboard</x:v>
      </x:c>
      <x:c r="H759" s="11" t="n">
        <x:v>4</x:v>
      </x:c>
      <x:c r="I759" s="19" t="n">
        <x:v>0.05</x:v>
      </x:c>
      <x:c r="J759" s="11" t="n">
        <x:v>0</x:v>
      </x:c>
      <x:c r="K759" s="20" t="n">
        <x:v>260</x:v>
      </x:c>
      <x:c r="L759" s="20" t="n">
        <x:v>13</x:v>
      </x:c>
      <x:c r="M759" s="20" t="n">
        <x:v>128</x:v>
      </x:c>
      <x:c r="N759" s="20" t="n">
        <x:f>IF(J759=1,0,K759-L759)</x:f>
        <x:v>247</x:v>
      </x:c>
      <x:c r="O759" s="20" t="n">
        <x:f>N759-M759</x:f>
        <x:v>119</x:v>
      </x:c>
    </x:row>
    <x:row r="760" ht="22" customHeight="1">
      <x:c r="A760" s="11" t="n">
        <x:v>756</x:v>
      </x:c>
      <x:c r="B760" s="11" t="n">
        <x:v>380</x:v>
      </x:c>
      <x:c r="C760" s="18" t="n">
        <x:v>45301</x:v>
      </x:c>
      <x:c r="D760" s="11" t="str">
        <x:v>2024-01</x:v>
      </x:c>
      <x:c r="E760" s="11" t="str">
        <x:v>Central</x:v>
      </x:c>
      <x:c r="F760" s="11" t="str">
        <x:v>Technology</x:v>
      </x:c>
      <x:c r="G760" s="11" t="str">
        <x:v>Monitor</x:v>
      </x:c>
      <x:c r="H760" s="11" t="n">
        <x:v>1</x:v>
      </x:c>
      <x:c r="I760" s="19" t="n">
        <x:v>0.1</x:v>
      </x:c>
      <x:c r="J760" s="11" t="n">
        <x:v>0</x:v>
      </x:c>
      <x:c r="K760" s="20" t="n">
        <x:v>240</x:v>
      </x:c>
      <x:c r="L760" s="20" t="n">
        <x:v>24</x:v>
      </x:c>
      <x:c r="M760" s="20" t="n">
        <x:v>160</x:v>
      </x:c>
      <x:c r="N760" s="20" t="n">
        <x:f>IF(J760=1,0,K760-L760)</x:f>
        <x:v>216</x:v>
      </x:c>
      <x:c r="O760" s="20" t="n">
        <x:f>N760-M760</x:f>
        <x:v>56</x:v>
      </x:c>
    </x:row>
    <x:row r="761" ht="22" customHeight="1">
      <x:c r="A761" s="11" t="n">
        <x:v>757</x:v>
      </x:c>
      <x:c r="B761" s="11" t="n">
        <x:v>381</x:v>
      </x:c>
      <x:c r="C761" s="18" t="n">
        <x:v>45642</x:v>
      </x:c>
      <x:c r="D761" s="11" t="str">
        <x:v>2024-12</x:v>
      </x:c>
      <x:c r="E761" s="11" t="str">
        <x:v>South</x:v>
      </x:c>
      <x:c r="F761" s="11" t="str">
        <x:v>Technology</x:v>
      </x:c>
      <x:c r="G761" s="11" t="str">
        <x:v>Monitor</x:v>
      </x:c>
      <x:c r="H761" s="11" t="n">
        <x:v>2</x:v>
      </x:c>
      <x:c r="I761" s="19" t="n">
        <x:v>0.15</x:v>
      </x:c>
      <x:c r="J761" s="11" t="n">
        <x:v>0</x:v>
      </x:c>
      <x:c r="K761" s="20" t="n">
        <x:v>480</x:v>
      </x:c>
      <x:c r="L761" s="20" t="n">
        <x:v>72</x:v>
      </x:c>
      <x:c r="M761" s="20" t="n">
        <x:v>320</x:v>
      </x:c>
      <x:c r="N761" s="20" t="n">
        <x:f>IF(J761=1,0,K761-L761)</x:f>
        <x:v>408</x:v>
      </x:c>
      <x:c r="O761" s="20" t="n">
        <x:f>N761-M761</x:f>
        <x:v>88</x:v>
      </x:c>
    </x:row>
    <x:row r="762" ht="22" customHeight="1">
      <x:c r="A762" s="11" t="n">
        <x:v>758</x:v>
      </x:c>
      <x:c r="B762" s="11" t="n">
        <x:v>381</x:v>
      </x:c>
      <x:c r="C762" s="18" t="n">
        <x:v>45642</x:v>
      </x:c>
      <x:c r="D762" s="11" t="str">
        <x:v>2024-12</x:v>
      </x:c>
      <x:c r="E762" s="11" t="str">
        <x:v>South</x:v>
      </x:c>
      <x:c r="F762" s="11" t="str">
        <x:v>Office Supplies</x:v>
      </x:c>
      <x:c r="G762" s="11" t="str">
        <x:v>Storage box</x:v>
      </x:c>
      <x:c r="H762" s="11" t="n">
        <x:v>2</x:v>
      </x:c>
      <x:c r="I762" s="19" t="n">
        <x:v>0.1</x:v>
      </x:c>
      <x:c r="J762" s="11" t="n">
        <x:v>0</x:v>
      </x:c>
      <x:c r="K762" s="20" t="n">
        <x:v>52</x:v>
      </x:c>
      <x:c r="L762" s="20" t="n">
        <x:v>5.2</x:v>
      </x:c>
      <x:c r="M762" s="20" t="n">
        <x:v>24</x:v>
      </x:c>
      <x:c r="N762" s="20" t="n">
        <x:f>IF(J762=1,0,K762-L762)</x:f>
        <x:v>46.8</x:v>
      </x:c>
      <x:c r="O762" s="20" t="n">
        <x:f>N762-M762</x:f>
        <x:v>22.799999999999997</x:v>
      </x:c>
    </x:row>
    <x:row r="763" ht="22" customHeight="1">
      <x:c r="A763" s="11" t="n">
        <x:v>759</x:v>
      </x:c>
      <x:c r="B763" s="11" t="n">
        <x:v>382</x:v>
      </x:c>
      <x:c r="C763" s="18" t="n">
        <x:v>45532</x:v>
      </x:c>
      <x:c r="D763" s="11" t="str">
        <x:v>2024-08</x:v>
      </x:c>
      <x:c r="E763" s="11" t="str">
        <x:v>Central</x:v>
      </x:c>
      <x:c r="F763" s="11" t="str">
        <x:v>Furniture</x:v>
      </x:c>
      <x:c r="G763" s="11" t="str">
        <x:v>Chair</x:v>
      </x:c>
      <x:c r="H763" s="11" t="n">
        <x:v>2</x:v>
      </x:c>
      <x:c r="I763" s="19" t="n">
        <x:v>0.05</x:v>
      </x:c>
      <x:c r="J763" s="11" t="n">
        <x:v>0</x:v>
      </x:c>
      <x:c r="K763" s="20" t="n">
        <x:v>340</x:v>
      </x:c>
      <x:c r="L763" s="20" t="n">
        <x:v>17</x:v>
      </x:c>
      <x:c r="M763" s="20" t="n">
        <x:v>220</x:v>
      </x:c>
      <x:c r="N763" s="20" t="n">
        <x:f>IF(J763=1,0,K763-L763)</x:f>
        <x:v>323</x:v>
      </x:c>
      <x:c r="O763" s="20" t="n">
        <x:f>N763-M763</x:f>
        <x:v>103</x:v>
      </x:c>
    </x:row>
    <x:row r="764" ht="22" customHeight="1">
      <x:c r="A764" s="11" t="n">
        <x:v>760</x:v>
      </x:c>
      <x:c r="B764" s="11" t="n">
        <x:v>382</x:v>
      </x:c>
      <x:c r="C764" s="18" t="n">
        <x:v>45532</x:v>
      </x:c>
      <x:c r="D764" s="11" t="str">
        <x:v>2024-08</x:v>
      </x:c>
      <x:c r="E764" s="11" t="str">
        <x:v>Central</x:v>
      </x:c>
      <x:c r="F764" s="11" t="str">
        <x:v>Office Supplies</x:v>
      </x:c>
      <x:c r="G764" s="11" t="str">
        <x:v>Storage box</x:v>
      </x:c>
      <x:c r="H764" s="11" t="n">
        <x:v>3</x:v>
      </x:c>
      <x:c r="I764" s="19" t="n">
        <x:v>0</x:v>
      </x:c>
      <x:c r="J764" s="11" t="n">
        <x:v>0</x:v>
      </x:c>
      <x:c r="K764" s="20" t="n">
        <x:v>78</x:v>
      </x:c>
      <x:c r="L764" s="20" t="n">
        <x:v>0</x:v>
      </x:c>
      <x:c r="M764" s="20" t="n">
        <x:v>36</x:v>
      </x:c>
      <x:c r="N764" s="20" t="n">
        <x:f>IF(J764=1,0,K764-L764)</x:f>
        <x:v>78</x:v>
      </x:c>
      <x:c r="O764" s="20" t="n">
        <x:f>N764-M764</x:f>
        <x:v>42</x:v>
      </x:c>
    </x:row>
    <x:row r="765" ht="22" customHeight="1">
      <x:c r="A765" s="11" t="n">
        <x:v>761</x:v>
      </x:c>
      <x:c r="B765" s="11" t="n">
        <x:v>383</x:v>
      </x:c>
      <x:c r="C765" s="18" t="n">
        <x:v>45414</x:v>
      </x:c>
      <x:c r="D765" s="11" t="str">
        <x:v>2024-05</x:v>
      </x:c>
      <x:c r="E765" s="11" t="str">
        <x:v>Central</x:v>
      </x:c>
      <x:c r="F765" s="11" t="str">
        <x:v>Furniture</x:v>
      </x:c>
      <x:c r="G765" s="11" t="str">
        <x:v>Desk</x:v>
      </x:c>
      <x:c r="H765" s="11" t="n">
        <x:v>4</x:v>
      </x:c>
      <x:c r="I765" s="19" t="n">
        <x:v>0.15</x:v>
      </x:c>
      <x:c r="J765" s="11" t="n">
        <x:v>0</x:v>
      </x:c>
      <x:c r="K765" s="20" t="n">
        <x:v>1120</x:v>
      </x:c>
      <x:c r="L765" s="20" t="n">
        <x:v>168</x:v>
      </x:c>
      <x:c r="M765" s="20" t="n">
        <x:v>760</x:v>
      </x:c>
      <x:c r="N765" s="20" t="n">
        <x:f>IF(J765=1,0,K765-L765)</x:f>
        <x:v>952</x:v>
      </x:c>
      <x:c r="O765" s="20" t="n">
        <x:f>N765-M765</x:f>
        <x:v>192</x:v>
      </x:c>
    </x:row>
    <x:row r="766" ht="22" customHeight="1">
      <x:c r="A766" s="11" t="n">
        <x:v>762</x:v>
      </x:c>
      <x:c r="B766" s="11" t="n">
        <x:v>383</x:v>
      </x:c>
      <x:c r="C766" s="18" t="n">
        <x:v>45414</x:v>
      </x:c>
      <x:c r="D766" s="11" t="str">
        <x:v>2024-05</x:v>
      </x:c>
      <x:c r="E766" s="11" t="str">
        <x:v>Central</x:v>
      </x:c>
      <x:c r="F766" s="11" t="str">
        <x:v>Office Supplies</x:v>
      </x:c>
      <x:c r="G766" s="11" t="str">
        <x:v>Notebook pack</x:v>
      </x:c>
      <x:c r="H766" s="11" t="n">
        <x:v>4</x:v>
      </x:c>
      <x:c r="I766" s="19" t="n">
        <x:v>0.15</x:v>
      </x:c>
      <x:c r="J766" s="11" t="n">
        <x:v>0</x:v>
      </x:c>
      <x:c r="K766" s="20" t="n">
        <x:v>72</x:v>
      </x:c>
      <x:c r="L766" s="20" t="n">
        <x:v>10.8</x:v>
      </x:c>
      <x:c r="M766" s="20" t="n">
        <x:v>28</x:v>
      </x:c>
      <x:c r="N766" s="20" t="n">
        <x:f>IF(J766=1,0,K766-L766)</x:f>
        <x:v>61.2</x:v>
      </x:c>
      <x:c r="O766" s="20" t="n">
        <x:f>N766-M766</x:f>
        <x:v>33.2</x:v>
      </x:c>
    </x:row>
    <x:row r="767" ht="22" customHeight="1">
      <x:c r="A767" s="11" t="n">
        <x:v>763</x:v>
      </x:c>
      <x:c r="B767" s="11" t="n">
        <x:v>383</x:v>
      </x:c>
      <x:c r="C767" s="18" t="n">
        <x:v>45414</x:v>
      </x:c>
      <x:c r="D767" s="11" t="str">
        <x:v>2024-05</x:v>
      </x:c>
      <x:c r="E767" s="11" t="str">
        <x:v>Central</x:v>
      </x:c>
      <x:c r="F767" s="11" t="str">
        <x:v>Office Supplies</x:v>
      </x:c>
      <x:c r="G767" s="11" t="str">
        <x:v>Storage box</x:v>
      </x:c>
      <x:c r="H767" s="11" t="n">
        <x:v>4</x:v>
      </x:c>
      <x:c r="I767" s="19" t="n">
        <x:v>0</x:v>
      </x:c>
      <x:c r="J767" s="11" t="n">
        <x:v>0</x:v>
      </x:c>
      <x:c r="K767" s="20" t="n">
        <x:v>104</x:v>
      </x:c>
      <x:c r="L767" s="20" t="n">
        <x:v>0</x:v>
      </x:c>
      <x:c r="M767" s="20" t="n">
        <x:v>48</x:v>
      </x:c>
      <x:c r="N767" s="20" t="n">
        <x:f>IF(J767=1,0,K767-L767)</x:f>
        <x:v>104</x:v>
      </x:c>
      <x:c r="O767" s="20" t="n">
        <x:f>N767-M767</x:f>
        <x:v>56</x:v>
      </x:c>
    </x:row>
    <x:row r="768" ht="22" customHeight="1">
      <x:c r="A768" s="11" t="n">
        <x:v>764</x:v>
      </x:c>
      <x:c r="B768" s="11" t="n">
        <x:v>384</x:v>
      </x:c>
      <x:c r="C768" s="18" t="n">
        <x:v>45815</x:v>
      </x:c>
      <x:c r="D768" s="11" t="str">
        <x:v>2025-06</x:v>
      </x:c>
      <x:c r="E768" s="11" t="str">
        <x:v>West</x:v>
      </x:c>
      <x:c r="F768" s="11" t="str">
        <x:v>Office Supplies</x:v>
      </x:c>
      <x:c r="G768" s="11" t="str">
        <x:v>Notebook pack</x:v>
      </x:c>
      <x:c r="H768" s="11" t="n">
        <x:v>2</x:v>
      </x:c>
      <x:c r="I768" s="19" t="n">
        <x:v>0</x:v>
      </x:c>
      <x:c r="J768" s="11" t="n">
        <x:v>0</x:v>
      </x:c>
      <x:c r="K768" s="20" t="n">
        <x:v>36</x:v>
      </x:c>
      <x:c r="L768" s="20" t="n">
        <x:v>0</x:v>
      </x:c>
      <x:c r="M768" s="20" t="n">
        <x:v>14</x:v>
      </x:c>
      <x:c r="N768" s="20" t="n">
        <x:f>IF(J768=1,0,K768-L768)</x:f>
        <x:v>36</x:v>
      </x:c>
      <x:c r="O768" s="20" t="n">
        <x:f>N768-M768</x:f>
        <x:v>22</x:v>
      </x:c>
    </x:row>
    <x:row r="769" ht="22" customHeight="1">
      <x:c r="A769" s="11" t="n">
        <x:v>765</x:v>
      </x:c>
      <x:c r="B769" s="11" t="n">
        <x:v>385</x:v>
      </x:c>
      <x:c r="C769" s="18" t="n">
        <x:v>45725</x:v>
      </x:c>
      <x:c r="D769" s="11" t="str">
        <x:v>2025-03</x:v>
      </x:c>
      <x:c r="E769" s="11" t="str">
        <x:v>Central</x:v>
      </x:c>
      <x:c r="F769" s="11" t="str">
        <x:v>Technology</x:v>
      </x:c>
      <x:c r="G769" s="11" t="str">
        <x:v>Monitor</x:v>
      </x:c>
      <x:c r="H769" s="11" t="n">
        <x:v>4</x:v>
      </x:c>
      <x:c r="I769" s="19" t="n">
        <x:v>0</x:v>
      </x:c>
      <x:c r="J769" s="11" t="n">
        <x:v>0</x:v>
      </x:c>
      <x:c r="K769" s="20" t="n">
        <x:v>960</x:v>
      </x:c>
      <x:c r="L769" s="20" t="n">
        <x:v>0</x:v>
      </x:c>
      <x:c r="M769" s="20" t="n">
        <x:v>640</x:v>
      </x:c>
      <x:c r="N769" s="20" t="n">
        <x:f>IF(J769=1,0,K769-L769)</x:f>
        <x:v>960</x:v>
      </x:c>
      <x:c r="O769" s="20" t="n">
        <x:f>N769-M769</x:f>
        <x:v>320</x:v>
      </x:c>
    </x:row>
    <x:row r="770" ht="22" customHeight="1">
      <x:c r="A770" s="11" t="n">
        <x:v>766</x:v>
      </x:c>
      <x:c r="B770" s="11" t="n">
        <x:v>385</x:v>
      </x:c>
      <x:c r="C770" s="18" t="n">
        <x:v>45725</x:v>
      </x:c>
      <x:c r="D770" s="11" t="str">
        <x:v>2025-03</x:v>
      </x:c>
      <x:c r="E770" s="11" t="str">
        <x:v>Central</x:v>
      </x:c>
      <x:c r="F770" s="11" t="str">
        <x:v>Technology</x:v>
      </x:c>
      <x:c r="G770" s="11" t="str">
        <x:v>Keyboard</x:v>
      </x:c>
      <x:c r="H770" s="11" t="n">
        <x:v>4</x:v>
      </x:c>
      <x:c r="I770" s="19" t="n">
        <x:v>0.05</x:v>
      </x:c>
      <x:c r="J770" s="11" t="n">
        <x:v>0</x:v>
      </x:c>
      <x:c r="K770" s="20" t="n">
        <x:v>260</x:v>
      </x:c>
      <x:c r="L770" s="20" t="n">
        <x:v>13</x:v>
      </x:c>
      <x:c r="M770" s="20" t="n">
        <x:v>128</x:v>
      </x:c>
      <x:c r="N770" s="20" t="n">
        <x:f>IF(J770=1,0,K770-L770)</x:f>
        <x:v>247</x:v>
      </x:c>
      <x:c r="O770" s="20" t="n">
        <x:f>N770-M770</x:f>
        <x:v>119</x:v>
      </x:c>
    </x:row>
    <x:row r="771" ht="22" customHeight="1">
      <x:c r="A771" s="11" t="n">
        <x:v>767</x:v>
      </x:c>
      <x:c r="B771" s="11" t="n">
        <x:v>385</x:v>
      </x:c>
      <x:c r="C771" s="18" t="n">
        <x:v>45725</x:v>
      </x:c>
      <x:c r="D771" s="11" t="str">
        <x:v>2025-03</x:v>
      </x:c>
      <x:c r="E771" s="11" t="str">
        <x:v>Central</x:v>
      </x:c>
      <x:c r="F771" s="11" t="str">
        <x:v>Furniture</x:v>
      </x:c>
      <x:c r="G771" s="11" t="str">
        <x:v>Chair</x:v>
      </x:c>
      <x:c r="H771" s="11" t="n">
        <x:v>1</x:v>
      </x:c>
      <x:c r="I771" s="19" t="n">
        <x:v>0.05</x:v>
      </x:c>
      <x:c r="J771" s="11" t="n">
        <x:v>0</x:v>
      </x:c>
      <x:c r="K771" s="20" t="n">
        <x:v>170</x:v>
      </x:c>
      <x:c r="L771" s="20" t="n">
        <x:v>8.5</x:v>
      </x:c>
      <x:c r="M771" s="20" t="n">
        <x:v>110</x:v>
      </x:c>
      <x:c r="N771" s="20" t="n">
        <x:f>IF(J771=1,0,K771-L771)</x:f>
        <x:v>161.5</x:v>
      </x:c>
      <x:c r="O771" s="20" t="n">
        <x:f>N771-M771</x:f>
        <x:v>51.5</x:v>
      </x:c>
    </x:row>
    <x:row r="772" ht="22" customHeight="1">
      <x:c r="A772" s="11" t="n">
        <x:v>768</x:v>
      </x:c>
      <x:c r="B772" s="11" t="n">
        <x:v>386</x:v>
      </x:c>
      <x:c r="C772" s="18" t="n">
        <x:v>45395</x:v>
      </x:c>
      <x:c r="D772" s="11" t="str">
        <x:v>2024-04</x:v>
      </x:c>
      <x:c r="E772" s="11" t="str">
        <x:v>South</x:v>
      </x:c>
      <x:c r="F772" s="11" t="str">
        <x:v>Technology</x:v>
      </x:c>
      <x:c r="G772" s="11" t="str">
        <x:v>Monitor</x:v>
      </x:c>
      <x:c r="H772" s="11" t="n">
        <x:v>2</x:v>
      </x:c>
      <x:c r="I772" s="19" t="n">
        <x:v>0.05</x:v>
      </x:c>
      <x:c r="J772" s="11" t="n">
        <x:v>0</x:v>
      </x:c>
      <x:c r="K772" s="20" t="n">
        <x:v>480</x:v>
      </x:c>
      <x:c r="L772" s="20" t="n">
        <x:v>24</x:v>
      </x:c>
      <x:c r="M772" s="20" t="n">
        <x:v>320</x:v>
      </x:c>
      <x:c r="N772" s="20" t="n">
        <x:f>IF(J772=1,0,K772-L772)</x:f>
        <x:v>456</x:v>
      </x:c>
      <x:c r="O772" s="20" t="n">
        <x:f>N772-M772</x:f>
        <x:v>136</x:v>
      </x:c>
    </x:row>
    <x:row r="773" ht="22" customHeight="1">
      <x:c r="A773" s="11" t="n">
        <x:v>769</x:v>
      </x:c>
      <x:c r="B773" s="11" t="n">
        <x:v>386</x:v>
      </x:c>
      <x:c r="C773" s="18" t="n">
        <x:v>45395</x:v>
      </x:c>
      <x:c r="D773" s="11" t="str">
        <x:v>2024-04</x:v>
      </x:c>
      <x:c r="E773" s="11" t="str">
        <x:v>South</x:v>
      </x:c>
      <x:c r="F773" s="11" t="str">
        <x:v>Furniture</x:v>
      </x:c>
      <x:c r="G773" s="11" t="str">
        <x:v>Chair</x:v>
      </x:c>
      <x:c r="H773" s="11" t="n">
        <x:v>5</x:v>
      </x:c>
      <x:c r="I773" s="19" t="n">
        <x:v>0.15</x:v>
      </x:c>
      <x:c r="J773" s="11" t="n">
        <x:v>0</x:v>
      </x:c>
      <x:c r="K773" s="20" t="n">
        <x:v>850</x:v>
      </x:c>
      <x:c r="L773" s="20" t="n">
        <x:v>127.5</x:v>
      </x:c>
      <x:c r="M773" s="20" t="n">
        <x:v>550</x:v>
      </x:c>
      <x:c r="N773" s="20" t="n">
        <x:f>IF(J773=1,0,K773-L773)</x:f>
        <x:v>722.5</x:v>
      </x:c>
      <x:c r="O773" s="20" t="n">
        <x:f>N773-M773</x:f>
        <x:v>172.5</x:v>
      </x:c>
    </x:row>
    <x:row r="774" ht="22" customHeight="1">
      <x:c r="A774" s="11" t="n">
        <x:v>770</x:v>
      </x:c>
      <x:c r="B774" s="11" t="n">
        <x:v>386</x:v>
      </x:c>
      <x:c r="C774" s="18" t="n">
        <x:v>45395</x:v>
      </x:c>
      <x:c r="D774" s="11" t="str">
        <x:v>2024-04</x:v>
      </x:c>
      <x:c r="E774" s="11" t="str">
        <x:v>South</x:v>
      </x:c>
      <x:c r="F774" s="11" t="str">
        <x:v>Office Supplies</x:v>
      </x:c>
      <x:c r="G774" s="11" t="str">
        <x:v>Storage box</x:v>
      </x:c>
      <x:c r="H774" s="11" t="n">
        <x:v>4</x:v>
      </x:c>
      <x:c r="I774" s="19" t="n">
        <x:v>0.1</x:v>
      </x:c>
      <x:c r="J774" s="11" t="n">
        <x:v>0</x:v>
      </x:c>
      <x:c r="K774" s="20" t="n">
        <x:v>104</x:v>
      </x:c>
      <x:c r="L774" s="20" t="n">
        <x:v>10.4</x:v>
      </x:c>
      <x:c r="M774" s="20" t="n">
        <x:v>48</x:v>
      </x:c>
      <x:c r="N774" s="20" t="n">
        <x:f>IF(J774=1,0,K774-L774)</x:f>
        <x:v>93.6</x:v>
      </x:c>
      <x:c r="O774" s="20" t="n">
        <x:f>N774-M774</x:f>
        <x:v>45.599999999999994</x:v>
      </x:c>
    </x:row>
    <x:row r="775" ht="22" customHeight="1">
      <x:c r="A775" s="11" t="n">
        <x:v>771</x:v>
      </x:c>
      <x:c r="B775" s="11" t="n">
        <x:v>387</x:v>
      </x:c>
      <x:c r="C775" s="18" t="n">
        <x:v>46009</x:v>
      </x:c>
      <x:c r="D775" s="11" t="str">
        <x:v>2025-12</x:v>
      </x:c>
      <x:c r="E775" s="11" t="str">
        <x:v>South</x:v>
      </x:c>
      <x:c r="F775" s="11" t="str">
        <x:v>Technology</x:v>
      </x:c>
      <x:c r="G775" s="11" t="str">
        <x:v>Keyboard</x:v>
      </x:c>
      <x:c r="H775" s="11" t="n">
        <x:v>4</x:v>
      </x:c>
      <x:c r="I775" s="19" t="n">
        <x:v>0</x:v>
      </x:c>
      <x:c r="J775" s="11" t="n">
        <x:v>0</x:v>
      </x:c>
      <x:c r="K775" s="20" t="n">
        <x:v>260</x:v>
      </x:c>
      <x:c r="L775" s="20" t="n">
        <x:v>0</x:v>
      </x:c>
      <x:c r="M775" s="20" t="n">
        <x:v>128</x:v>
      </x:c>
      <x:c r="N775" s="20" t="n">
        <x:f>IF(J775=1,0,K775-L775)</x:f>
        <x:v>260</x:v>
      </x:c>
      <x:c r="O775" s="20" t="n">
        <x:f>N775-M775</x:f>
        <x:v>132</x:v>
      </x:c>
    </x:row>
    <x:row r="776" ht="22" customHeight="1">
      <x:c r="A776" s="11" t="n">
        <x:v>772</x:v>
      </x:c>
      <x:c r="B776" s="11" t="n">
        <x:v>387</x:v>
      </x:c>
      <x:c r="C776" s="18" t="n">
        <x:v>46009</x:v>
      </x:c>
      <x:c r="D776" s="11" t="str">
        <x:v>2025-12</x:v>
      </x:c>
      <x:c r="E776" s="11" t="str">
        <x:v>South</x:v>
      </x:c>
      <x:c r="F776" s="11" t="str">
        <x:v>Technology</x:v>
      </x:c>
      <x:c r="G776" s="11" t="str">
        <x:v>Monitor</x:v>
      </x:c>
      <x:c r="H776" s="11" t="n">
        <x:v>5</x:v>
      </x:c>
      <x:c r="I776" s="19" t="n">
        <x:v>0</x:v>
      </x:c>
      <x:c r="J776" s="11" t="n">
        <x:v>0</x:v>
      </x:c>
      <x:c r="K776" s="20" t="n">
        <x:v>1200</x:v>
      </x:c>
      <x:c r="L776" s="20" t="n">
        <x:v>0</x:v>
      </x:c>
      <x:c r="M776" s="20" t="n">
        <x:v>800</x:v>
      </x:c>
      <x:c r="N776" s="20" t="n">
        <x:f>IF(J776=1,0,K776-L776)</x:f>
        <x:v>1200</x:v>
      </x:c>
      <x:c r="O776" s="20" t="n">
        <x:f>N776-M776</x:f>
        <x:v>400</x:v>
      </x:c>
    </x:row>
    <x:row r="777" ht="22" customHeight="1">
      <x:c r="A777" s="11" t="n">
        <x:v>773</x:v>
      </x:c>
      <x:c r="B777" s="11" t="n">
        <x:v>388</x:v>
      </x:c>
      <x:c r="C777" s="18" t="n">
        <x:v>45568</x:v>
      </x:c>
      <x:c r="D777" s="11" t="str">
        <x:v>2024-10</x:v>
      </x:c>
      <x:c r="E777" s="11" t="str">
        <x:v>West</x:v>
      </x:c>
      <x:c r="F777" s="11" t="str">
        <x:v>Furniture</x:v>
      </x:c>
      <x:c r="G777" s="11" t="str">
        <x:v>Chair</x:v>
      </x:c>
      <x:c r="H777" s="11" t="n">
        <x:v>2</x:v>
      </x:c>
      <x:c r="I777" s="19" t="n">
        <x:v>0.35</x:v>
      </x:c>
      <x:c r="J777" s="11" t="n">
        <x:v>0</x:v>
      </x:c>
      <x:c r="K777" s="20" t="n">
        <x:v>340</x:v>
      </x:c>
      <x:c r="L777" s="20" t="n">
        <x:v>119</x:v>
      </x:c>
      <x:c r="M777" s="20" t="n">
        <x:v>220</x:v>
      </x:c>
      <x:c r="N777" s="20" t="n">
        <x:f>IF(J777=1,0,K777-L777)</x:f>
        <x:v>221</x:v>
      </x:c>
      <x:c r="O777" s="20" t="n">
        <x:f>N777-M777</x:f>
        <x:v>1</x:v>
      </x:c>
    </x:row>
    <x:row r="778" ht="22" customHeight="1">
      <x:c r="A778" s="11" t="n">
        <x:v>774</x:v>
      </x:c>
      <x:c r="B778" s="11" t="n">
        <x:v>388</x:v>
      </x:c>
      <x:c r="C778" s="18" t="n">
        <x:v>45568</x:v>
      </x:c>
      <x:c r="D778" s="11" t="str">
        <x:v>2024-10</x:v>
      </x:c>
      <x:c r="E778" s="11" t="str">
        <x:v>West</x:v>
      </x:c>
      <x:c r="F778" s="11" t="str">
        <x:v>Office Supplies</x:v>
      </x:c>
      <x:c r="G778" s="11" t="str">
        <x:v>Storage box</x:v>
      </x:c>
      <x:c r="H778" s="11" t="n">
        <x:v>2</x:v>
      </x:c>
      <x:c r="I778" s="19" t="n">
        <x:v>0.1</x:v>
      </x:c>
      <x:c r="J778" s="11" t="n">
        <x:v>0</x:v>
      </x:c>
      <x:c r="K778" s="20" t="n">
        <x:v>52</x:v>
      </x:c>
      <x:c r="L778" s="20" t="n">
        <x:v>5.2</x:v>
      </x:c>
      <x:c r="M778" s="20" t="n">
        <x:v>24</x:v>
      </x:c>
      <x:c r="N778" s="20" t="n">
        <x:f>IF(J778=1,0,K778-L778)</x:f>
        <x:v>46.8</x:v>
      </x:c>
      <x:c r="O778" s="20" t="n">
        <x:f>N778-M778</x:f>
        <x:v>22.799999999999997</x:v>
      </x:c>
    </x:row>
    <x:row r="779" ht="22" customHeight="1">
      <x:c r="A779" s="11" t="n">
        <x:v>775</x:v>
      </x:c>
      <x:c r="B779" s="11" t="n">
        <x:v>389</x:v>
      </x:c>
      <x:c r="C779" s="18" t="n">
        <x:v>45937</x:v>
      </x:c>
      <x:c r="D779" s="11" t="str">
        <x:v>2025-10</x:v>
      </x:c>
      <x:c r="E779" s="11" t="str">
        <x:v>West</x:v>
      </x:c>
      <x:c r="F779" s="11" t="str">
        <x:v>Technology</x:v>
      </x:c>
      <x:c r="G779" s="11" t="str">
        <x:v>Monitor</x:v>
      </x:c>
      <x:c r="H779" s="11" t="n">
        <x:v>5</x:v>
      </x:c>
      <x:c r="I779" s="19" t="n">
        <x:v>0.15</x:v>
      </x:c>
      <x:c r="J779" s="11" t="n">
        <x:v>1</x:v>
      </x:c>
      <x:c r="K779" s="20" t="n">
        <x:v>1200</x:v>
      </x:c>
      <x:c r="L779" s="20" t="n">
        <x:v>180</x:v>
      </x:c>
      <x:c r="M779" s="20" t="n">
        <x:v>0</x:v>
      </x:c>
      <x:c r="N779" s="20" t="n">
        <x:f>IF(J779=1,0,K779-L779)</x:f>
        <x:v>0</x:v>
      </x:c>
      <x:c r="O779" s="20" t="n">
        <x:f>N779-M779</x:f>
        <x:v>0</x:v>
      </x:c>
    </x:row>
    <x:row r="780" ht="22" customHeight="1">
      <x:c r="A780" s="11" t="n">
        <x:v>776</x:v>
      </x:c>
      <x:c r="B780" s="11" t="n">
        <x:v>389</x:v>
      </x:c>
      <x:c r="C780" s="18" t="n">
        <x:v>45937</x:v>
      </x:c>
      <x:c r="D780" s="11" t="str">
        <x:v>2025-10</x:v>
      </x:c>
      <x:c r="E780" s="11" t="str">
        <x:v>West</x:v>
      </x:c>
      <x:c r="F780" s="11" t="str">
        <x:v>Office Supplies</x:v>
      </x:c>
      <x:c r="G780" s="11" t="str">
        <x:v>Storage box</x:v>
      </x:c>
      <x:c r="H780" s="11" t="n">
        <x:v>1</x:v>
      </x:c>
      <x:c r="I780" s="19" t="n">
        <x:v>0</x:v>
      </x:c>
      <x:c r="J780" s="11" t="n">
        <x:v>0</x:v>
      </x:c>
      <x:c r="K780" s="20" t="n">
        <x:v>26</x:v>
      </x:c>
      <x:c r="L780" s="20" t="n">
        <x:v>0</x:v>
      </x:c>
      <x:c r="M780" s="20" t="n">
        <x:v>12</x:v>
      </x:c>
      <x:c r="N780" s="20" t="n">
        <x:f>IF(J780=1,0,K780-L780)</x:f>
        <x:v>26</x:v>
      </x:c>
      <x:c r="O780" s="20" t="n">
        <x:f>N780-M780</x:f>
        <x:v>14</x:v>
      </x:c>
    </x:row>
    <x:row r="781" ht="22" customHeight="1">
      <x:c r="A781" s="11" t="n">
        <x:v>777</x:v>
      </x:c>
      <x:c r="B781" s="11" t="n">
        <x:v>390</x:v>
      </x:c>
      <x:c r="C781" s="18" t="n">
        <x:v>45552</x:v>
      </x:c>
      <x:c r="D781" s="11" t="str">
        <x:v>2024-09</x:v>
      </x:c>
      <x:c r="E781" s="11" t="str">
        <x:v>South</x:v>
      </x:c>
      <x:c r="F781" s="11" t="str">
        <x:v>Office Supplies</x:v>
      </x:c>
      <x:c r="G781" s="11" t="str">
        <x:v>Storage box</x:v>
      </x:c>
      <x:c r="H781" s="11" t="n">
        <x:v>3</x:v>
      </x:c>
      <x:c r="I781" s="19" t="n">
        <x:v>0.05</x:v>
      </x:c>
      <x:c r="J781" s="11" t="n">
        <x:v>0</x:v>
      </x:c>
      <x:c r="K781" s="20" t="n">
        <x:v>78</x:v>
      </x:c>
      <x:c r="L781" s="20" t="n">
        <x:v>3.9</x:v>
      </x:c>
      <x:c r="M781" s="20" t="n">
        <x:v>36</x:v>
      </x:c>
      <x:c r="N781" s="20" t="n">
        <x:f>IF(J781=1,0,K781-L781)</x:f>
        <x:v>74.1</x:v>
      </x:c>
      <x:c r="O781" s="20" t="n">
        <x:f>N781-M781</x:f>
        <x:v>38.099999999999994</x:v>
      </x:c>
    </x:row>
    <x:row r="782" ht="22" customHeight="1">
      <x:c r="A782" s="11" t="n">
        <x:v>778</x:v>
      </x:c>
      <x:c r="B782" s="11" t="n">
        <x:v>390</x:v>
      </x:c>
      <x:c r="C782" s="18" t="n">
        <x:v>45552</x:v>
      </x:c>
      <x:c r="D782" s="11" t="str">
        <x:v>2024-09</x:v>
      </x:c>
      <x:c r="E782" s="11" t="str">
        <x:v>South</x:v>
      </x:c>
      <x:c r="F782" s="11" t="str">
        <x:v>Technology</x:v>
      </x:c>
      <x:c r="G782" s="11" t="str">
        <x:v>Monitor</x:v>
      </x:c>
      <x:c r="H782" s="11" t="n">
        <x:v>5</x:v>
      </x:c>
      <x:c r="I782" s="19" t="n">
        <x:v>0.05</x:v>
      </x:c>
      <x:c r="J782" s="11" t="n">
        <x:v>0</x:v>
      </x:c>
      <x:c r="K782" s="20" t="n">
        <x:v>1200</x:v>
      </x:c>
      <x:c r="L782" s="20" t="n">
        <x:v>60</x:v>
      </x:c>
      <x:c r="M782" s="20" t="n">
        <x:v>800</x:v>
      </x:c>
      <x:c r="N782" s="20" t="n">
        <x:f>IF(J782=1,0,K782-L782)</x:f>
        <x:v>1140</x:v>
      </x:c>
      <x:c r="O782" s="20" t="n">
        <x:f>N782-M782</x:f>
        <x:v>340</x:v>
      </x:c>
    </x:row>
    <x:row r="783" ht="22" customHeight="1">
      <x:c r="A783" s="11" t="n">
        <x:v>779</x:v>
      </x:c>
      <x:c r="B783" s="11" t="n">
        <x:v>391</x:v>
      </x:c>
      <x:c r="C783" s="18" t="n">
        <x:v>45713</x:v>
      </x:c>
      <x:c r="D783" s="11" t="str">
        <x:v>2025-02</x:v>
      </x:c>
      <x:c r="E783" s="11" t="str">
        <x:v>West</x:v>
      </x:c>
      <x:c r="F783" s="11" t="str">
        <x:v>Office Supplies</x:v>
      </x:c>
      <x:c r="G783" s="11" t="str">
        <x:v>Notebook pack</x:v>
      </x:c>
      <x:c r="H783" s="11" t="n">
        <x:v>3</x:v>
      </x:c>
      <x:c r="I783" s="19" t="n">
        <x:v>0.05</x:v>
      </x:c>
      <x:c r="J783" s="11" t="n">
        <x:v>0</x:v>
      </x:c>
      <x:c r="K783" s="20" t="n">
        <x:v>54</x:v>
      </x:c>
      <x:c r="L783" s="20" t="n">
        <x:v>2.7</x:v>
      </x:c>
      <x:c r="M783" s="20" t="n">
        <x:v>21</x:v>
      </x:c>
      <x:c r="N783" s="20" t="n">
        <x:f>IF(J783=1,0,K783-L783)</x:f>
        <x:v>51.3</x:v>
      </x:c>
      <x:c r="O783" s="20" t="n">
        <x:f>N783-M783</x:f>
        <x:v>30.299999999999997</x:v>
      </x:c>
    </x:row>
    <x:row r="784" ht="22" customHeight="1">
      <x:c r="A784" s="11" t="n">
        <x:v>780</x:v>
      </x:c>
      <x:c r="B784" s="11" t="n">
        <x:v>391</x:v>
      </x:c>
      <x:c r="C784" s="18" t="n">
        <x:v>45713</x:v>
      </x:c>
      <x:c r="D784" s="11" t="str">
        <x:v>2025-02</x:v>
      </x:c>
      <x:c r="E784" s="11" t="str">
        <x:v>West</x:v>
      </x:c>
      <x:c r="F784" s="11" t="str">
        <x:v>Furniture</x:v>
      </x:c>
      <x:c r="G784" s="11" t="str">
        <x:v>Chair</x:v>
      </x:c>
      <x:c r="H784" s="11" t="n">
        <x:v>5</x:v>
      </x:c>
      <x:c r="I784" s="19" t="n">
        <x:v>0.35</x:v>
      </x:c>
      <x:c r="J784" s="11" t="n">
        <x:v>0</x:v>
      </x:c>
      <x:c r="K784" s="20" t="n">
        <x:v>850</x:v>
      </x:c>
      <x:c r="L784" s="20" t="n">
        <x:v>297.5</x:v>
      </x:c>
      <x:c r="M784" s="20" t="n">
        <x:v>550</x:v>
      </x:c>
      <x:c r="N784" s="20" t="n">
        <x:f>IF(J784=1,0,K784-L784)</x:f>
        <x:v>552.5</x:v>
      </x:c>
      <x:c r="O784" s="20" t="n">
        <x:f>N784-M784</x:f>
        <x:v>2.5</x:v>
      </x:c>
    </x:row>
    <x:row r="785" ht="22" customHeight="1">
      <x:c r="A785" s="11" t="n">
        <x:v>781</x:v>
      </x:c>
      <x:c r="B785" s="11" t="n">
        <x:v>391</x:v>
      </x:c>
      <x:c r="C785" s="18" t="n">
        <x:v>45713</x:v>
      </x:c>
      <x:c r="D785" s="11" t="str">
        <x:v>2025-02</x:v>
      </x:c>
      <x:c r="E785" s="11" t="str">
        <x:v>West</x:v>
      </x:c>
      <x:c r="F785" s="11" t="str">
        <x:v>Office Supplies</x:v>
      </x:c>
      <x:c r="G785" s="11" t="str">
        <x:v>Storage box</x:v>
      </x:c>
      <x:c r="H785" s="11" t="n">
        <x:v>4</x:v>
      </x:c>
      <x:c r="I785" s="19" t="n">
        <x:v>0</x:v>
      </x:c>
      <x:c r="J785" s="11" t="n">
        <x:v>0</x:v>
      </x:c>
      <x:c r="K785" s="20" t="n">
        <x:v>104</x:v>
      </x:c>
      <x:c r="L785" s="20" t="n">
        <x:v>0</x:v>
      </x:c>
      <x:c r="M785" s="20" t="n">
        <x:v>48</x:v>
      </x:c>
      <x:c r="N785" s="20" t="n">
        <x:f>IF(J785=1,0,K785-L785)</x:f>
        <x:v>104</x:v>
      </x:c>
      <x:c r="O785" s="20" t="n">
        <x:f>N785-M785</x:f>
        <x:v>56</x:v>
      </x:c>
    </x:row>
    <x:row r="786" ht="22" customHeight="1">
      <x:c r="A786" s="11" t="n">
        <x:v>782</x:v>
      </x:c>
      <x:c r="B786" s="11" t="n">
        <x:v>392</x:v>
      </x:c>
      <x:c r="C786" s="18" t="n">
        <x:v>45585</x:v>
      </x:c>
      <x:c r="D786" s="11" t="str">
        <x:v>2024-10</x:v>
      </x:c>
      <x:c r="E786" s="11" t="str">
        <x:v>West</x:v>
      </x:c>
      <x:c r="F786" s="11" t="str">
        <x:v>Office Supplies</x:v>
      </x:c>
      <x:c r="G786" s="11" t="str">
        <x:v>Storage box</x:v>
      </x:c>
      <x:c r="H786" s="11" t="n">
        <x:v>3</x:v>
      </x:c>
      <x:c r="I786" s="19" t="n">
        <x:v>0.1</x:v>
      </x:c>
      <x:c r="J786" s="11" t="n">
        <x:v>0</x:v>
      </x:c>
      <x:c r="K786" s="20" t="n">
        <x:v>78</x:v>
      </x:c>
      <x:c r="L786" s="20" t="n">
        <x:v>7.8</x:v>
      </x:c>
      <x:c r="M786" s="20" t="n">
        <x:v>36</x:v>
      </x:c>
      <x:c r="N786" s="20" t="n">
        <x:f>IF(J786=1,0,K786-L786)</x:f>
        <x:v>70.2</x:v>
      </x:c>
      <x:c r="O786" s="20" t="n">
        <x:f>N786-M786</x:f>
        <x:v>34.2</x:v>
      </x:c>
    </x:row>
    <x:row r="787" ht="22" customHeight="1">
      <x:c r="A787" s="11" t="n">
        <x:v>783</x:v>
      </x:c>
      <x:c r="B787" s="11" t="n">
        <x:v>393</x:v>
      </x:c>
      <x:c r="C787" s="18" t="n">
        <x:v>45877</x:v>
      </x:c>
      <x:c r="D787" s="11" t="str">
        <x:v>2025-08</x:v>
      </x:c>
      <x:c r="E787" s="11" t="str">
        <x:v>South</x:v>
      </x:c>
      <x:c r="F787" s="11" t="str">
        <x:v>Furniture</x:v>
      </x:c>
      <x:c r="G787" s="11" t="str">
        <x:v>Chair</x:v>
      </x:c>
      <x:c r="H787" s="11" t="n">
        <x:v>3</x:v>
      </x:c>
      <x:c r="I787" s="19" t="n">
        <x:v>0.05</x:v>
      </x:c>
      <x:c r="J787" s="11" t="n">
        <x:v>0</x:v>
      </x:c>
      <x:c r="K787" s="20" t="n">
        <x:v>510</x:v>
      </x:c>
      <x:c r="L787" s="20" t="n">
        <x:v>25.5</x:v>
      </x:c>
      <x:c r="M787" s="20" t="n">
        <x:v>330</x:v>
      </x:c>
      <x:c r="N787" s="20" t="n">
        <x:f>IF(J787=1,0,K787-L787)</x:f>
        <x:v>484.5</x:v>
      </x:c>
      <x:c r="O787" s="20" t="n">
        <x:f>N787-M787</x:f>
        <x:v>154.5</x:v>
      </x:c>
    </x:row>
    <x:row r="788" ht="22" customHeight="1">
      <x:c r="A788" s="11" t="n">
        <x:v>784</x:v>
      </x:c>
      <x:c r="B788" s="11" t="n">
        <x:v>394</x:v>
      </x:c>
      <x:c r="C788" s="18" t="n">
        <x:v>45960</x:v>
      </x:c>
      <x:c r="D788" s="11" t="str">
        <x:v>2025-10</x:v>
      </x:c>
      <x:c r="E788" s="11" t="str">
        <x:v>East</x:v>
      </x:c>
      <x:c r="F788" s="11" t="str">
        <x:v>Office Supplies</x:v>
      </x:c>
      <x:c r="G788" s="11" t="str">
        <x:v>Storage box</x:v>
      </x:c>
      <x:c r="H788" s="11" t="n">
        <x:v>4</x:v>
      </x:c>
      <x:c r="I788" s="19" t="n">
        <x:v>0.05</x:v>
      </x:c>
      <x:c r="J788" s="11" t="n">
        <x:v>0</x:v>
      </x:c>
      <x:c r="K788" s="20" t="n">
        <x:v>104</x:v>
      </x:c>
      <x:c r="L788" s="20" t="n">
        <x:v>5.2</x:v>
      </x:c>
      <x:c r="M788" s="20" t="n">
        <x:v>48</x:v>
      </x:c>
      <x:c r="N788" s="20" t="n">
        <x:f>IF(J788=1,0,K788-L788)</x:f>
        <x:v>98.8</x:v>
      </x:c>
      <x:c r="O788" s="20" t="n">
        <x:f>N788-M788</x:f>
        <x:v>50.8</x:v>
      </x:c>
    </x:row>
    <x:row r="789" ht="22" customHeight="1">
      <x:c r="A789" s="11" t="n">
        <x:v>785</x:v>
      </x:c>
      <x:c r="B789" s="11" t="n">
        <x:v>394</x:v>
      </x:c>
      <x:c r="C789" s="18" t="n">
        <x:v>45960</x:v>
      </x:c>
      <x:c r="D789" s="11" t="str">
        <x:v>2025-10</x:v>
      </x:c>
      <x:c r="E789" s="11" t="str">
        <x:v>East</x:v>
      </x:c>
      <x:c r="F789" s="11" t="str">
        <x:v>Technology</x:v>
      </x:c>
      <x:c r="G789" s="11" t="str">
        <x:v>Keyboard</x:v>
      </x:c>
      <x:c r="H789" s="11" t="n">
        <x:v>5</x:v>
      </x:c>
      <x:c r="I789" s="19" t="n">
        <x:v>0.1</x:v>
      </x:c>
      <x:c r="J789" s="11" t="n">
        <x:v>0</x:v>
      </x:c>
      <x:c r="K789" s="20" t="n">
        <x:v>325</x:v>
      </x:c>
      <x:c r="L789" s="20" t="n">
        <x:v>32.5</x:v>
      </x:c>
      <x:c r="M789" s="20" t="n">
        <x:v>160</x:v>
      </x:c>
      <x:c r="N789" s="20" t="n">
        <x:f>IF(J789=1,0,K789-L789)</x:f>
        <x:v>292.5</x:v>
      </x:c>
      <x:c r="O789" s="20" t="n">
        <x:f>N789-M789</x:f>
        <x:v>132.5</x:v>
      </x:c>
    </x:row>
    <x:row r="790" ht="22" customHeight="1">
      <x:c r="A790" s="11" t="n">
        <x:v>786</x:v>
      </x:c>
      <x:c r="B790" s="11" t="n">
        <x:v>394</x:v>
      </x:c>
      <x:c r="C790" s="18" t="n">
        <x:v>45960</x:v>
      </x:c>
      <x:c r="D790" s="11" t="str">
        <x:v>2025-10</x:v>
      </x:c>
      <x:c r="E790" s="11" t="str">
        <x:v>East</x:v>
      </x:c>
      <x:c r="F790" s="11" t="str">
        <x:v>Technology</x:v>
      </x:c>
      <x:c r="G790" s="11" t="str">
        <x:v>Monitor</x:v>
      </x:c>
      <x:c r="H790" s="11" t="n">
        <x:v>2</x:v>
      </x:c>
      <x:c r="I790" s="19" t="n">
        <x:v>0</x:v>
      </x:c>
      <x:c r="J790" s="11" t="n">
        <x:v>0</x:v>
      </x:c>
      <x:c r="K790" s="20" t="n">
        <x:v>480</x:v>
      </x:c>
      <x:c r="L790" s="20" t="n">
        <x:v>0</x:v>
      </x:c>
      <x:c r="M790" s="20" t="n">
        <x:v>320</x:v>
      </x:c>
      <x:c r="N790" s="20" t="n">
        <x:f>IF(J790=1,0,K790-L790)</x:f>
        <x:v>480</x:v>
      </x:c>
      <x:c r="O790" s="20" t="n">
        <x:f>N790-M790</x:f>
        <x:v>160</x:v>
      </x:c>
    </x:row>
    <x:row r="791" ht="22" customHeight="1">
      <x:c r="A791" s="11" t="n">
        <x:v>787</x:v>
      </x:c>
      <x:c r="B791" s="11" t="n">
        <x:v>395</x:v>
      </x:c>
      <x:c r="C791" s="18" t="n">
        <x:v>45532</x:v>
      </x:c>
      <x:c r="D791" s="11" t="str">
        <x:v>2024-08</x:v>
      </x:c>
      <x:c r="E791" s="11" t="str">
        <x:v>West</x:v>
      </x:c>
      <x:c r="F791" s="11" t="str">
        <x:v>Office Supplies</x:v>
      </x:c>
      <x:c r="G791" s="11" t="str">
        <x:v>Storage box</x:v>
      </x:c>
      <x:c r="H791" s="11" t="n">
        <x:v>2</x:v>
      </x:c>
      <x:c r="I791" s="19" t="n">
        <x:v>0.1</x:v>
      </x:c>
      <x:c r="J791" s="11" t="n">
        <x:v>0</x:v>
      </x:c>
      <x:c r="K791" s="20" t="n">
        <x:v>52</x:v>
      </x:c>
      <x:c r="L791" s="20" t="n">
        <x:v>5.2</x:v>
      </x:c>
      <x:c r="M791" s="20" t="n">
        <x:v>24</x:v>
      </x:c>
      <x:c r="N791" s="20" t="n">
        <x:f>IF(J791=1,0,K791-L791)</x:f>
        <x:v>46.8</x:v>
      </x:c>
      <x:c r="O791" s="20" t="n">
        <x:f>N791-M791</x:f>
        <x:v>22.799999999999997</x:v>
      </x:c>
    </x:row>
    <x:row r="792" ht="22" customHeight="1">
      <x:c r="A792" s="11" t="n">
        <x:v>788</x:v>
      </x:c>
      <x:c r="B792" s="11" t="n">
        <x:v>395</x:v>
      </x:c>
      <x:c r="C792" s="18" t="n">
        <x:v>45532</x:v>
      </x:c>
      <x:c r="D792" s="11" t="str">
        <x:v>2024-08</x:v>
      </x:c>
      <x:c r="E792" s="11" t="str">
        <x:v>West</x:v>
      </x:c>
      <x:c r="F792" s="11" t="str">
        <x:v>Furniture</x:v>
      </x:c>
      <x:c r="G792" s="11" t="str">
        <x:v>Desk</x:v>
      </x:c>
      <x:c r="H792" s="11" t="n">
        <x:v>1</x:v>
      </x:c>
      <x:c r="I792" s="19" t="n">
        <x:v>0.35</x:v>
      </x:c>
      <x:c r="J792" s="11" t="n">
        <x:v>0</x:v>
      </x:c>
      <x:c r="K792" s="20" t="n">
        <x:v>280</x:v>
      </x:c>
      <x:c r="L792" s="20" t="n">
        <x:v>98</x:v>
      </x:c>
      <x:c r="M792" s="20" t="n">
        <x:v>190</x:v>
      </x:c>
      <x:c r="N792" s="20" t="n">
        <x:f>IF(J792=1,0,K792-L792)</x:f>
        <x:v>182</x:v>
      </x:c>
      <x:c r="O792" s="20" t="n">
        <x:f>N792-M792</x:f>
        <x:v>-8</x:v>
      </x:c>
    </x:row>
    <x:row r="793" ht="22" customHeight="1">
      <x:c r="A793" s="11" t="n">
        <x:v>789</x:v>
      </x:c>
      <x:c r="B793" s="11" t="n">
        <x:v>395</x:v>
      </x:c>
      <x:c r="C793" s="18" t="n">
        <x:v>45532</x:v>
      </x:c>
      <x:c r="D793" s="11" t="str">
        <x:v>2024-08</x:v>
      </x:c>
      <x:c r="E793" s="11" t="str">
        <x:v>West</x:v>
      </x:c>
      <x:c r="F793" s="11" t="str">
        <x:v>Furniture</x:v>
      </x:c>
      <x:c r="G793" s="11" t="str">
        <x:v>Chair</x:v>
      </x:c>
      <x:c r="H793" s="11" t="n">
        <x:v>1</x:v>
      </x:c>
      <x:c r="I793" s="19" t="n">
        <x:v>0.25</x:v>
      </x:c>
      <x:c r="J793" s="11" t="n">
        <x:v>0</x:v>
      </x:c>
      <x:c r="K793" s="20" t="n">
        <x:v>170</x:v>
      </x:c>
      <x:c r="L793" s="20" t="n">
        <x:v>42.5</x:v>
      </x:c>
      <x:c r="M793" s="20" t="n">
        <x:v>110</x:v>
      </x:c>
      <x:c r="N793" s="20" t="n">
        <x:f>IF(J793=1,0,K793-L793)</x:f>
        <x:v>127.5</x:v>
      </x:c>
      <x:c r="O793" s="20" t="n">
        <x:f>N793-M793</x:f>
        <x:v>17.5</x:v>
      </x:c>
    </x:row>
    <x:row r="794" ht="22" customHeight="1">
      <x:c r="A794" s="11" t="n">
        <x:v>790</x:v>
      </x:c>
      <x:c r="B794" s="11" t="n">
        <x:v>396</x:v>
      </x:c>
      <x:c r="C794" s="18" t="n">
        <x:v>45377</x:v>
      </x:c>
      <x:c r="D794" s="11" t="str">
        <x:v>2024-03</x:v>
      </x:c>
      <x:c r="E794" s="11" t="str">
        <x:v>South</x:v>
      </x:c>
      <x:c r="F794" s="11" t="str">
        <x:v>Furniture</x:v>
      </x:c>
      <x:c r="G794" s="11" t="str">
        <x:v>Chair</x:v>
      </x:c>
      <x:c r="H794" s="11" t="n">
        <x:v>3</x:v>
      </x:c>
      <x:c r="I794" s="19" t="n">
        <x:v>0.05</x:v>
      </x:c>
      <x:c r="J794" s="11" t="n">
        <x:v>0</x:v>
      </x:c>
      <x:c r="K794" s="20" t="n">
        <x:v>510</x:v>
      </x:c>
      <x:c r="L794" s="20" t="n">
        <x:v>25.5</x:v>
      </x:c>
      <x:c r="M794" s="20" t="n">
        <x:v>330</x:v>
      </x:c>
      <x:c r="N794" s="20" t="n">
        <x:f>IF(J794=1,0,K794-L794)</x:f>
        <x:v>484.5</x:v>
      </x:c>
      <x:c r="O794" s="20" t="n">
        <x:f>N794-M794</x:f>
        <x:v>154.5</x:v>
      </x:c>
    </x:row>
    <x:row r="795" ht="22" customHeight="1">
      <x:c r="A795" s="11" t="n">
        <x:v>791</x:v>
      </x:c>
      <x:c r="B795" s="11" t="n">
        <x:v>396</x:v>
      </x:c>
      <x:c r="C795" s="18" t="n">
        <x:v>45377</x:v>
      </x:c>
      <x:c r="D795" s="11" t="str">
        <x:v>2024-03</x:v>
      </x:c>
      <x:c r="E795" s="11" t="str">
        <x:v>South</x:v>
      </x:c>
      <x:c r="F795" s="11" t="str">
        <x:v>Furniture</x:v>
      </x:c>
      <x:c r="G795" s="11" t="str">
        <x:v>Desk</x:v>
      </x:c>
      <x:c r="H795" s="11" t="n">
        <x:v>3</x:v>
      </x:c>
      <x:c r="I795" s="19" t="n">
        <x:v>0.35</x:v>
      </x:c>
      <x:c r="J795" s="11" t="n">
        <x:v>0</x:v>
      </x:c>
      <x:c r="K795" s="20" t="n">
        <x:v>840</x:v>
      </x:c>
      <x:c r="L795" s="20" t="n">
        <x:v>294</x:v>
      </x:c>
      <x:c r="M795" s="20" t="n">
        <x:v>570</x:v>
      </x:c>
      <x:c r="N795" s="20" t="n">
        <x:f>IF(J795=1,0,K795-L795)</x:f>
        <x:v>546</x:v>
      </x:c>
      <x:c r="O795" s="20" t="n">
        <x:f>N795-M795</x:f>
        <x:v>-24</x:v>
      </x:c>
    </x:row>
    <x:row r="796" ht="22" customHeight="1">
      <x:c r="A796" s="11" t="n">
        <x:v>792</x:v>
      </x:c>
      <x:c r="B796" s="11" t="n">
        <x:v>396</x:v>
      </x:c>
      <x:c r="C796" s="18" t="n">
        <x:v>45377</x:v>
      </x:c>
      <x:c r="D796" s="11" t="str">
        <x:v>2024-03</x:v>
      </x:c>
      <x:c r="E796" s="11" t="str">
        <x:v>South</x:v>
      </x:c>
      <x:c r="F796" s="11" t="str">
        <x:v>Technology</x:v>
      </x:c>
      <x:c r="G796" s="11" t="str">
        <x:v>Keyboard</x:v>
      </x:c>
      <x:c r="H796" s="11" t="n">
        <x:v>2</x:v>
      </x:c>
      <x:c r="I796" s="19" t="n">
        <x:v>0.15</x:v>
      </x:c>
      <x:c r="J796" s="11" t="n">
        <x:v>0</x:v>
      </x:c>
      <x:c r="K796" s="20" t="n">
        <x:v>130</x:v>
      </x:c>
      <x:c r="L796" s="20" t="n">
        <x:v>19.5</x:v>
      </x:c>
      <x:c r="M796" s="20" t="n">
        <x:v>64</x:v>
      </x:c>
      <x:c r="N796" s="20" t="n">
        <x:f>IF(J796=1,0,K796-L796)</x:f>
        <x:v>110.5</x:v>
      </x:c>
      <x:c r="O796" s="20" t="n">
        <x:f>N796-M796</x:f>
        <x:v>46.5</x:v>
      </x:c>
    </x:row>
    <x:row r="797" ht="22" customHeight="1">
      <x:c r="A797" s="11" t="n">
        <x:v>793</x:v>
      </x:c>
      <x:c r="B797" s="11" t="n">
        <x:v>397</x:v>
      </x:c>
      <x:c r="C797" s="18" t="n">
        <x:v>45321</x:v>
      </x:c>
      <x:c r="D797" s="11" t="str">
        <x:v>2024-01</x:v>
      </x:c>
      <x:c r="E797" s="11" t="str">
        <x:v>South</x:v>
      </x:c>
      <x:c r="F797" s="11" t="str">
        <x:v>Technology</x:v>
      </x:c>
      <x:c r="G797" s="11" t="str">
        <x:v>Keyboard</x:v>
      </x:c>
      <x:c r="H797" s="11" t="n">
        <x:v>5</x:v>
      </x:c>
      <x:c r="I797" s="19" t="n">
        <x:v>0.05</x:v>
      </x:c>
      <x:c r="J797" s="11" t="n">
        <x:v>0</x:v>
      </x:c>
      <x:c r="K797" s="20" t="n">
        <x:v>325</x:v>
      </x:c>
      <x:c r="L797" s="20" t="n">
        <x:v>16.25</x:v>
      </x:c>
      <x:c r="M797" s="20" t="n">
        <x:v>160</x:v>
      </x:c>
      <x:c r="N797" s="20" t="n">
        <x:f>IF(J797=1,0,K797-L797)</x:f>
        <x:v>308.75</x:v>
      </x:c>
      <x:c r="O797" s="20" t="n">
        <x:f>N797-M797</x:f>
        <x:v>148.75</x:v>
      </x:c>
    </x:row>
    <x:row r="798" ht="22" customHeight="1">
      <x:c r="A798" s="11" t="n">
        <x:v>794</x:v>
      </x:c>
      <x:c r="B798" s="11" t="n">
        <x:v>397</x:v>
      </x:c>
      <x:c r="C798" s="18" t="n">
        <x:v>45321</x:v>
      </x:c>
      <x:c r="D798" s="11" t="str">
        <x:v>2024-01</x:v>
      </x:c>
      <x:c r="E798" s="11" t="str">
        <x:v>South</x:v>
      </x:c>
      <x:c r="F798" s="11" t="str">
        <x:v>Office Supplies</x:v>
      </x:c>
      <x:c r="G798" s="11" t="str">
        <x:v>Storage box</x:v>
      </x:c>
      <x:c r="H798" s="11" t="n">
        <x:v>2</x:v>
      </x:c>
      <x:c r="I798" s="19" t="n">
        <x:v>0.15</x:v>
      </x:c>
      <x:c r="J798" s="11" t="n">
        <x:v>0</x:v>
      </x:c>
      <x:c r="K798" s="20" t="n">
        <x:v>52</x:v>
      </x:c>
      <x:c r="L798" s="20" t="n">
        <x:v>7.8</x:v>
      </x:c>
      <x:c r="M798" s="20" t="n">
        <x:v>24</x:v>
      </x:c>
      <x:c r="N798" s="20" t="n">
        <x:f>IF(J798=1,0,K798-L798)</x:f>
        <x:v>44.2</x:v>
      </x:c>
      <x:c r="O798" s="20" t="n">
        <x:f>N798-M798</x:f>
        <x:v>20.200000000000003</x:v>
      </x:c>
    </x:row>
    <x:row r="799" ht="22" customHeight="1">
      <x:c r="A799" s="11" t="n">
        <x:v>795</x:v>
      </x:c>
      <x:c r="B799" s="11" t="n">
        <x:v>398</x:v>
      </x:c>
      <x:c r="C799" s="18" t="n">
        <x:v>45903</x:v>
      </x:c>
      <x:c r="D799" s="11" t="str">
        <x:v>2025-09</x:v>
      </x:c>
      <x:c r="E799" s="11" t="str">
        <x:v>East</x:v>
      </x:c>
      <x:c r="F799" s="11" t="str">
        <x:v>Office Supplies</x:v>
      </x:c>
      <x:c r="G799" s="11" t="str">
        <x:v>Storage box</x:v>
      </x:c>
      <x:c r="H799" s="11" t="n">
        <x:v>3</x:v>
      </x:c>
      <x:c r="I799" s="19" t="n">
        <x:v>0.1</x:v>
      </x:c>
      <x:c r="J799" s="11" t="n">
        <x:v>0</x:v>
      </x:c>
      <x:c r="K799" s="20" t="n">
        <x:v>78</x:v>
      </x:c>
      <x:c r="L799" s="20" t="n">
        <x:v>7.8</x:v>
      </x:c>
      <x:c r="M799" s="20" t="n">
        <x:v>36</x:v>
      </x:c>
      <x:c r="N799" s="20" t="n">
        <x:f>IF(J799=1,0,K799-L799)</x:f>
        <x:v>70.2</x:v>
      </x:c>
      <x:c r="O799" s="20" t="n">
        <x:f>N799-M799</x:f>
        <x:v>34.2</x:v>
      </x:c>
    </x:row>
    <x:row r="800" ht="22" customHeight="1">
      <x:c r="A800" s="11" t="n">
        <x:v>796</x:v>
      </x:c>
      <x:c r="B800" s="11" t="n">
        <x:v>398</x:v>
      </x:c>
      <x:c r="C800" s="18" t="n">
        <x:v>45903</x:v>
      </x:c>
      <x:c r="D800" s="11" t="str">
        <x:v>2025-09</x:v>
      </x:c>
      <x:c r="E800" s="11" t="str">
        <x:v>East</x:v>
      </x:c>
      <x:c r="F800" s="11" t="str">
        <x:v>Office Supplies</x:v>
      </x:c>
      <x:c r="G800" s="11" t="str">
        <x:v>Notebook pack</x:v>
      </x:c>
      <x:c r="H800" s="11" t="n">
        <x:v>1</x:v>
      </x:c>
      <x:c r="I800" s="19" t="n">
        <x:v>0.1</x:v>
      </x:c>
      <x:c r="J800" s="11" t="n">
        <x:v>0</x:v>
      </x:c>
      <x:c r="K800" s="20" t="n">
        <x:v>18</x:v>
      </x:c>
      <x:c r="L800" s="20" t="n">
        <x:v>1.8</x:v>
      </x:c>
      <x:c r="M800" s="20" t="n">
        <x:v>7</x:v>
      </x:c>
      <x:c r="N800" s="20" t="n">
        <x:f>IF(J800=1,0,K800-L800)</x:f>
        <x:v>16.2</x:v>
      </x:c>
      <x:c r="O800" s="20" t="n">
        <x:f>N800-M800</x:f>
        <x:v>9.2</x:v>
      </x:c>
    </x:row>
    <x:row r="801" ht="22" customHeight="1">
      <x:c r="A801" s="11" t="n">
        <x:v>797</x:v>
      </x:c>
      <x:c r="B801" s="11" t="n">
        <x:v>398</x:v>
      </x:c>
      <x:c r="C801" s="18" t="n">
        <x:v>45903</x:v>
      </x:c>
      <x:c r="D801" s="11" t="str">
        <x:v>2025-09</x:v>
      </x:c>
      <x:c r="E801" s="11" t="str">
        <x:v>East</x:v>
      </x:c>
      <x:c r="F801" s="11" t="str">
        <x:v>Technology</x:v>
      </x:c>
      <x:c r="G801" s="11" t="str">
        <x:v>Monitor</x:v>
      </x:c>
      <x:c r="H801" s="11" t="n">
        <x:v>4</x:v>
      </x:c>
      <x:c r="I801" s="19" t="n">
        <x:v>0.05</x:v>
      </x:c>
      <x:c r="J801" s="11" t="n">
        <x:v>0</x:v>
      </x:c>
      <x:c r="K801" s="20" t="n">
        <x:v>960</x:v>
      </x:c>
      <x:c r="L801" s="20" t="n">
        <x:v>48</x:v>
      </x:c>
      <x:c r="M801" s="20" t="n">
        <x:v>640</x:v>
      </x:c>
      <x:c r="N801" s="20" t="n">
        <x:f>IF(J801=1,0,K801-L801)</x:f>
        <x:v>912</x:v>
      </x:c>
      <x:c r="O801" s="20" t="n">
        <x:f>N801-M801</x:f>
        <x:v>272</x:v>
      </x:c>
    </x:row>
    <x:row r="802" ht="22" customHeight="1">
      <x:c r="A802" s="11" t="n">
        <x:v>798</x:v>
      </x:c>
      <x:c r="B802" s="11" t="n">
        <x:v>399</x:v>
      </x:c>
      <x:c r="C802" s="18" t="n">
        <x:v>45302</x:v>
      </x:c>
      <x:c r="D802" s="11" t="str">
        <x:v>2024-01</x:v>
      </x:c>
      <x:c r="E802" s="11" t="str">
        <x:v>East</x:v>
      </x:c>
      <x:c r="F802" s="11" t="str">
        <x:v>Technology</x:v>
      </x:c>
      <x:c r="G802" s="11" t="str">
        <x:v>Monitor</x:v>
      </x:c>
      <x:c r="H802" s="11" t="n">
        <x:v>5</x:v>
      </x:c>
      <x:c r="I802" s="19" t="n">
        <x:v>0</x:v>
      </x:c>
      <x:c r="J802" s="11" t="n">
        <x:v>0</x:v>
      </x:c>
      <x:c r="K802" s="20" t="n">
        <x:v>1200</x:v>
      </x:c>
      <x:c r="L802" s="20" t="n">
        <x:v>0</x:v>
      </x:c>
      <x:c r="M802" s="20" t="n">
        <x:v>800</x:v>
      </x:c>
      <x:c r="N802" s="20" t="n">
        <x:f>IF(J802=1,0,K802-L802)</x:f>
        <x:v>1200</x:v>
      </x:c>
      <x:c r="O802" s="20" t="n">
        <x:f>N802-M802</x:f>
        <x:v>400</x:v>
      </x:c>
    </x:row>
    <x:row r="803" ht="22" customHeight="1">
      <x:c r="A803" s="11" t="n">
        <x:v>799</x:v>
      </x:c>
      <x:c r="B803" s="11" t="n">
        <x:v>399</x:v>
      </x:c>
      <x:c r="C803" s="18" t="n">
        <x:v>45302</x:v>
      </x:c>
      <x:c r="D803" s="11" t="str">
        <x:v>2024-01</x:v>
      </x:c>
      <x:c r="E803" s="11" t="str">
        <x:v>East</x:v>
      </x:c>
      <x:c r="F803" s="11" t="str">
        <x:v>Technology</x:v>
      </x:c>
      <x:c r="G803" s="11" t="str">
        <x:v>Keyboard</x:v>
      </x:c>
      <x:c r="H803" s="11" t="n">
        <x:v>4</x:v>
      </x:c>
      <x:c r="I803" s="19" t="n">
        <x:v>0.1</x:v>
      </x:c>
      <x:c r="J803" s="11" t="n">
        <x:v>0</x:v>
      </x:c>
      <x:c r="K803" s="20" t="n">
        <x:v>260</x:v>
      </x:c>
      <x:c r="L803" s="20" t="n">
        <x:v>26</x:v>
      </x:c>
      <x:c r="M803" s="20" t="n">
        <x:v>128</x:v>
      </x:c>
      <x:c r="N803" s="20" t="n">
        <x:f>IF(J803=1,0,K803-L803)</x:f>
        <x:v>234</x:v>
      </x:c>
      <x:c r="O803" s="20" t="n">
        <x:f>N803-M803</x:f>
        <x:v>106</x:v>
      </x:c>
    </x:row>
    <x:row r="804" ht="22" customHeight="1">
      <x:c r="A804" s="11" t="n">
        <x:v>800</x:v>
      </x:c>
      <x:c r="B804" s="11" t="n">
        <x:v>400</x:v>
      </x:c>
      <x:c r="C804" s="18" t="n">
        <x:v>45732</x:v>
      </x:c>
      <x:c r="D804" s="11" t="str">
        <x:v>2025-03</x:v>
      </x:c>
      <x:c r="E804" s="11" t="str">
        <x:v>East</x:v>
      </x:c>
      <x:c r="F804" s="11" t="str">
        <x:v>Office Supplies</x:v>
      </x:c>
      <x:c r="G804" s="11" t="str">
        <x:v>Notebook pack</x:v>
      </x:c>
      <x:c r="H804" s="11" t="n">
        <x:v>3</x:v>
      </x:c>
      <x:c r="I804" s="19" t="n">
        <x:v>0</x:v>
      </x:c>
      <x:c r="J804" s="11" t="n">
        <x:v>0</x:v>
      </x:c>
      <x:c r="K804" s="20" t="n">
        <x:v>54</x:v>
      </x:c>
      <x:c r="L804" s="20" t="n">
        <x:v>0</x:v>
      </x:c>
      <x:c r="M804" s="20" t="n">
        <x:v>21</x:v>
      </x:c>
      <x:c r="N804" s="20" t="n">
        <x:f>IF(J804=1,0,K804-L804)</x:f>
        <x:v>54</x:v>
      </x:c>
      <x:c r="O804" s="20" t="n">
        <x:f>N804-M804</x:f>
        <x:v>33</x:v>
      </x:c>
    </x:row>
    <x:row r="805" ht="22" customHeight="1">
      <x:c r="A805" s="11" t="n">
        <x:v>801</x:v>
      </x:c>
      <x:c r="B805" s="11" t="n">
        <x:v>401</x:v>
      </x:c>
      <x:c r="C805" s="18" t="n">
        <x:v>45866</x:v>
      </x:c>
      <x:c r="D805" s="11" t="str">
        <x:v>2025-07</x:v>
      </x:c>
      <x:c r="E805" s="11" t="str">
        <x:v>Central</x:v>
      </x:c>
      <x:c r="F805" s="11" t="str">
        <x:v>Furniture</x:v>
      </x:c>
      <x:c r="G805" s="11" t="str">
        <x:v>Chair</x:v>
      </x:c>
      <x:c r="H805" s="11" t="n">
        <x:v>4</x:v>
      </x:c>
      <x:c r="I805" s="19" t="n">
        <x:v>0.25</x:v>
      </x:c>
      <x:c r="J805" s="11" t="n">
        <x:v>0</x:v>
      </x:c>
      <x:c r="K805" s="20" t="n">
        <x:v>680</x:v>
      </x:c>
      <x:c r="L805" s="20" t="n">
        <x:v>170</x:v>
      </x:c>
      <x:c r="M805" s="20" t="n">
        <x:v>440</x:v>
      </x:c>
      <x:c r="N805" s="20" t="n">
        <x:f>IF(J805=1,0,K805-L805)</x:f>
        <x:v>510</x:v>
      </x:c>
      <x:c r="O805" s="20" t="n">
        <x:f>N805-M805</x:f>
        <x:v>70</x:v>
      </x:c>
    </x:row>
    <x:row r="806" ht="22" customHeight="1">
      <x:c r="A806" s="11" t="n">
        <x:v>802</x:v>
      </x:c>
      <x:c r="B806" s="11" t="n">
        <x:v>402</x:v>
      </x:c>
      <x:c r="C806" s="18" t="n">
        <x:v>45373</x:v>
      </x:c>
      <x:c r="D806" s="11" t="str">
        <x:v>2024-03</x:v>
      </x:c>
      <x:c r="E806" s="11" t="str">
        <x:v>South</x:v>
      </x:c>
      <x:c r="F806" s="11" t="str">
        <x:v>Office Supplies</x:v>
      </x:c>
      <x:c r="G806" s="11" t="str">
        <x:v>Notebook pack</x:v>
      </x:c>
      <x:c r="H806" s="11" t="n">
        <x:v>5</x:v>
      </x:c>
      <x:c r="I806" s="19" t="n">
        <x:v>0.05</x:v>
      </x:c>
      <x:c r="J806" s="11" t="n">
        <x:v>0</x:v>
      </x:c>
      <x:c r="K806" s="20" t="n">
        <x:v>90</x:v>
      </x:c>
      <x:c r="L806" s="20" t="n">
        <x:v>4.5</x:v>
      </x:c>
      <x:c r="M806" s="20" t="n">
        <x:v>35</x:v>
      </x:c>
      <x:c r="N806" s="20" t="n">
        <x:f>IF(J806=1,0,K806-L806)</x:f>
        <x:v>85.5</x:v>
      </x:c>
      <x:c r="O806" s="20" t="n">
        <x:f>N806-M806</x:f>
        <x:v>50.5</x:v>
      </x:c>
    </x:row>
    <x:row r="807" ht="22" customHeight="1">
      <x:c r="A807" s="11" t="n">
        <x:v>803</x:v>
      </x:c>
      <x:c r="B807" s="11" t="n">
        <x:v>402</x:v>
      </x:c>
      <x:c r="C807" s="18" t="n">
        <x:v>45373</x:v>
      </x:c>
      <x:c r="D807" s="11" t="str">
        <x:v>2024-03</x:v>
      </x:c>
      <x:c r="E807" s="11" t="str">
        <x:v>South</x:v>
      </x:c>
      <x:c r="F807" s="11" t="str">
        <x:v>Technology</x:v>
      </x:c>
      <x:c r="G807" s="11" t="str">
        <x:v>Monitor</x:v>
      </x:c>
      <x:c r="H807" s="11" t="n">
        <x:v>1</x:v>
      </x:c>
      <x:c r="I807" s="19" t="n">
        <x:v>0</x:v>
      </x:c>
      <x:c r="J807" s="11" t="n">
        <x:v>0</x:v>
      </x:c>
      <x:c r="K807" s="20" t="n">
        <x:v>240</x:v>
      </x:c>
      <x:c r="L807" s="20" t="n">
        <x:v>0</x:v>
      </x:c>
      <x:c r="M807" s="20" t="n">
        <x:v>160</x:v>
      </x:c>
      <x:c r="N807" s="20" t="n">
        <x:f>IF(J807=1,0,K807-L807)</x:f>
        <x:v>240</x:v>
      </x:c>
      <x:c r="O807" s="20" t="n">
        <x:f>N807-M807</x:f>
        <x:v>80</x:v>
      </x:c>
    </x:row>
    <x:row r="808" ht="22" customHeight="1">
      <x:c r="A808" s="11" t="n">
        <x:v>804</x:v>
      </x:c>
      <x:c r="B808" s="11" t="n">
        <x:v>402</x:v>
      </x:c>
      <x:c r="C808" s="18" t="n">
        <x:v>45373</x:v>
      </x:c>
      <x:c r="D808" s="11" t="str">
        <x:v>2024-03</x:v>
      </x:c>
      <x:c r="E808" s="11" t="str">
        <x:v>South</x:v>
      </x:c>
      <x:c r="F808" s="11" t="str">
        <x:v>Office Supplies</x:v>
      </x:c>
      <x:c r="G808" s="11" t="str">
        <x:v>Storage box</x:v>
      </x:c>
      <x:c r="H808" s="11" t="n">
        <x:v>1</x:v>
      </x:c>
      <x:c r="I808" s="19" t="n">
        <x:v>0.1</x:v>
      </x:c>
      <x:c r="J808" s="11" t="n">
        <x:v>0</x:v>
      </x:c>
      <x:c r="K808" s="20" t="n">
        <x:v>26</x:v>
      </x:c>
      <x:c r="L808" s="20" t="n">
        <x:v>2.6</x:v>
      </x:c>
      <x:c r="M808" s="20" t="n">
        <x:v>12</x:v>
      </x:c>
      <x:c r="N808" s="20" t="n">
        <x:f>IF(J808=1,0,K808-L808)</x:f>
        <x:v>23.4</x:v>
      </x:c>
      <x:c r="O808" s="20" t="n">
        <x:f>N808-M808</x:f>
        <x:v>11.399999999999999</x:v>
      </x:c>
    </x:row>
    <x:row r="809" ht="22" customHeight="1">
      <x:c r="A809" s="11" t="n">
        <x:v>805</x:v>
      </x:c>
      <x:c r="B809" s="11" t="n">
        <x:v>403</x:v>
      </x:c>
      <x:c r="C809" s="18" t="n">
        <x:v>45570</x:v>
      </x:c>
      <x:c r="D809" s="11" t="str">
        <x:v>2024-10</x:v>
      </x:c>
      <x:c r="E809" s="11" t="str">
        <x:v>Central</x:v>
      </x:c>
      <x:c r="F809" s="11" t="str">
        <x:v>Technology</x:v>
      </x:c>
      <x:c r="G809" s="11" t="str">
        <x:v>Monitor</x:v>
      </x:c>
      <x:c r="H809" s="11" t="n">
        <x:v>1</x:v>
      </x:c>
      <x:c r="I809" s="19" t="n">
        <x:v>0</x:v>
      </x:c>
      <x:c r="J809" s="11" t="n">
        <x:v>1</x:v>
      </x:c>
      <x:c r="K809" s="20" t="n">
        <x:v>240</x:v>
      </x:c>
      <x:c r="L809" s="20" t="n">
        <x:v>0</x:v>
      </x:c>
      <x:c r="M809" s="20" t="n">
        <x:v>0</x:v>
      </x:c>
      <x:c r="N809" s="20" t="n">
        <x:f>IF(J809=1,0,K809-L809)</x:f>
        <x:v>0</x:v>
      </x:c>
      <x:c r="O809" s="20" t="n">
        <x:f>N809-M809</x:f>
        <x:v>0</x:v>
      </x:c>
    </x:row>
    <x:row r="810" ht="22" customHeight="1">
      <x:c r="A810" s="11" t="n">
        <x:v>806</x:v>
      </x:c>
      <x:c r="B810" s="11" t="n">
        <x:v>404</x:v>
      </x:c>
      <x:c r="C810" s="18" t="n">
        <x:v>45839</x:v>
      </x:c>
      <x:c r="D810" s="11" t="str">
        <x:v>2025-07</x:v>
      </x:c>
      <x:c r="E810" s="11" t="str">
        <x:v>East</x:v>
      </x:c>
      <x:c r="F810" s="11" t="str">
        <x:v>Technology</x:v>
      </x:c>
      <x:c r="G810" s="11" t="str">
        <x:v>Monitor</x:v>
      </x:c>
      <x:c r="H810" s="11" t="n">
        <x:v>3</x:v>
      </x:c>
      <x:c r="I810" s="19" t="n">
        <x:v>0</x:v>
      </x:c>
      <x:c r="J810" s="11" t="n">
        <x:v>0</x:v>
      </x:c>
      <x:c r="K810" s="20" t="n">
        <x:v>720</x:v>
      </x:c>
      <x:c r="L810" s="20" t="n">
        <x:v>0</x:v>
      </x:c>
      <x:c r="M810" s="20" t="n">
        <x:v>480</x:v>
      </x:c>
      <x:c r="N810" s="20" t="n">
        <x:f>IF(J810=1,0,K810-L810)</x:f>
        <x:v>720</x:v>
      </x:c>
      <x:c r="O810" s="20" t="n">
        <x:f>N810-M810</x:f>
        <x:v>240</x:v>
      </x:c>
    </x:row>
    <x:row r="811" ht="22" customHeight="1">
      <x:c r="A811" s="11" t="n">
        <x:v>807</x:v>
      </x:c>
      <x:c r="B811" s="11" t="n">
        <x:v>405</x:v>
      </x:c>
      <x:c r="C811" s="18" t="n">
        <x:v>45300</x:v>
      </x:c>
      <x:c r="D811" s="11" t="str">
        <x:v>2024-01</x:v>
      </x:c>
      <x:c r="E811" s="11" t="str">
        <x:v>West</x:v>
      </x:c>
      <x:c r="F811" s="11" t="str">
        <x:v>Furniture</x:v>
      </x:c>
      <x:c r="G811" s="11" t="str">
        <x:v>Desk</x:v>
      </x:c>
      <x:c r="H811" s="11" t="n">
        <x:v>4</x:v>
      </x:c>
      <x:c r="I811" s="19" t="n">
        <x:v>0.05</x:v>
      </x:c>
      <x:c r="J811" s="11" t="n">
        <x:v>0</x:v>
      </x:c>
      <x:c r="K811" s="20" t="n">
        <x:v>1120</x:v>
      </x:c>
      <x:c r="L811" s="20" t="n">
        <x:v>56</x:v>
      </x:c>
      <x:c r="M811" s="20" t="n">
        <x:v>760</x:v>
      </x:c>
      <x:c r="N811" s="20" t="n">
        <x:f>IF(J811=1,0,K811-L811)</x:f>
        <x:v>1064</x:v>
      </x:c>
      <x:c r="O811" s="20" t="n">
        <x:f>N811-M811</x:f>
        <x:v>304</x:v>
      </x:c>
    </x:row>
    <x:row r="812" ht="22" customHeight="1">
      <x:c r="A812" s="11" t="n">
        <x:v>808</x:v>
      </x:c>
      <x:c r="B812" s="11" t="n">
        <x:v>406</x:v>
      </x:c>
      <x:c r="C812" s="18" t="n">
        <x:v>45611</x:v>
      </x:c>
      <x:c r="D812" s="11" t="str">
        <x:v>2024-11</x:v>
      </x:c>
      <x:c r="E812" s="11" t="str">
        <x:v>East</x:v>
      </x:c>
      <x:c r="F812" s="11" t="str">
        <x:v>Office Supplies</x:v>
      </x:c>
      <x:c r="G812" s="11" t="str">
        <x:v>Storage box</x:v>
      </x:c>
      <x:c r="H812" s="11" t="n">
        <x:v>3</x:v>
      </x:c>
      <x:c r="I812" s="19" t="n">
        <x:v>0</x:v>
      </x:c>
      <x:c r="J812" s="11" t="n">
        <x:v>0</x:v>
      </x:c>
      <x:c r="K812" s="20" t="n">
        <x:v>78</x:v>
      </x:c>
      <x:c r="L812" s="20" t="n">
        <x:v>0</x:v>
      </x:c>
      <x:c r="M812" s="20" t="n">
        <x:v>36</x:v>
      </x:c>
      <x:c r="N812" s="20" t="n">
        <x:f>IF(J812=1,0,K812-L812)</x:f>
        <x:v>78</x:v>
      </x:c>
      <x:c r="O812" s="20" t="n">
        <x:f>N812-M812</x:f>
        <x:v>42</x:v>
      </x:c>
    </x:row>
    <x:row r="813" ht="22" customHeight="1">
      <x:c r="A813" s="11" t="n">
        <x:v>809</x:v>
      </x:c>
      <x:c r="B813" s="11" t="n">
        <x:v>406</x:v>
      </x:c>
      <x:c r="C813" s="18" t="n">
        <x:v>45611</x:v>
      </x:c>
      <x:c r="D813" s="11" t="str">
        <x:v>2024-11</x:v>
      </x:c>
      <x:c r="E813" s="11" t="str">
        <x:v>East</x:v>
      </x:c>
      <x:c r="F813" s="11" t="str">
        <x:v>Furniture</x:v>
      </x:c>
      <x:c r="G813" s="11" t="str">
        <x:v>Desk</x:v>
      </x:c>
      <x:c r="H813" s="11" t="n">
        <x:v>2</x:v>
      </x:c>
      <x:c r="I813" s="19" t="n">
        <x:v>0</x:v>
      </x:c>
      <x:c r="J813" s="11" t="n">
        <x:v>0</x:v>
      </x:c>
      <x:c r="K813" s="20" t="n">
        <x:v>560</x:v>
      </x:c>
      <x:c r="L813" s="20" t="n">
        <x:v>0</x:v>
      </x:c>
      <x:c r="M813" s="20" t="n">
        <x:v>380</x:v>
      </x:c>
      <x:c r="N813" s="20" t="n">
        <x:f>IF(J813=1,0,K813-L813)</x:f>
        <x:v>560</x:v>
      </x:c>
      <x:c r="O813" s="20" t="n">
        <x:f>N813-M813</x:f>
        <x:v>180</x:v>
      </x:c>
    </x:row>
    <x:row r="814" ht="22" customHeight="1">
      <x:c r="A814" s="11" t="n">
        <x:v>810</x:v>
      </x:c>
      <x:c r="B814" s="11" t="n">
        <x:v>407</x:v>
      </x:c>
      <x:c r="C814" s="18" t="n">
        <x:v>45693</x:v>
      </x:c>
      <x:c r="D814" s="11" t="str">
        <x:v>2025-02</x:v>
      </x:c>
      <x:c r="E814" s="11" t="str">
        <x:v>South</x:v>
      </x:c>
      <x:c r="F814" s="11" t="str">
        <x:v>Furniture</x:v>
      </x:c>
      <x:c r="G814" s="11" t="str">
        <x:v>Chair</x:v>
      </x:c>
      <x:c r="H814" s="11" t="n">
        <x:v>3</x:v>
      </x:c>
      <x:c r="I814" s="19" t="n">
        <x:v>0.25</x:v>
      </x:c>
      <x:c r="J814" s="11" t="n">
        <x:v>0</x:v>
      </x:c>
      <x:c r="K814" s="20" t="n">
        <x:v>510</x:v>
      </x:c>
      <x:c r="L814" s="20" t="n">
        <x:v>127.5</x:v>
      </x:c>
      <x:c r="M814" s="20" t="n">
        <x:v>330</x:v>
      </x:c>
      <x:c r="N814" s="20" t="n">
        <x:f>IF(J814=1,0,K814-L814)</x:f>
        <x:v>382.5</x:v>
      </x:c>
      <x:c r="O814" s="20" t="n">
        <x:f>N814-M814</x:f>
        <x:v>52.5</x:v>
      </x:c>
    </x:row>
    <x:row r="815" ht="22" customHeight="1">
      <x:c r="A815" s="11" t="n">
        <x:v>811</x:v>
      </x:c>
      <x:c r="B815" s="11" t="n">
        <x:v>408</x:v>
      </x:c>
      <x:c r="C815" s="18" t="n">
        <x:v>45416</x:v>
      </x:c>
      <x:c r="D815" s="11" t="str">
        <x:v>2024-05</x:v>
      </x:c>
      <x:c r="E815" s="11" t="str">
        <x:v>South</x:v>
      </x:c>
      <x:c r="F815" s="11" t="str">
        <x:v>Technology</x:v>
      </x:c>
      <x:c r="G815" s="11" t="str">
        <x:v>Keyboard</x:v>
      </x:c>
      <x:c r="H815" s="11" t="n">
        <x:v>1</x:v>
      </x:c>
      <x:c r="I815" s="19" t="n">
        <x:v>0</x:v>
      </x:c>
      <x:c r="J815" s="11" t="n">
        <x:v>0</x:v>
      </x:c>
      <x:c r="K815" s="20" t="n">
        <x:v>65</x:v>
      </x:c>
      <x:c r="L815" s="20" t="n">
        <x:v>0</x:v>
      </x:c>
      <x:c r="M815" s="20" t="n">
        <x:v>32</x:v>
      </x:c>
      <x:c r="N815" s="20" t="n">
        <x:f>IF(J815=1,0,K815-L815)</x:f>
        <x:v>65</x:v>
      </x:c>
      <x:c r="O815" s="20" t="n">
        <x:f>N815-M815</x:f>
        <x:v>33</x:v>
      </x:c>
    </x:row>
    <x:row r="816" ht="22" customHeight="1">
      <x:c r="A816" s="11" t="n">
        <x:v>812</x:v>
      </x:c>
      <x:c r="B816" s="11" t="n">
        <x:v>408</x:v>
      </x:c>
      <x:c r="C816" s="18" t="n">
        <x:v>45416</x:v>
      </x:c>
      <x:c r="D816" s="11" t="str">
        <x:v>2024-05</x:v>
      </x:c>
      <x:c r="E816" s="11" t="str">
        <x:v>South</x:v>
      </x:c>
      <x:c r="F816" s="11" t="str">
        <x:v>Furniture</x:v>
      </x:c>
      <x:c r="G816" s="11" t="str">
        <x:v>Chair</x:v>
      </x:c>
      <x:c r="H816" s="11" t="n">
        <x:v>1</x:v>
      </x:c>
      <x:c r="I816" s="19" t="n">
        <x:v>0.05</x:v>
      </x:c>
      <x:c r="J816" s="11" t="n">
        <x:v>0</x:v>
      </x:c>
      <x:c r="K816" s="20" t="n">
        <x:v>170</x:v>
      </x:c>
      <x:c r="L816" s="20" t="n">
        <x:v>8.5</x:v>
      </x:c>
      <x:c r="M816" s="20" t="n">
        <x:v>110</x:v>
      </x:c>
      <x:c r="N816" s="20" t="n">
        <x:f>IF(J816=1,0,K816-L816)</x:f>
        <x:v>161.5</x:v>
      </x:c>
      <x:c r="O816" s="20" t="n">
        <x:f>N816-M816</x:f>
        <x:v>51.5</x:v>
      </x:c>
    </x:row>
    <x:row r="817" ht="22" customHeight="1">
      <x:c r="A817" s="11" t="n">
        <x:v>813</x:v>
      </x:c>
      <x:c r="B817" s="11" t="n">
        <x:v>409</x:v>
      </x:c>
      <x:c r="C817" s="18" t="n">
        <x:v>45989</x:v>
      </x:c>
      <x:c r="D817" s="11" t="str">
        <x:v>2025-11</x:v>
      </x:c>
      <x:c r="E817" s="11" t="str">
        <x:v>East</x:v>
      </x:c>
      <x:c r="F817" s="11" t="str">
        <x:v>Office Supplies</x:v>
      </x:c>
      <x:c r="G817" s="11" t="str">
        <x:v>Storage box</x:v>
      </x:c>
      <x:c r="H817" s="11" t="n">
        <x:v>1</x:v>
      </x:c>
      <x:c r="I817" s="19" t="n">
        <x:v>0.15</x:v>
      </x:c>
      <x:c r="J817" s="11" t="n">
        <x:v>0</x:v>
      </x:c>
      <x:c r="K817" s="20" t="n">
        <x:v>26</x:v>
      </x:c>
      <x:c r="L817" s="20" t="n">
        <x:v>3.9</x:v>
      </x:c>
      <x:c r="M817" s="20" t="n">
        <x:v>12</x:v>
      </x:c>
      <x:c r="N817" s="20" t="n">
        <x:f>IF(J817=1,0,K817-L817)</x:f>
        <x:v>22.1</x:v>
      </x:c>
      <x:c r="O817" s="20" t="n">
        <x:f>N817-M817</x:f>
        <x:v>10.100000000000001</x:v>
      </x:c>
    </x:row>
    <x:row r="818" ht="22" customHeight="1">
      <x:c r="A818" s="11" t="n">
        <x:v>814</x:v>
      </x:c>
      <x:c r="B818" s="11" t="n">
        <x:v>410</x:v>
      </x:c>
      <x:c r="C818" s="18" t="n">
        <x:v>45551</x:v>
      </x:c>
      <x:c r="D818" s="11" t="str">
        <x:v>2024-09</x:v>
      </x:c>
      <x:c r="E818" s="11" t="str">
        <x:v>Central</x:v>
      </x:c>
      <x:c r="F818" s="11" t="str">
        <x:v>Technology</x:v>
      </x:c>
      <x:c r="G818" s="11" t="str">
        <x:v>Monitor</x:v>
      </x:c>
      <x:c r="H818" s="11" t="n">
        <x:v>1</x:v>
      </x:c>
      <x:c r="I818" s="19" t="n">
        <x:v>0</x:v>
      </x:c>
      <x:c r="J818" s="11" t="n">
        <x:v>0</x:v>
      </x:c>
      <x:c r="K818" s="20" t="n">
        <x:v>240</x:v>
      </x:c>
      <x:c r="L818" s="20" t="n">
        <x:v>0</x:v>
      </x:c>
      <x:c r="M818" s="20" t="n">
        <x:v>160</x:v>
      </x:c>
      <x:c r="N818" s="20" t="n">
        <x:f>IF(J818=1,0,K818-L818)</x:f>
        <x:v>240</x:v>
      </x:c>
      <x:c r="O818" s="20" t="n">
        <x:f>N818-M818</x:f>
        <x:v>80</x:v>
      </x:c>
    </x:row>
    <x:row r="819" ht="22" customHeight="1">
      <x:c r="A819" s="11" t="n">
        <x:v>815</x:v>
      </x:c>
      <x:c r="B819" s="11" t="n">
        <x:v>411</x:v>
      </x:c>
      <x:c r="C819" s="18" t="n">
        <x:v>45533</x:v>
      </x:c>
      <x:c r="D819" s="11" t="str">
        <x:v>2024-08</x:v>
      </x:c>
      <x:c r="E819" s="11" t="str">
        <x:v>Central</x:v>
      </x:c>
      <x:c r="F819" s="11" t="str">
        <x:v>Furniture</x:v>
      </x:c>
      <x:c r="G819" s="11" t="str">
        <x:v>Desk</x:v>
      </x:c>
      <x:c r="H819" s="11" t="n">
        <x:v>3</x:v>
      </x:c>
      <x:c r="I819" s="19" t="n">
        <x:v>0</x:v>
      </x:c>
      <x:c r="J819" s="11" t="n">
        <x:v>0</x:v>
      </x:c>
      <x:c r="K819" s="20" t="n">
        <x:v>840</x:v>
      </x:c>
      <x:c r="L819" s="20" t="n">
        <x:v>0</x:v>
      </x:c>
      <x:c r="M819" s="20" t="n">
        <x:v>570</x:v>
      </x:c>
      <x:c r="N819" s="20" t="n">
        <x:f>IF(J819=1,0,K819-L819)</x:f>
        <x:v>840</x:v>
      </x:c>
      <x:c r="O819" s="20" t="n">
        <x:f>N819-M819</x:f>
        <x:v>270</x:v>
      </x:c>
    </x:row>
    <x:row r="820" ht="22" customHeight="1">
      <x:c r="A820" s="11" t="n">
        <x:v>816</x:v>
      </x:c>
      <x:c r="B820" s="11" t="n">
        <x:v>411</x:v>
      </x:c>
      <x:c r="C820" s="18" t="n">
        <x:v>45533</x:v>
      </x:c>
      <x:c r="D820" s="11" t="str">
        <x:v>2024-08</x:v>
      </x:c>
      <x:c r="E820" s="11" t="str">
        <x:v>Central</x:v>
      </x:c>
      <x:c r="F820" s="11" t="str">
        <x:v>Furniture</x:v>
      </x:c>
      <x:c r="G820" s="11" t="str">
        <x:v>Chair</x:v>
      </x:c>
      <x:c r="H820" s="11" t="n">
        <x:v>2</x:v>
      </x:c>
      <x:c r="I820" s="19" t="n">
        <x:v>0</x:v>
      </x:c>
      <x:c r="J820" s="11" t="n">
        <x:v>0</x:v>
      </x:c>
      <x:c r="K820" s="20" t="n">
        <x:v>340</x:v>
      </x:c>
      <x:c r="L820" s="20" t="n">
        <x:v>0</x:v>
      </x:c>
      <x:c r="M820" s="20" t="n">
        <x:v>220</x:v>
      </x:c>
      <x:c r="N820" s="20" t="n">
        <x:f>IF(J820=1,0,K820-L820)</x:f>
        <x:v>340</x:v>
      </x:c>
      <x:c r="O820" s="20" t="n">
        <x:f>N820-M820</x:f>
        <x:v>120</x:v>
      </x:c>
    </x:row>
    <x:row r="821" ht="22" customHeight="1">
      <x:c r="A821" s="11" t="n">
        <x:v>817</x:v>
      </x:c>
      <x:c r="B821" s="11" t="n">
        <x:v>412</x:v>
      </x:c>
      <x:c r="C821" s="18" t="n">
        <x:v>45887</x:v>
      </x:c>
      <x:c r="D821" s="11" t="str">
        <x:v>2025-08</x:v>
      </x:c>
      <x:c r="E821" s="11" t="str">
        <x:v>Central</x:v>
      </x:c>
      <x:c r="F821" s="11" t="str">
        <x:v>Office Supplies</x:v>
      </x:c>
      <x:c r="G821" s="11" t="str">
        <x:v>Notebook pack</x:v>
      </x:c>
      <x:c r="H821" s="11" t="n">
        <x:v>1</x:v>
      </x:c>
      <x:c r="I821" s="19" t="n">
        <x:v>0</x:v>
      </x:c>
      <x:c r="J821" s="11" t="n">
        <x:v>0</x:v>
      </x:c>
      <x:c r="K821" s="20" t="n">
        <x:v>18</x:v>
      </x:c>
      <x:c r="L821" s="20" t="n">
        <x:v>0</x:v>
      </x:c>
      <x:c r="M821" s="20" t="n">
        <x:v>7</x:v>
      </x:c>
      <x:c r="N821" s="20" t="n">
        <x:f>IF(J821=1,0,K821-L821)</x:f>
        <x:v>18</x:v>
      </x:c>
      <x:c r="O821" s="20" t="n">
        <x:f>N821-M821</x:f>
        <x:v>11</x:v>
      </x:c>
    </x:row>
    <x:row r="822" ht="22" customHeight="1">
      <x:c r="A822" s="11" t="n">
        <x:v>818</x:v>
      </x:c>
      <x:c r="B822" s="11" t="n">
        <x:v>412</x:v>
      </x:c>
      <x:c r="C822" s="18" t="n">
        <x:v>45887</x:v>
      </x:c>
      <x:c r="D822" s="11" t="str">
        <x:v>2025-08</x:v>
      </x:c>
      <x:c r="E822" s="11" t="str">
        <x:v>Central</x:v>
      </x:c>
      <x:c r="F822" s="11" t="str">
        <x:v>Furniture</x:v>
      </x:c>
      <x:c r="G822" s="11" t="str">
        <x:v>Chair</x:v>
      </x:c>
      <x:c r="H822" s="11" t="n">
        <x:v>1</x:v>
      </x:c>
      <x:c r="I822" s="19" t="n">
        <x:v>0.15</x:v>
      </x:c>
      <x:c r="J822" s="11" t="n">
        <x:v>0</x:v>
      </x:c>
      <x:c r="K822" s="20" t="n">
        <x:v>170</x:v>
      </x:c>
      <x:c r="L822" s="20" t="n">
        <x:v>25.5</x:v>
      </x:c>
      <x:c r="M822" s="20" t="n">
        <x:v>110</x:v>
      </x:c>
      <x:c r="N822" s="20" t="n">
        <x:f>IF(J822=1,0,K822-L822)</x:f>
        <x:v>144.5</x:v>
      </x:c>
      <x:c r="O822" s="20" t="n">
        <x:f>N822-M822</x:f>
        <x:v>34.5</x:v>
      </x:c>
    </x:row>
    <x:row r="823" ht="22" customHeight="1">
      <x:c r="A823" s="11" t="n">
        <x:v>819</x:v>
      </x:c>
      <x:c r="B823" s="11" t="n">
        <x:v>412</x:v>
      </x:c>
      <x:c r="C823" s="18" t="n">
        <x:v>45887</x:v>
      </x:c>
      <x:c r="D823" s="11" t="str">
        <x:v>2025-08</x:v>
      </x:c>
      <x:c r="E823" s="11" t="str">
        <x:v>Central</x:v>
      </x:c>
      <x:c r="F823" s="11" t="str">
        <x:v>Technology</x:v>
      </x:c>
      <x:c r="G823" s="11" t="str">
        <x:v>Monitor</x:v>
      </x:c>
      <x:c r="H823" s="11" t="n">
        <x:v>1</x:v>
      </x:c>
      <x:c r="I823" s="19" t="n">
        <x:v>0</x:v>
      </x:c>
      <x:c r="J823" s="11" t="n">
        <x:v>0</x:v>
      </x:c>
      <x:c r="K823" s="20" t="n">
        <x:v>240</x:v>
      </x:c>
      <x:c r="L823" s="20" t="n">
        <x:v>0</x:v>
      </x:c>
      <x:c r="M823" s="20" t="n">
        <x:v>160</x:v>
      </x:c>
      <x:c r="N823" s="20" t="n">
        <x:f>IF(J823=1,0,K823-L823)</x:f>
        <x:v>240</x:v>
      </x:c>
      <x:c r="O823" s="20" t="n">
        <x:f>N823-M823</x:f>
        <x:v>80</x:v>
      </x:c>
    </x:row>
    <x:row r="824" ht="22" customHeight="1">
      <x:c r="A824" s="11" t="n">
        <x:v>820</x:v>
      </x:c>
      <x:c r="B824" s="11" t="n">
        <x:v>413</x:v>
      </x:c>
      <x:c r="C824" s="18" t="n">
        <x:v>45449</x:v>
      </x:c>
      <x:c r="D824" s="11" t="str">
        <x:v>2024-06</x:v>
      </x:c>
      <x:c r="E824" s="11" t="str">
        <x:v>Central</x:v>
      </x:c>
      <x:c r="F824" s="11" t="str">
        <x:v>Technology</x:v>
      </x:c>
      <x:c r="G824" s="11" t="str">
        <x:v>Keyboard</x:v>
      </x:c>
      <x:c r="H824" s="11" t="n">
        <x:v>2</x:v>
      </x:c>
      <x:c r="I824" s="19" t="n">
        <x:v>0.05</x:v>
      </x:c>
      <x:c r="J824" s="11" t="n">
        <x:v>0</x:v>
      </x:c>
      <x:c r="K824" s="20" t="n">
        <x:v>130</x:v>
      </x:c>
      <x:c r="L824" s="20" t="n">
        <x:v>6.5</x:v>
      </x:c>
      <x:c r="M824" s="20" t="n">
        <x:v>64</x:v>
      </x:c>
      <x:c r="N824" s="20" t="n">
        <x:f>IF(J824=1,0,K824-L824)</x:f>
        <x:v>123.5</x:v>
      </x:c>
      <x:c r="O824" s="20" t="n">
        <x:f>N824-M824</x:f>
        <x:v>59.5</x:v>
      </x:c>
    </x:row>
    <x:row r="825" ht="22" customHeight="1">
      <x:c r="A825" s="11" t="n">
        <x:v>821</x:v>
      </x:c>
      <x:c r="B825" s="11" t="n">
        <x:v>414</x:v>
      </x:c>
      <x:c r="C825" s="18" t="n">
        <x:v>45952</x:v>
      </x:c>
      <x:c r="D825" s="11" t="str">
        <x:v>2025-10</x:v>
      </x:c>
      <x:c r="E825" s="11" t="str">
        <x:v>Central</x:v>
      </x:c>
      <x:c r="F825" s="11" t="str">
        <x:v>Office Supplies</x:v>
      </x:c>
      <x:c r="G825" s="11" t="str">
        <x:v>Storage box</x:v>
      </x:c>
      <x:c r="H825" s="11" t="n">
        <x:v>1</x:v>
      </x:c>
      <x:c r="I825" s="19" t="n">
        <x:v>0.1</x:v>
      </x:c>
      <x:c r="J825" s="11" t="n">
        <x:v>0</x:v>
      </x:c>
      <x:c r="K825" s="20" t="n">
        <x:v>26</x:v>
      </x:c>
      <x:c r="L825" s="20" t="n">
        <x:v>2.6</x:v>
      </x:c>
      <x:c r="M825" s="20" t="n">
        <x:v>12</x:v>
      </x:c>
      <x:c r="N825" s="20" t="n">
        <x:f>IF(J825=1,0,K825-L825)</x:f>
        <x:v>23.4</x:v>
      </x:c>
      <x:c r="O825" s="20" t="n">
        <x:f>N825-M825</x:f>
        <x:v>11.399999999999999</x:v>
      </x:c>
    </x:row>
    <x:row r="826" ht="22" customHeight="1">
      <x:c r="A826" s="11" t="n">
        <x:v>822</x:v>
      </x:c>
      <x:c r="B826" s="11" t="n">
        <x:v>414</x:v>
      </x:c>
      <x:c r="C826" s="18" t="n">
        <x:v>45952</x:v>
      </x:c>
      <x:c r="D826" s="11" t="str">
        <x:v>2025-10</x:v>
      </x:c>
      <x:c r="E826" s="11" t="str">
        <x:v>Central</x:v>
      </x:c>
      <x:c r="F826" s="11" t="str">
        <x:v>Furniture</x:v>
      </x:c>
      <x:c r="G826" s="11" t="str">
        <x:v>Chair</x:v>
      </x:c>
      <x:c r="H826" s="11" t="n">
        <x:v>2</x:v>
      </x:c>
      <x:c r="I826" s="19" t="n">
        <x:v>0.1</x:v>
      </x:c>
      <x:c r="J826" s="11" t="n">
        <x:v>0</x:v>
      </x:c>
      <x:c r="K826" s="20" t="n">
        <x:v>340</x:v>
      </x:c>
      <x:c r="L826" s="20" t="n">
        <x:v>34</x:v>
      </x:c>
      <x:c r="M826" s="20" t="n">
        <x:v>220</x:v>
      </x:c>
      <x:c r="N826" s="20" t="n">
        <x:f>IF(J826=1,0,K826-L826)</x:f>
        <x:v>306</x:v>
      </x:c>
      <x:c r="O826" s="20" t="n">
        <x:f>N826-M826</x:f>
        <x:v>86</x:v>
      </x:c>
    </x:row>
    <x:row r="827" ht="22" customHeight="1">
      <x:c r="A827" s="11" t="n">
        <x:v>823</x:v>
      </x:c>
      <x:c r="B827" s="11" t="n">
        <x:v>415</x:v>
      </x:c>
      <x:c r="C827" s="18" t="n">
        <x:v>45788</x:v>
      </x:c>
      <x:c r="D827" s="11" t="str">
        <x:v>2025-05</x:v>
      </x:c>
      <x:c r="E827" s="11" t="str">
        <x:v>South</x:v>
      </x:c>
      <x:c r="F827" s="11" t="str">
        <x:v>Technology</x:v>
      </x:c>
      <x:c r="G827" s="11" t="str">
        <x:v>Monitor</x:v>
      </x:c>
      <x:c r="H827" s="11" t="n">
        <x:v>2</x:v>
      </x:c>
      <x:c r="I827" s="19" t="n">
        <x:v>0.15</x:v>
      </x:c>
      <x:c r="J827" s="11" t="n">
        <x:v>0</x:v>
      </x:c>
      <x:c r="K827" s="20" t="n">
        <x:v>480</x:v>
      </x:c>
      <x:c r="L827" s="20" t="n">
        <x:v>72</x:v>
      </x:c>
      <x:c r="M827" s="20" t="n">
        <x:v>320</x:v>
      </x:c>
      <x:c r="N827" s="20" t="n">
        <x:f>IF(J827=1,0,K827-L827)</x:f>
        <x:v>408</x:v>
      </x:c>
      <x:c r="O827" s="20" t="n">
        <x:f>N827-M827</x:f>
        <x:v>88</x:v>
      </x:c>
    </x:row>
    <x:row r="828" ht="22" customHeight="1">
      <x:c r="A828" s="11" t="n">
        <x:v>824</x:v>
      </x:c>
      <x:c r="B828" s="11" t="n">
        <x:v>415</x:v>
      </x:c>
      <x:c r="C828" s="18" t="n">
        <x:v>45788</x:v>
      </x:c>
      <x:c r="D828" s="11" t="str">
        <x:v>2025-05</x:v>
      </x:c>
      <x:c r="E828" s="11" t="str">
        <x:v>South</x:v>
      </x:c>
      <x:c r="F828" s="11" t="str">
        <x:v>Office Supplies</x:v>
      </x:c>
      <x:c r="G828" s="11" t="str">
        <x:v>Notebook pack</x:v>
      </x:c>
      <x:c r="H828" s="11" t="n">
        <x:v>3</x:v>
      </x:c>
      <x:c r="I828" s="19" t="n">
        <x:v>0.05</x:v>
      </x:c>
      <x:c r="J828" s="11" t="n">
        <x:v>0</x:v>
      </x:c>
      <x:c r="K828" s="20" t="n">
        <x:v>54</x:v>
      </x:c>
      <x:c r="L828" s="20" t="n">
        <x:v>2.7</x:v>
      </x:c>
      <x:c r="M828" s="20" t="n">
        <x:v>21</x:v>
      </x:c>
      <x:c r="N828" s="20" t="n">
        <x:f>IF(J828=1,0,K828-L828)</x:f>
        <x:v>51.3</x:v>
      </x:c>
      <x:c r="O828" s="20" t="n">
        <x:f>N828-M828</x:f>
        <x:v>30.299999999999997</x:v>
      </x:c>
    </x:row>
    <x:row r="829" ht="22" customHeight="1">
      <x:c r="A829" s="11" t="n">
        <x:v>825</x:v>
      </x:c>
      <x:c r="B829" s="11" t="n">
        <x:v>415</x:v>
      </x:c>
      <x:c r="C829" s="18" t="n">
        <x:v>45788</x:v>
      </x:c>
      <x:c r="D829" s="11" t="str">
        <x:v>2025-05</x:v>
      </x:c>
      <x:c r="E829" s="11" t="str">
        <x:v>South</x:v>
      </x:c>
      <x:c r="F829" s="11" t="str">
        <x:v>Technology</x:v>
      </x:c>
      <x:c r="G829" s="11" t="str">
        <x:v>Keyboard</x:v>
      </x:c>
      <x:c r="H829" s="11" t="n">
        <x:v>3</x:v>
      </x:c>
      <x:c r="I829" s="19" t="n">
        <x:v>0.15</x:v>
      </x:c>
      <x:c r="J829" s="11" t="n">
        <x:v>0</x:v>
      </x:c>
      <x:c r="K829" s="20" t="n">
        <x:v>195</x:v>
      </x:c>
      <x:c r="L829" s="20" t="n">
        <x:v>29.25</x:v>
      </x:c>
      <x:c r="M829" s="20" t="n">
        <x:v>96</x:v>
      </x:c>
      <x:c r="N829" s="20" t="n">
        <x:f>IF(J829=1,0,K829-L829)</x:f>
        <x:v>165.75</x:v>
      </x:c>
      <x:c r="O829" s="20" t="n">
        <x:f>N829-M829</x:f>
        <x:v>69.75</x:v>
      </x:c>
    </x:row>
    <x:row r="830" ht="22" customHeight="1">
      <x:c r="A830" s="11" t="n">
        <x:v>826</x:v>
      </x:c>
      <x:c r="B830" s="11" t="n">
        <x:v>416</x:v>
      </x:c>
      <x:c r="C830" s="18" t="n">
        <x:v>45859</x:v>
      </x:c>
      <x:c r="D830" s="11" t="str">
        <x:v>2025-07</x:v>
      </x:c>
      <x:c r="E830" s="11" t="str">
        <x:v>Central</x:v>
      </x:c>
      <x:c r="F830" s="11" t="str">
        <x:v>Furniture</x:v>
      </x:c>
      <x:c r="G830" s="11" t="str">
        <x:v>Chair</x:v>
      </x:c>
      <x:c r="H830" s="11" t="n">
        <x:v>3</x:v>
      </x:c>
      <x:c r="I830" s="19" t="n">
        <x:v>0.15</x:v>
      </x:c>
      <x:c r="J830" s="11" t="n">
        <x:v>0</x:v>
      </x:c>
      <x:c r="K830" s="20" t="n">
        <x:v>510</x:v>
      </x:c>
      <x:c r="L830" s="20" t="n">
        <x:v>76.5</x:v>
      </x:c>
      <x:c r="M830" s="20" t="n">
        <x:v>330</x:v>
      </x:c>
      <x:c r="N830" s="20" t="n">
        <x:f>IF(J830=1,0,K830-L830)</x:f>
        <x:v>433.5</x:v>
      </x:c>
      <x:c r="O830" s="20" t="n">
        <x:f>N830-M830</x:f>
        <x:v>103.5</x:v>
      </x:c>
    </x:row>
    <x:row r="831" ht="22" customHeight="1">
      <x:c r="A831" s="11" t="n">
        <x:v>827</x:v>
      </x:c>
      <x:c r="B831" s="11" t="n">
        <x:v>416</x:v>
      </x:c>
      <x:c r="C831" s="18" t="n">
        <x:v>45859</x:v>
      </x:c>
      <x:c r="D831" s="11" t="str">
        <x:v>2025-07</x:v>
      </x:c>
      <x:c r="E831" s="11" t="str">
        <x:v>Central</x:v>
      </x:c>
      <x:c r="F831" s="11" t="str">
        <x:v>Technology</x:v>
      </x:c>
      <x:c r="G831" s="11" t="str">
        <x:v>Keyboard</x:v>
      </x:c>
      <x:c r="H831" s="11" t="n">
        <x:v>5</x:v>
      </x:c>
      <x:c r="I831" s="19" t="n">
        <x:v>0.1</x:v>
      </x:c>
      <x:c r="J831" s="11" t="n">
        <x:v>0</x:v>
      </x:c>
      <x:c r="K831" s="20" t="n">
        <x:v>325</x:v>
      </x:c>
      <x:c r="L831" s="20" t="n">
        <x:v>32.5</x:v>
      </x:c>
      <x:c r="M831" s="20" t="n">
        <x:v>160</x:v>
      </x:c>
      <x:c r="N831" s="20" t="n">
        <x:f>IF(J831=1,0,K831-L831)</x:f>
        <x:v>292.5</x:v>
      </x:c>
      <x:c r="O831" s="20" t="n">
        <x:f>N831-M831</x:f>
        <x:v>132.5</x:v>
      </x:c>
    </x:row>
    <x:row r="832" ht="22" customHeight="1">
      <x:c r="A832" s="11" t="n">
        <x:v>828</x:v>
      </x:c>
      <x:c r="B832" s="11" t="n">
        <x:v>416</x:v>
      </x:c>
      <x:c r="C832" s="18" t="n">
        <x:v>45859</x:v>
      </x:c>
      <x:c r="D832" s="11" t="str">
        <x:v>2025-07</x:v>
      </x:c>
      <x:c r="E832" s="11" t="str">
        <x:v>Central</x:v>
      </x:c>
      <x:c r="F832" s="11" t="str">
        <x:v>Technology</x:v>
      </x:c>
      <x:c r="G832" s="11" t="str">
        <x:v>Monitor</x:v>
      </x:c>
      <x:c r="H832" s="11" t="n">
        <x:v>1</x:v>
      </x:c>
      <x:c r="I832" s="19" t="n">
        <x:v>0.15</x:v>
      </x:c>
      <x:c r="J832" s="11" t="n">
        <x:v>0</x:v>
      </x:c>
      <x:c r="K832" s="20" t="n">
        <x:v>240</x:v>
      </x:c>
      <x:c r="L832" s="20" t="n">
        <x:v>36</x:v>
      </x:c>
      <x:c r="M832" s="20" t="n">
        <x:v>160</x:v>
      </x:c>
      <x:c r="N832" s="20" t="n">
        <x:f>IF(J832=1,0,K832-L832)</x:f>
        <x:v>204</x:v>
      </x:c>
      <x:c r="O832" s="20" t="n">
        <x:f>N832-M832</x:f>
        <x:v>44</x:v>
      </x:c>
    </x:row>
    <x:row r="833" ht="22" customHeight="1">
      <x:c r="A833" s="11" t="n">
        <x:v>829</x:v>
      </x:c>
      <x:c r="B833" s="11" t="n">
        <x:v>417</x:v>
      </x:c>
      <x:c r="C833" s="18" t="n">
        <x:v>45927</x:v>
      </x:c>
      <x:c r="D833" s="11" t="str">
        <x:v>2025-09</x:v>
      </x:c>
      <x:c r="E833" s="11" t="str">
        <x:v>Central</x:v>
      </x:c>
      <x:c r="F833" s="11" t="str">
        <x:v>Furniture</x:v>
      </x:c>
      <x:c r="G833" s="11" t="str">
        <x:v>Desk</x:v>
      </x:c>
      <x:c r="H833" s="11" t="n">
        <x:v>2</x:v>
      </x:c>
      <x:c r="I833" s="19" t="n">
        <x:v>0.35</x:v>
      </x:c>
      <x:c r="J833" s="11" t="n">
        <x:v>0</x:v>
      </x:c>
      <x:c r="K833" s="20" t="n">
        <x:v>560</x:v>
      </x:c>
      <x:c r="L833" s="20" t="n">
        <x:v>196</x:v>
      </x:c>
      <x:c r="M833" s="20" t="n">
        <x:v>380</x:v>
      </x:c>
      <x:c r="N833" s="20" t="n">
        <x:f>IF(J833=1,0,K833-L833)</x:f>
        <x:v>364</x:v>
      </x:c>
      <x:c r="O833" s="20" t="n">
        <x:f>N833-M833</x:f>
        <x:v>-16</x:v>
      </x:c>
    </x:row>
    <x:row r="834" ht="22" customHeight="1">
      <x:c r="A834" s="11" t="n">
        <x:v>830</x:v>
      </x:c>
      <x:c r="B834" s="11" t="n">
        <x:v>417</x:v>
      </x:c>
      <x:c r="C834" s="18" t="n">
        <x:v>45927</x:v>
      </x:c>
      <x:c r="D834" s="11" t="str">
        <x:v>2025-09</x:v>
      </x:c>
      <x:c r="E834" s="11" t="str">
        <x:v>Central</x:v>
      </x:c>
      <x:c r="F834" s="11" t="str">
        <x:v>Office Supplies</x:v>
      </x:c>
      <x:c r="G834" s="11" t="str">
        <x:v>Notebook pack</x:v>
      </x:c>
      <x:c r="H834" s="11" t="n">
        <x:v>2</x:v>
      </x:c>
      <x:c r="I834" s="19" t="n">
        <x:v>0.15</x:v>
      </x:c>
      <x:c r="J834" s="11" t="n">
        <x:v>0</x:v>
      </x:c>
      <x:c r="K834" s="20" t="n">
        <x:v>36</x:v>
      </x:c>
      <x:c r="L834" s="20" t="n">
        <x:v>5.4</x:v>
      </x:c>
      <x:c r="M834" s="20" t="n">
        <x:v>14</x:v>
      </x:c>
      <x:c r="N834" s="20" t="n">
        <x:f>IF(J834=1,0,K834-L834)</x:f>
        <x:v>30.6</x:v>
      </x:c>
      <x:c r="O834" s="20" t="n">
        <x:f>N834-M834</x:f>
        <x:v>16.6</x:v>
      </x:c>
    </x:row>
    <x:row r="835" ht="22" customHeight="1">
      <x:c r="A835" s="11" t="n">
        <x:v>831</x:v>
      </x:c>
      <x:c r="B835" s="11" t="n">
        <x:v>417</x:v>
      </x:c>
      <x:c r="C835" s="18" t="n">
        <x:v>45927</x:v>
      </x:c>
      <x:c r="D835" s="11" t="str">
        <x:v>2025-09</x:v>
      </x:c>
      <x:c r="E835" s="11" t="str">
        <x:v>Central</x:v>
      </x:c>
      <x:c r="F835" s="11" t="str">
        <x:v>Technology</x:v>
      </x:c>
      <x:c r="G835" s="11" t="str">
        <x:v>Keyboard</x:v>
      </x:c>
      <x:c r="H835" s="11" t="n">
        <x:v>4</x:v>
      </x:c>
      <x:c r="I835" s="19" t="n">
        <x:v>0.05</x:v>
      </x:c>
      <x:c r="J835" s="11" t="n">
        <x:v>0</x:v>
      </x:c>
      <x:c r="K835" s="20" t="n">
        <x:v>260</x:v>
      </x:c>
      <x:c r="L835" s="20" t="n">
        <x:v>13</x:v>
      </x:c>
      <x:c r="M835" s="20" t="n">
        <x:v>128</x:v>
      </x:c>
      <x:c r="N835" s="20" t="n">
        <x:f>IF(J835=1,0,K835-L835)</x:f>
        <x:v>247</x:v>
      </x:c>
      <x:c r="O835" s="20" t="n">
        <x:f>N835-M835</x:f>
        <x:v>119</x:v>
      </x:c>
    </x:row>
    <x:row r="836" ht="22" customHeight="1">
      <x:c r="A836" s="11" t="n">
        <x:v>832</x:v>
      </x:c>
      <x:c r="B836" s="11" t="n">
        <x:v>418</x:v>
      </x:c>
      <x:c r="C836" s="18" t="n">
        <x:v>45827</x:v>
      </x:c>
      <x:c r="D836" s="11" t="str">
        <x:v>2025-06</x:v>
      </x:c>
      <x:c r="E836" s="11" t="str">
        <x:v>Central</x:v>
      </x:c>
      <x:c r="F836" s="11" t="str">
        <x:v>Furniture</x:v>
      </x:c>
      <x:c r="G836" s="11" t="str">
        <x:v>Chair</x:v>
      </x:c>
      <x:c r="H836" s="11" t="n">
        <x:v>2</x:v>
      </x:c>
      <x:c r="I836" s="19" t="n">
        <x:v>0</x:v>
      </x:c>
      <x:c r="J836" s="11" t="n">
        <x:v>0</x:v>
      </x:c>
      <x:c r="K836" s="20" t="n">
        <x:v>340</x:v>
      </x:c>
      <x:c r="L836" s="20" t="n">
        <x:v>0</x:v>
      </x:c>
      <x:c r="M836" s="20" t="n">
        <x:v>220</x:v>
      </x:c>
      <x:c r="N836" s="20" t="n">
        <x:f>IF(J836=1,0,K836-L836)</x:f>
        <x:v>340</x:v>
      </x:c>
      <x:c r="O836" s="20" t="n">
        <x:f>N836-M836</x:f>
        <x:v>120</x:v>
      </x:c>
    </x:row>
    <x:row r="837" ht="22" customHeight="1">
      <x:c r="A837" s="11" t="n">
        <x:v>833</x:v>
      </x:c>
      <x:c r="B837" s="11" t="n">
        <x:v>419</x:v>
      </x:c>
      <x:c r="C837" s="18" t="n">
        <x:v>45789</x:v>
      </x:c>
      <x:c r="D837" s="11" t="str">
        <x:v>2025-05</x:v>
      </x:c>
      <x:c r="E837" s="11" t="str">
        <x:v>East</x:v>
      </x:c>
      <x:c r="F837" s="11" t="str">
        <x:v>Office Supplies</x:v>
      </x:c>
      <x:c r="G837" s="11" t="str">
        <x:v>Notebook pack</x:v>
      </x:c>
      <x:c r="H837" s="11" t="n">
        <x:v>4</x:v>
      </x:c>
      <x:c r="I837" s="19" t="n">
        <x:v>0.1</x:v>
      </x:c>
      <x:c r="J837" s="11" t="n">
        <x:v>0</x:v>
      </x:c>
      <x:c r="K837" s="20" t="n">
        <x:v>72</x:v>
      </x:c>
      <x:c r="L837" s="20" t="n">
        <x:v>7.2</x:v>
      </x:c>
      <x:c r="M837" s="20" t="n">
        <x:v>28</x:v>
      </x:c>
      <x:c r="N837" s="20" t="n">
        <x:f>IF(J837=1,0,K837-L837)</x:f>
        <x:v>64.8</x:v>
      </x:c>
      <x:c r="O837" s="20" t="n">
        <x:f>N837-M837</x:f>
        <x:v>36.8</x:v>
      </x:c>
    </x:row>
    <x:row r="838" ht="22" customHeight="1">
      <x:c r="A838" s="11" t="n">
        <x:v>834</x:v>
      </x:c>
      <x:c r="B838" s="11" t="n">
        <x:v>420</x:v>
      </x:c>
      <x:c r="C838" s="18" t="n">
        <x:v>46010</x:v>
      </x:c>
      <x:c r="D838" s="11" t="str">
        <x:v>2025-12</x:v>
      </x:c>
      <x:c r="E838" s="11" t="str">
        <x:v>East</x:v>
      </x:c>
      <x:c r="F838" s="11" t="str">
        <x:v>Technology</x:v>
      </x:c>
      <x:c r="G838" s="11" t="str">
        <x:v>Monitor</x:v>
      </x:c>
      <x:c r="H838" s="11" t="n">
        <x:v>2</x:v>
      </x:c>
      <x:c r="I838" s="19" t="n">
        <x:v>0.15</x:v>
      </x:c>
      <x:c r="J838" s="11" t="n">
        <x:v>0</x:v>
      </x:c>
      <x:c r="K838" s="20" t="n">
        <x:v>480</x:v>
      </x:c>
      <x:c r="L838" s="20" t="n">
        <x:v>72</x:v>
      </x:c>
      <x:c r="M838" s="20" t="n">
        <x:v>320</x:v>
      </x:c>
      <x:c r="N838" s="20" t="n">
        <x:f>IF(J838=1,0,K838-L838)</x:f>
        <x:v>408</x:v>
      </x:c>
      <x:c r="O838" s="20" t="n">
        <x:f>N838-M838</x:f>
        <x:v>88</x:v>
      </x:c>
    </x:row>
    <x:row r="839" ht="22" customHeight="1">
      <x:c r="A839" s="11" t="n">
        <x:v>835</x:v>
      </x:c>
      <x:c r="B839" s="11" t="n">
        <x:v>421</x:v>
      </x:c>
      <x:c r="C839" s="18" t="n">
        <x:v>45305</x:v>
      </x:c>
      <x:c r="D839" s="11" t="str">
        <x:v>2024-01</x:v>
      </x:c>
      <x:c r="E839" s="11" t="str">
        <x:v>Central</x:v>
      </x:c>
      <x:c r="F839" s="11" t="str">
        <x:v>Technology</x:v>
      </x:c>
      <x:c r="G839" s="11" t="str">
        <x:v>Keyboard</x:v>
      </x:c>
      <x:c r="H839" s="11" t="n">
        <x:v>1</x:v>
      </x:c>
      <x:c r="I839" s="19" t="n">
        <x:v>0.05</x:v>
      </x:c>
      <x:c r="J839" s="11" t="n">
        <x:v>0</x:v>
      </x:c>
      <x:c r="K839" s="20" t="n">
        <x:v>65</x:v>
      </x:c>
      <x:c r="L839" s="20" t="n">
        <x:v>3.25</x:v>
      </x:c>
      <x:c r="M839" s="20" t="n">
        <x:v>32</x:v>
      </x:c>
      <x:c r="N839" s="20" t="n">
        <x:f>IF(J839=1,0,K839-L839)</x:f>
        <x:v>61.75</x:v>
      </x:c>
      <x:c r="O839" s="20" t="n">
        <x:f>N839-M839</x:f>
        <x:v>29.75</x:v>
      </x:c>
    </x:row>
    <x:row r="840" ht="22" customHeight="1">
      <x:c r="A840" s="11" t="n">
        <x:v>836</x:v>
      </x:c>
      <x:c r="B840" s="11" t="n">
        <x:v>422</x:v>
      </x:c>
      <x:c r="C840" s="18" t="n">
        <x:v>45717</x:v>
      </x:c>
      <x:c r="D840" s="11" t="str">
        <x:v>2025-03</x:v>
      </x:c>
      <x:c r="E840" s="11" t="str">
        <x:v>West</x:v>
      </x:c>
      <x:c r="F840" s="11" t="str">
        <x:v>Technology</x:v>
      </x:c>
      <x:c r="G840" s="11" t="str">
        <x:v>Monitor</x:v>
      </x:c>
      <x:c r="H840" s="11" t="n">
        <x:v>1</x:v>
      </x:c>
      <x:c r="I840" s="19" t="n">
        <x:v>0.05</x:v>
      </x:c>
      <x:c r="J840" s="11" t="n">
        <x:v>0</x:v>
      </x:c>
      <x:c r="K840" s="20" t="n">
        <x:v>240</x:v>
      </x:c>
      <x:c r="L840" s="20" t="n">
        <x:v>12</x:v>
      </x:c>
      <x:c r="M840" s="20" t="n">
        <x:v>160</x:v>
      </x:c>
      <x:c r="N840" s="20" t="n">
        <x:f>IF(J840=1,0,K840-L840)</x:f>
        <x:v>228</x:v>
      </x:c>
      <x:c r="O840" s="20" t="n">
        <x:f>N840-M840</x:f>
        <x:v>68</x:v>
      </x:c>
    </x:row>
    <x:row r="841" ht="22" customHeight="1">
      <x:c r="A841" s="11" t="n">
        <x:v>837</x:v>
      </x:c>
      <x:c r="B841" s="11" t="n">
        <x:v>422</x:v>
      </x:c>
      <x:c r="C841" s="18" t="n">
        <x:v>45717</x:v>
      </x:c>
      <x:c r="D841" s="11" t="str">
        <x:v>2025-03</x:v>
      </x:c>
      <x:c r="E841" s="11" t="str">
        <x:v>West</x:v>
      </x:c>
      <x:c r="F841" s="11" t="str">
        <x:v>Office Supplies</x:v>
      </x:c>
      <x:c r="G841" s="11" t="str">
        <x:v>Notebook pack</x:v>
      </x:c>
      <x:c r="H841" s="11" t="n">
        <x:v>2</x:v>
      </x:c>
      <x:c r="I841" s="19" t="n">
        <x:v>0.15</x:v>
      </x:c>
      <x:c r="J841" s="11" t="n">
        <x:v>0</x:v>
      </x:c>
      <x:c r="K841" s="20" t="n">
        <x:v>36</x:v>
      </x:c>
      <x:c r="L841" s="20" t="n">
        <x:v>5.4</x:v>
      </x:c>
      <x:c r="M841" s="20" t="n">
        <x:v>14</x:v>
      </x:c>
      <x:c r="N841" s="20" t="n">
        <x:f>IF(J841=1,0,K841-L841)</x:f>
        <x:v>30.6</x:v>
      </x:c>
      <x:c r="O841" s="20" t="n">
        <x:f>N841-M841</x:f>
        <x:v>16.6</x:v>
      </x:c>
    </x:row>
    <x:row r="842" ht="22" customHeight="1">
      <x:c r="A842" s="11" t="n">
        <x:v>838</x:v>
      </x:c>
      <x:c r="B842" s="11" t="n">
        <x:v>422</x:v>
      </x:c>
      <x:c r="C842" s="18" t="n">
        <x:v>45717</x:v>
      </x:c>
      <x:c r="D842" s="11" t="str">
        <x:v>2025-03</x:v>
      </x:c>
      <x:c r="E842" s="11" t="str">
        <x:v>West</x:v>
      </x:c>
      <x:c r="F842" s="11" t="str">
        <x:v>Furniture</x:v>
      </x:c>
      <x:c r="G842" s="11" t="str">
        <x:v>Desk</x:v>
      </x:c>
      <x:c r="H842" s="11" t="n">
        <x:v>2</x:v>
      </x:c>
      <x:c r="I842" s="19" t="n">
        <x:v>0.25</x:v>
      </x:c>
      <x:c r="J842" s="11" t="n">
        <x:v>0</x:v>
      </x:c>
      <x:c r="K842" s="20" t="n">
        <x:v>560</x:v>
      </x:c>
      <x:c r="L842" s="20" t="n">
        <x:v>140</x:v>
      </x:c>
      <x:c r="M842" s="20" t="n">
        <x:v>380</x:v>
      </x:c>
      <x:c r="N842" s="20" t="n">
        <x:f>IF(J842=1,0,K842-L842)</x:f>
        <x:v>420</x:v>
      </x:c>
      <x:c r="O842" s="20" t="n">
        <x:f>N842-M842</x:f>
        <x:v>40</x:v>
      </x:c>
    </x:row>
    <x:row r="843" ht="22" customHeight="1">
      <x:c r="A843" s="11" t="n">
        <x:v>839</x:v>
      </x:c>
      <x:c r="B843" s="11" t="n">
        <x:v>423</x:v>
      </x:c>
      <x:c r="C843" s="18" t="n">
        <x:v>45830</x:v>
      </x:c>
      <x:c r="D843" s="11" t="str">
        <x:v>2025-06</x:v>
      </x:c>
      <x:c r="E843" s="11" t="str">
        <x:v>Central</x:v>
      </x:c>
      <x:c r="F843" s="11" t="str">
        <x:v>Office Supplies</x:v>
      </x:c>
      <x:c r="G843" s="11" t="str">
        <x:v>Storage box</x:v>
      </x:c>
      <x:c r="H843" s="11" t="n">
        <x:v>1</x:v>
      </x:c>
      <x:c r="I843" s="19" t="n">
        <x:v>0.15</x:v>
      </x:c>
      <x:c r="J843" s="11" t="n">
        <x:v>0</x:v>
      </x:c>
      <x:c r="K843" s="20" t="n">
        <x:v>26</x:v>
      </x:c>
      <x:c r="L843" s="20" t="n">
        <x:v>3.9</x:v>
      </x:c>
      <x:c r="M843" s="20" t="n">
        <x:v>12</x:v>
      </x:c>
      <x:c r="N843" s="20" t="n">
        <x:f>IF(J843=1,0,K843-L843)</x:f>
        <x:v>22.1</x:v>
      </x:c>
      <x:c r="O843" s="20" t="n">
        <x:f>N843-M843</x:f>
        <x:v>10.100000000000001</x:v>
      </x:c>
    </x:row>
    <x:row r="844" ht="22" customHeight="1">
      <x:c r="A844" s="11" t="n">
        <x:v>840</x:v>
      </x:c>
      <x:c r="B844" s="11" t="n">
        <x:v>423</x:v>
      </x:c>
      <x:c r="C844" s="18" t="n">
        <x:v>45830</x:v>
      </x:c>
      <x:c r="D844" s="11" t="str">
        <x:v>2025-06</x:v>
      </x:c>
      <x:c r="E844" s="11" t="str">
        <x:v>Central</x:v>
      </x:c>
      <x:c r="F844" s="11" t="str">
        <x:v>Furniture</x:v>
      </x:c>
      <x:c r="G844" s="11" t="str">
        <x:v>Chair</x:v>
      </x:c>
      <x:c r="H844" s="11" t="n">
        <x:v>4</x:v>
      </x:c>
      <x:c r="I844" s="19" t="n">
        <x:v>0.25</x:v>
      </x:c>
      <x:c r="J844" s="11" t="n">
        <x:v>0</x:v>
      </x:c>
      <x:c r="K844" s="20" t="n">
        <x:v>680</x:v>
      </x:c>
      <x:c r="L844" s="20" t="n">
        <x:v>170</x:v>
      </x:c>
      <x:c r="M844" s="20" t="n">
        <x:v>440</x:v>
      </x:c>
      <x:c r="N844" s="20" t="n">
        <x:f>IF(J844=1,0,K844-L844)</x:f>
        <x:v>510</x:v>
      </x:c>
      <x:c r="O844" s="20" t="n">
        <x:f>N844-M844</x:f>
        <x:v>70</x:v>
      </x:c>
    </x:row>
    <x:row r="845" ht="22" customHeight="1">
      <x:c r="A845" s="11" t="n">
        <x:v>841</x:v>
      </x:c>
      <x:c r="B845" s="11" t="n">
        <x:v>423</x:v>
      </x:c>
      <x:c r="C845" s="18" t="n">
        <x:v>45830</x:v>
      </x:c>
      <x:c r="D845" s="11" t="str">
        <x:v>2025-06</x:v>
      </x:c>
      <x:c r="E845" s="11" t="str">
        <x:v>Central</x:v>
      </x:c>
      <x:c r="F845" s="11" t="str">
        <x:v>Technology</x:v>
      </x:c>
      <x:c r="G845" s="11" t="str">
        <x:v>Keyboard</x:v>
      </x:c>
      <x:c r="H845" s="11" t="n">
        <x:v>2</x:v>
      </x:c>
      <x:c r="I845" s="19" t="n">
        <x:v>0</x:v>
      </x:c>
      <x:c r="J845" s="11" t="n">
        <x:v>0</x:v>
      </x:c>
      <x:c r="K845" s="20" t="n">
        <x:v>130</x:v>
      </x:c>
      <x:c r="L845" s="20" t="n">
        <x:v>0</x:v>
      </x:c>
      <x:c r="M845" s="20" t="n">
        <x:v>64</x:v>
      </x:c>
      <x:c r="N845" s="20" t="n">
        <x:f>IF(J845=1,0,K845-L845)</x:f>
        <x:v>130</x:v>
      </x:c>
      <x:c r="O845" s="20" t="n">
        <x:f>N845-M845</x:f>
        <x:v>66</x:v>
      </x:c>
    </x:row>
    <x:row r="846" ht="22" customHeight="1">
      <x:c r="A846" s="11" t="n">
        <x:v>842</x:v>
      </x:c>
      <x:c r="B846" s="11" t="n">
        <x:v>424</x:v>
      </x:c>
      <x:c r="C846" s="18" t="n">
        <x:v>45808</x:v>
      </x:c>
      <x:c r="D846" s="11" t="str">
        <x:v>2025-05</x:v>
      </x:c>
      <x:c r="E846" s="11" t="str">
        <x:v>South</x:v>
      </x:c>
      <x:c r="F846" s="11" t="str">
        <x:v>Office Supplies</x:v>
      </x:c>
      <x:c r="G846" s="11" t="str">
        <x:v>Notebook pack</x:v>
      </x:c>
      <x:c r="H846" s="11" t="n">
        <x:v>3</x:v>
      </x:c>
      <x:c r="I846" s="19" t="n">
        <x:v>0.15</x:v>
      </x:c>
      <x:c r="J846" s="11" t="n">
        <x:v>0</x:v>
      </x:c>
      <x:c r="K846" s="20" t="n">
        <x:v>54</x:v>
      </x:c>
      <x:c r="L846" s="20" t="n">
        <x:v>8.1</x:v>
      </x:c>
      <x:c r="M846" s="20" t="n">
        <x:v>21</x:v>
      </x:c>
      <x:c r="N846" s="20" t="n">
        <x:f>IF(J846=1,0,K846-L846)</x:f>
        <x:v>45.9</x:v>
      </x:c>
      <x:c r="O846" s="20" t="n">
        <x:f>N846-M846</x:f>
        <x:v>24.9</x:v>
      </x:c>
    </x:row>
    <x:row r="847" ht="22" customHeight="1">
      <x:c r="A847" s="11" t="n">
        <x:v>843</x:v>
      </x:c>
      <x:c r="B847" s="11" t="n">
        <x:v>424</x:v>
      </x:c>
      <x:c r="C847" s="18" t="n">
        <x:v>45808</x:v>
      </x:c>
      <x:c r="D847" s="11" t="str">
        <x:v>2025-05</x:v>
      </x:c>
      <x:c r="E847" s="11" t="str">
        <x:v>South</x:v>
      </x:c>
      <x:c r="F847" s="11" t="str">
        <x:v>Technology</x:v>
      </x:c>
      <x:c r="G847" s="11" t="str">
        <x:v>Keyboard</x:v>
      </x:c>
      <x:c r="H847" s="11" t="n">
        <x:v>3</x:v>
      </x:c>
      <x:c r="I847" s="19" t="n">
        <x:v>0.05</x:v>
      </x:c>
      <x:c r="J847" s="11" t="n">
        <x:v>0</x:v>
      </x:c>
      <x:c r="K847" s="20" t="n">
        <x:v>195</x:v>
      </x:c>
      <x:c r="L847" s="20" t="n">
        <x:v>9.75</x:v>
      </x:c>
      <x:c r="M847" s="20" t="n">
        <x:v>96</x:v>
      </x:c>
      <x:c r="N847" s="20" t="n">
        <x:f>IF(J847=1,0,K847-L847)</x:f>
        <x:v>185.25</x:v>
      </x:c>
      <x:c r="O847" s="20" t="n">
        <x:f>N847-M847</x:f>
        <x:v>89.25</x:v>
      </x:c>
    </x:row>
    <x:row r="848" ht="22" customHeight="1">
      <x:c r="A848" s="11" t="n">
        <x:v>844</x:v>
      </x:c>
      <x:c r="B848" s="11" t="n">
        <x:v>424</x:v>
      </x:c>
      <x:c r="C848" s="18" t="n">
        <x:v>45808</x:v>
      </x:c>
      <x:c r="D848" s="11" t="str">
        <x:v>2025-05</x:v>
      </x:c>
      <x:c r="E848" s="11" t="str">
        <x:v>South</x:v>
      </x:c>
      <x:c r="F848" s="11" t="str">
        <x:v>Technology</x:v>
      </x:c>
      <x:c r="G848" s="11" t="str">
        <x:v>Monitor</x:v>
      </x:c>
      <x:c r="H848" s="11" t="n">
        <x:v>4</x:v>
      </x:c>
      <x:c r="I848" s="19" t="n">
        <x:v>0.05</x:v>
      </x:c>
      <x:c r="J848" s="11" t="n">
        <x:v>0</x:v>
      </x:c>
      <x:c r="K848" s="20" t="n">
        <x:v>960</x:v>
      </x:c>
      <x:c r="L848" s="20" t="n">
        <x:v>48</x:v>
      </x:c>
      <x:c r="M848" s="20" t="n">
        <x:v>640</x:v>
      </x:c>
      <x:c r="N848" s="20" t="n">
        <x:f>IF(J848=1,0,K848-L848)</x:f>
        <x:v>912</x:v>
      </x:c>
      <x:c r="O848" s="20" t="n">
        <x:f>N848-M848</x:f>
        <x:v>272</x:v>
      </x:c>
    </x:row>
    <x:row r="849" ht="22" customHeight="1">
      <x:c r="A849" s="11" t="n">
        <x:v>845</x:v>
      </x:c>
      <x:c r="B849" s="11" t="n">
        <x:v>425</x:v>
      </x:c>
      <x:c r="C849" s="18" t="n">
        <x:v>45868</x:v>
      </x:c>
      <x:c r="D849" s="11" t="str">
        <x:v>2025-07</x:v>
      </x:c>
      <x:c r="E849" s="11" t="str">
        <x:v>Central</x:v>
      </x:c>
      <x:c r="F849" s="11" t="str">
        <x:v>Office Supplies</x:v>
      </x:c>
      <x:c r="G849" s="11" t="str">
        <x:v>Notebook pack</x:v>
      </x:c>
      <x:c r="H849" s="11" t="n">
        <x:v>3</x:v>
      </x:c>
      <x:c r="I849" s="19" t="n">
        <x:v>0.1</x:v>
      </x:c>
      <x:c r="J849" s="11" t="n">
        <x:v>0</x:v>
      </x:c>
      <x:c r="K849" s="20" t="n">
        <x:v>54</x:v>
      </x:c>
      <x:c r="L849" s="20" t="n">
        <x:v>5.4</x:v>
      </x:c>
      <x:c r="M849" s="20" t="n">
        <x:v>21</x:v>
      </x:c>
      <x:c r="N849" s="20" t="n">
        <x:f>IF(J849=1,0,K849-L849)</x:f>
        <x:v>48.6</x:v>
      </x:c>
      <x:c r="O849" s="20" t="n">
        <x:f>N849-M849</x:f>
        <x:v>27.6</x:v>
      </x:c>
    </x:row>
    <x:row r="850" ht="22" customHeight="1">
      <x:c r="A850" s="11" t="n">
        <x:v>846</x:v>
      </x:c>
      <x:c r="B850" s="11" t="n">
        <x:v>425</x:v>
      </x:c>
      <x:c r="C850" s="18" t="n">
        <x:v>45868</x:v>
      </x:c>
      <x:c r="D850" s="11" t="str">
        <x:v>2025-07</x:v>
      </x:c>
      <x:c r="E850" s="11" t="str">
        <x:v>Central</x:v>
      </x:c>
      <x:c r="F850" s="11" t="str">
        <x:v>Technology</x:v>
      </x:c>
      <x:c r="G850" s="11" t="str">
        <x:v>Monitor</x:v>
      </x:c>
      <x:c r="H850" s="11" t="n">
        <x:v>4</x:v>
      </x:c>
      <x:c r="I850" s="19" t="n">
        <x:v>0</x:v>
      </x:c>
      <x:c r="J850" s="11" t="n">
        <x:v>0</x:v>
      </x:c>
      <x:c r="K850" s="20" t="n">
        <x:v>960</x:v>
      </x:c>
      <x:c r="L850" s="20" t="n">
        <x:v>0</x:v>
      </x:c>
      <x:c r="M850" s="20" t="n">
        <x:v>640</x:v>
      </x:c>
      <x:c r="N850" s="20" t="n">
        <x:f>IF(J850=1,0,K850-L850)</x:f>
        <x:v>960</x:v>
      </x:c>
      <x:c r="O850" s="20" t="n">
        <x:f>N850-M850</x:f>
        <x:v>320</x:v>
      </x:c>
    </x:row>
    <x:row r="851" ht="22" customHeight="1">
      <x:c r="A851" s="11" t="n">
        <x:v>847</x:v>
      </x:c>
      <x:c r="B851" s="11" t="n">
        <x:v>426</x:v>
      </x:c>
      <x:c r="C851" s="18" t="n">
        <x:v>45583</x:v>
      </x:c>
      <x:c r="D851" s="11" t="str">
        <x:v>2024-10</x:v>
      </x:c>
      <x:c r="E851" s="11" t="str">
        <x:v>West</x:v>
      </x:c>
      <x:c r="F851" s="11" t="str">
        <x:v>Furniture</x:v>
      </x:c>
      <x:c r="G851" s="11" t="str">
        <x:v>Chair</x:v>
      </x:c>
      <x:c r="H851" s="11" t="n">
        <x:v>3</x:v>
      </x:c>
      <x:c r="I851" s="19" t="n">
        <x:v>0.05</x:v>
      </x:c>
      <x:c r="J851" s="11" t="n">
        <x:v>0</x:v>
      </x:c>
      <x:c r="K851" s="20" t="n">
        <x:v>510</x:v>
      </x:c>
      <x:c r="L851" s="20" t="n">
        <x:v>25.5</x:v>
      </x:c>
      <x:c r="M851" s="20" t="n">
        <x:v>330</x:v>
      </x:c>
      <x:c r="N851" s="20" t="n">
        <x:f>IF(J851=1,0,K851-L851)</x:f>
        <x:v>484.5</x:v>
      </x:c>
      <x:c r="O851" s="20" t="n">
        <x:f>N851-M851</x:f>
        <x:v>154.5</x:v>
      </x:c>
    </x:row>
    <x:row r="852" ht="22" customHeight="1">
      <x:c r="A852" s="11" t="n">
        <x:v>848</x:v>
      </x:c>
      <x:c r="B852" s="11" t="n">
        <x:v>426</x:v>
      </x:c>
      <x:c r="C852" s="18" t="n">
        <x:v>45583</x:v>
      </x:c>
      <x:c r="D852" s="11" t="str">
        <x:v>2024-10</x:v>
      </x:c>
      <x:c r="E852" s="11" t="str">
        <x:v>West</x:v>
      </x:c>
      <x:c r="F852" s="11" t="str">
        <x:v>Technology</x:v>
      </x:c>
      <x:c r="G852" s="11" t="str">
        <x:v>Monitor</x:v>
      </x:c>
      <x:c r="H852" s="11" t="n">
        <x:v>3</x:v>
      </x:c>
      <x:c r="I852" s="19" t="n">
        <x:v>0</x:v>
      </x:c>
      <x:c r="J852" s="11" t="n">
        <x:v>0</x:v>
      </x:c>
      <x:c r="K852" s="20" t="n">
        <x:v>720</x:v>
      </x:c>
      <x:c r="L852" s="20" t="n">
        <x:v>0</x:v>
      </x:c>
      <x:c r="M852" s="20" t="n">
        <x:v>480</x:v>
      </x:c>
      <x:c r="N852" s="20" t="n">
        <x:f>IF(J852=1,0,K852-L852)</x:f>
        <x:v>720</x:v>
      </x:c>
      <x:c r="O852" s="20" t="n">
        <x:f>N852-M852</x:f>
        <x:v>240</x:v>
      </x:c>
    </x:row>
    <x:row r="853" ht="22" customHeight="1">
      <x:c r="A853" s="11" t="n">
        <x:v>849</x:v>
      </x:c>
      <x:c r="B853" s="11" t="n">
        <x:v>426</x:v>
      </x:c>
      <x:c r="C853" s="18" t="n">
        <x:v>45583</x:v>
      </x:c>
      <x:c r="D853" s="11" t="str">
        <x:v>2024-10</x:v>
      </x:c>
      <x:c r="E853" s="11" t="str">
        <x:v>West</x:v>
      </x:c>
      <x:c r="F853" s="11" t="str">
        <x:v>Furniture</x:v>
      </x:c>
      <x:c r="G853" s="11" t="str">
        <x:v>Desk</x:v>
      </x:c>
      <x:c r="H853" s="11" t="n">
        <x:v>3</x:v>
      </x:c>
      <x:c r="I853" s="19" t="n">
        <x:v>0</x:v>
      </x:c>
      <x:c r="J853" s="11" t="n">
        <x:v>0</x:v>
      </x:c>
      <x:c r="K853" s="20" t="n">
        <x:v>840</x:v>
      </x:c>
      <x:c r="L853" s="20" t="n">
        <x:v>0</x:v>
      </x:c>
      <x:c r="M853" s="20" t="n">
        <x:v>570</x:v>
      </x:c>
      <x:c r="N853" s="20" t="n">
        <x:f>IF(J853=1,0,K853-L853)</x:f>
        <x:v>840</x:v>
      </x:c>
      <x:c r="O853" s="20" t="n">
        <x:f>N853-M853</x:f>
        <x:v>270</x:v>
      </x:c>
    </x:row>
    <x:row r="854" ht="22" customHeight="1">
      <x:c r="A854" s="11" t="n">
        <x:v>850</x:v>
      </x:c>
      <x:c r="B854" s="11" t="n">
        <x:v>427</x:v>
      </x:c>
      <x:c r="C854" s="18" t="n">
        <x:v>45763</x:v>
      </x:c>
      <x:c r="D854" s="11" t="str">
        <x:v>2025-04</x:v>
      </x:c>
      <x:c r="E854" s="11" t="str">
        <x:v>East</x:v>
      </x:c>
      <x:c r="F854" s="11" t="str">
        <x:v>Technology</x:v>
      </x:c>
      <x:c r="G854" s="11" t="str">
        <x:v>Monitor</x:v>
      </x:c>
      <x:c r="H854" s="11" t="n">
        <x:v>3</x:v>
      </x:c>
      <x:c r="I854" s="19" t="n">
        <x:v>0.15</x:v>
      </x:c>
      <x:c r="J854" s="11" t="n">
        <x:v>0</x:v>
      </x:c>
      <x:c r="K854" s="20" t="n">
        <x:v>720</x:v>
      </x:c>
      <x:c r="L854" s="20" t="n">
        <x:v>108</x:v>
      </x:c>
      <x:c r="M854" s="20" t="n">
        <x:v>480</x:v>
      </x:c>
      <x:c r="N854" s="20" t="n">
        <x:f>IF(J854=1,0,K854-L854)</x:f>
        <x:v>612</x:v>
      </x:c>
      <x:c r="O854" s="20" t="n">
        <x:f>N854-M854</x:f>
        <x:v>132</x:v>
      </x:c>
    </x:row>
    <x:row r="855" ht="22" customHeight="1">
      <x:c r="A855" s="11" t="n">
        <x:v>851</x:v>
      </x:c>
      <x:c r="B855" s="11" t="n">
        <x:v>428</x:v>
      </x:c>
      <x:c r="C855" s="18" t="n">
        <x:v>45554</x:v>
      </x:c>
      <x:c r="D855" s="11" t="str">
        <x:v>2024-09</x:v>
      </x:c>
      <x:c r="E855" s="11" t="str">
        <x:v>Central</x:v>
      </x:c>
      <x:c r="F855" s="11" t="str">
        <x:v>Technology</x:v>
      </x:c>
      <x:c r="G855" s="11" t="str">
        <x:v>Keyboard</x:v>
      </x:c>
      <x:c r="H855" s="11" t="n">
        <x:v>1</x:v>
      </x:c>
      <x:c r="I855" s="19" t="n">
        <x:v>0.05</x:v>
      </x:c>
      <x:c r="J855" s="11" t="n">
        <x:v>0</x:v>
      </x:c>
      <x:c r="K855" s="20" t="n">
        <x:v>65</x:v>
      </x:c>
      <x:c r="L855" s="20" t="n">
        <x:v>3.25</x:v>
      </x:c>
      <x:c r="M855" s="20" t="n">
        <x:v>32</x:v>
      </x:c>
      <x:c r="N855" s="20" t="n">
        <x:f>IF(J855=1,0,K855-L855)</x:f>
        <x:v>61.75</x:v>
      </x:c>
      <x:c r="O855" s="20" t="n">
        <x:f>N855-M855</x:f>
        <x:v>29.75</x:v>
      </x:c>
    </x:row>
    <x:row r="856" ht="22" customHeight="1">
      <x:c r="A856" s="11" t="n">
        <x:v>852</x:v>
      </x:c>
      <x:c r="B856" s="11" t="n">
        <x:v>428</x:v>
      </x:c>
      <x:c r="C856" s="18" t="n">
        <x:v>45554</x:v>
      </x:c>
      <x:c r="D856" s="11" t="str">
        <x:v>2024-09</x:v>
      </x:c>
      <x:c r="E856" s="11" t="str">
        <x:v>Central</x:v>
      </x:c>
      <x:c r="F856" s="11" t="str">
        <x:v>Office Supplies</x:v>
      </x:c>
      <x:c r="G856" s="11" t="str">
        <x:v>Notebook pack</x:v>
      </x:c>
      <x:c r="H856" s="11" t="n">
        <x:v>2</x:v>
      </x:c>
      <x:c r="I856" s="19" t="n">
        <x:v>0.1</x:v>
      </x:c>
      <x:c r="J856" s="11" t="n">
        <x:v>0</x:v>
      </x:c>
      <x:c r="K856" s="20" t="n">
        <x:v>36</x:v>
      </x:c>
      <x:c r="L856" s="20" t="n">
        <x:v>3.6</x:v>
      </x:c>
      <x:c r="M856" s="20" t="n">
        <x:v>14</x:v>
      </x:c>
      <x:c r="N856" s="20" t="n">
        <x:f>IF(J856=1,0,K856-L856)</x:f>
        <x:v>32.4</x:v>
      </x:c>
      <x:c r="O856" s="20" t="n">
        <x:f>N856-M856</x:f>
        <x:v>18.4</x:v>
      </x:c>
    </x:row>
    <x:row r="857" ht="22" customHeight="1">
      <x:c r="A857" s="11" t="n">
        <x:v>853</x:v>
      </x:c>
      <x:c r="B857" s="11" t="n">
        <x:v>428</x:v>
      </x:c>
      <x:c r="C857" s="18" t="n">
        <x:v>45554</x:v>
      </x:c>
      <x:c r="D857" s="11" t="str">
        <x:v>2024-09</x:v>
      </x:c>
      <x:c r="E857" s="11" t="str">
        <x:v>Central</x:v>
      </x:c>
      <x:c r="F857" s="11" t="str">
        <x:v>Furniture</x:v>
      </x:c>
      <x:c r="G857" s="11" t="str">
        <x:v>Chair</x:v>
      </x:c>
      <x:c r="H857" s="11" t="n">
        <x:v>5</x:v>
      </x:c>
      <x:c r="I857" s="19" t="n">
        <x:v>0</x:v>
      </x:c>
      <x:c r="J857" s="11" t="n">
        <x:v>0</x:v>
      </x:c>
      <x:c r="K857" s="20" t="n">
        <x:v>850</x:v>
      </x:c>
      <x:c r="L857" s="20" t="n">
        <x:v>0</x:v>
      </x:c>
      <x:c r="M857" s="20" t="n">
        <x:v>550</x:v>
      </x:c>
      <x:c r="N857" s="20" t="n">
        <x:f>IF(J857=1,0,K857-L857)</x:f>
        <x:v>850</x:v>
      </x:c>
      <x:c r="O857" s="20" t="n">
        <x:f>N857-M857</x:f>
        <x:v>300</x:v>
      </x:c>
    </x:row>
    <x:row r="858" ht="22" customHeight="1">
      <x:c r="A858" s="11" t="n">
        <x:v>854</x:v>
      </x:c>
      <x:c r="B858" s="11" t="n">
        <x:v>429</x:v>
      </x:c>
      <x:c r="C858" s="18" t="n">
        <x:v>45599</x:v>
      </x:c>
      <x:c r="D858" s="11" t="str">
        <x:v>2024-11</x:v>
      </x:c>
      <x:c r="E858" s="11" t="str">
        <x:v>South</x:v>
      </x:c>
      <x:c r="F858" s="11" t="str">
        <x:v>Furniture</x:v>
      </x:c>
      <x:c r="G858" s="11" t="str">
        <x:v>Desk</x:v>
      </x:c>
      <x:c r="H858" s="11" t="n">
        <x:v>3</x:v>
      </x:c>
      <x:c r="I858" s="19" t="n">
        <x:v>0.15</x:v>
      </x:c>
      <x:c r="J858" s="11" t="n">
        <x:v>0</x:v>
      </x:c>
      <x:c r="K858" s="20" t="n">
        <x:v>840</x:v>
      </x:c>
      <x:c r="L858" s="20" t="n">
        <x:v>126</x:v>
      </x:c>
      <x:c r="M858" s="20" t="n">
        <x:v>570</x:v>
      </x:c>
      <x:c r="N858" s="20" t="n">
        <x:f>IF(J858=1,0,K858-L858)</x:f>
        <x:v>714</x:v>
      </x:c>
      <x:c r="O858" s="20" t="n">
        <x:f>N858-M858</x:f>
        <x:v>144</x:v>
      </x:c>
    </x:row>
    <x:row r="859" ht="22" customHeight="1">
      <x:c r="A859" s="11" t="n">
        <x:v>855</x:v>
      </x:c>
      <x:c r="B859" s="11" t="n">
        <x:v>430</x:v>
      </x:c>
      <x:c r="C859" s="18" t="n">
        <x:v>45736</x:v>
      </x:c>
      <x:c r="D859" s="11" t="str">
        <x:v>2025-03</x:v>
      </x:c>
      <x:c r="E859" s="11" t="str">
        <x:v>South</x:v>
      </x:c>
      <x:c r="F859" s="11" t="str">
        <x:v>Office Supplies</x:v>
      </x:c>
      <x:c r="G859" s="11" t="str">
        <x:v>Storage box</x:v>
      </x:c>
      <x:c r="H859" s="11" t="n">
        <x:v>5</x:v>
      </x:c>
      <x:c r="I859" s="19" t="n">
        <x:v>0</x:v>
      </x:c>
      <x:c r="J859" s="11" t="n">
        <x:v>0</x:v>
      </x:c>
      <x:c r="K859" s="20" t="n">
        <x:v>130</x:v>
      </x:c>
      <x:c r="L859" s="20" t="n">
        <x:v>0</x:v>
      </x:c>
      <x:c r="M859" s="20" t="n">
        <x:v>60</x:v>
      </x:c>
      <x:c r="N859" s="20" t="n">
        <x:f>IF(J859=1,0,K859-L859)</x:f>
        <x:v>130</x:v>
      </x:c>
      <x:c r="O859" s="20" t="n">
        <x:f>N859-M859</x:f>
        <x:v>70</x:v>
      </x:c>
    </x:row>
    <x:row r="860" ht="22" customHeight="1">
      <x:c r="A860" s="11" t="n">
        <x:v>856</x:v>
      </x:c>
      <x:c r="B860" s="11" t="n">
        <x:v>431</x:v>
      </x:c>
      <x:c r="C860" s="18" t="n">
        <x:v>45939</x:v>
      </x:c>
      <x:c r="D860" s="11" t="str">
        <x:v>2025-10</x:v>
      </x:c>
      <x:c r="E860" s="11" t="str">
        <x:v>Central</x:v>
      </x:c>
      <x:c r="F860" s="11" t="str">
        <x:v>Office Supplies</x:v>
      </x:c>
      <x:c r="G860" s="11" t="str">
        <x:v>Notebook pack</x:v>
      </x:c>
      <x:c r="H860" s="11" t="n">
        <x:v>3</x:v>
      </x:c>
      <x:c r="I860" s="19" t="n">
        <x:v>0.15</x:v>
      </x:c>
      <x:c r="J860" s="11" t="n">
        <x:v>0</x:v>
      </x:c>
      <x:c r="K860" s="20" t="n">
        <x:v>54</x:v>
      </x:c>
      <x:c r="L860" s="20" t="n">
        <x:v>8.1</x:v>
      </x:c>
      <x:c r="M860" s="20" t="n">
        <x:v>21</x:v>
      </x:c>
      <x:c r="N860" s="20" t="n">
        <x:f>IF(J860=1,0,K860-L860)</x:f>
        <x:v>45.9</x:v>
      </x:c>
      <x:c r="O860" s="20" t="n">
        <x:f>N860-M860</x:f>
        <x:v>24.9</x:v>
      </x:c>
    </x:row>
    <x:row r="861" ht="22" customHeight="1">
      <x:c r="A861" s="11" t="n">
        <x:v>857</x:v>
      </x:c>
      <x:c r="B861" s="11" t="n">
        <x:v>431</x:v>
      </x:c>
      <x:c r="C861" s="18" t="n">
        <x:v>45939</x:v>
      </x:c>
      <x:c r="D861" s="11" t="str">
        <x:v>2025-10</x:v>
      </x:c>
      <x:c r="E861" s="11" t="str">
        <x:v>Central</x:v>
      </x:c>
      <x:c r="F861" s="11" t="str">
        <x:v>Furniture</x:v>
      </x:c>
      <x:c r="G861" s="11" t="str">
        <x:v>Desk</x:v>
      </x:c>
      <x:c r="H861" s="11" t="n">
        <x:v>3</x:v>
      </x:c>
      <x:c r="I861" s="19" t="n">
        <x:v>0.05</x:v>
      </x:c>
      <x:c r="J861" s="11" t="n">
        <x:v>0</x:v>
      </x:c>
      <x:c r="K861" s="20" t="n">
        <x:v>840</x:v>
      </x:c>
      <x:c r="L861" s="20" t="n">
        <x:v>42</x:v>
      </x:c>
      <x:c r="M861" s="20" t="n">
        <x:v>570</x:v>
      </x:c>
      <x:c r="N861" s="20" t="n">
        <x:f>IF(J861=1,0,K861-L861)</x:f>
        <x:v>798</x:v>
      </x:c>
      <x:c r="O861" s="20" t="n">
        <x:f>N861-M861</x:f>
        <x:v>228</x:v>
      </x:c>
    </x:row>
    <x:row r="862" ht="22" customHeight="1">
      <x:c r="A862" s="11" t="n">
        <x:v>858</x:v>
      </x:c>
      <x:c r="B862" s="11" t="n">
        <x:v>432</x:v>
      </x:c>
      <x:c r="C862" s="18" t="n">
        <x:v>45981</x:v>
      </x:c>
      <x:c r="D862" s="11" t="str">
        <x:v>2025-11</x:v>
      </x:c>
      <x:c r="E862" s="11" t="str">
        <x:v>East</x:v>
      </x:c>
      <x:c r="F862" s="11" t="str">
        <x:v>Office Supplies</x:v>
      </x:c>
      <x:c r="G862" s="11" t="str">
        <x:v>Notebook pack</x:v>
      </x:c>
      <x:c r="H862" s="11" t="n">
        <x:v>5</x:v>
      </x:c>
      <x:c r="I862" s="19" t="n">
        <x:v>0</x:v>
      </x:c>
      <x:c r="J862" s="11" t="n">
        <x:v>0</x:v>
      </x:c>
      <x:c r="K862" s="20" t="n">
        <x:v>90</x:v>
      </x:c>
      <x:c r="L862" s="20" t="n">
        <x:v>0</x:v>
      </x:c>
      <x:c r="M862" s="20" t="n">
        <x:v>35</x:v>
      </x:c>
      <x:c r="N862" s="20" t="n">
        <x:f>IF(J862=1,0,K862-L862)</x:f>
        <x:v>90</x:v>
      </x:c>
      <x:c r="O862" s="20" t="n">
        <x:f>N862-M862</x:f>
        <x:v>55</x:v>
      </x:c>
    </x:row>
    <x:row r="863" ht="22" customHeight="1">
      <x:c r="A863" s="11" t="n">
        <x:v>859</x:v>
      </x:c>
      <x:c r="B863" s="11" t="n">
        <x:v>432</x:v>
      </x:c>
      <x:c r="C863" s="18" t="n">
        <x:v>45981</x:v>
      </x:c>
      <x:c r="D863" s="11" t="str">
        <x:v>2025-11</x:v>
      </x:c>
      <x:c r="E863" s="11" t="str">
        <x:v>East</x:v>
      </x:c>
      <x:c r="F863" s="11" t="str">
        <x:v>Office Supplies</x:v>
      </x:c>
      <x:c r="G863" s="11" t="str">
        <x:v>Storage box</x:v>
      </x:c>
      <x:c r="H863" s="11" t="n">
        <x:v>3</x:v>
      </x:c>
      <x:c r="I863" s="19" t="n">
        <x:v>0.1</x:v>
      </x:c>
      <x:c r="J863" s="11" t="n">
        <x:v>0</x:v>
      </x:c>
      <x:c r="K863" s="20" t="n">
        <x:v>78</x:v>
      </x:c>
      <x:c r="L863" s="20" t="n">
        <x:v>7.8</x:v>
      </x:c>
      <x:c r="M863" s="20" t="n">
        <x:v>36</x:v>
      </x:c>
      <x:c r="N863" s="20" t="n">
        <x:f>IF(J863=1,0,K863-L863)</x:f>
        <x:v>70.2</x:v>
      </x:c>
      <x:c r="O863" s="20" t="n">
        <x:f>N863-M863</x:f>
        <x:v>34.2</x:v>
      </x:c>
    </x:row>
    <x:row r="864" ht="22" customHeight="1">
      <x:c r="A864" s="11" t="n">
        <x:v>860</x:v>
      </x:c>
      <x:c r="B864" s="11" t="n">
        <x:v>433</x:v>
      </x:c>
      <x:c r="C864" s="18" t="n">
        <x:v>45636</x:v>
      </x:c>
      <x:c r="D864" s="11" t="str">
        <x:v>2024-12</x:v>
      </x:c>
      <x:c r="E864" s="11" t="str">
        <x:v>West</x:v>
      </x:c>
      <x:c r="F864" s="11" t="str">
        <x:v>Office Supplies</x:v>
      </x:c>
      <x:c r="G864" s="11" t="str">
        <x:v>Storage box</x:v>
      </x:c>
      <x:c r="H864" s="11" t="n">
        <x:v>3</x:v>
      </x:c>
      <x:c r="I864" s="19" t="n">
        <x:v>0</x:v>
      </x:c>
      <x:c r="J864" s="11" t="n">
        <x:v>0</x:v>
      </x:c>
      <x:c r="K864" s="20" t="n">
        <x:v>78</x:v>
      </x:c>
      <x:c r="L864" s="20" t="n">
        <x:v>0</x:v>
      </x:c>
      <x:c r="M864" s="20" t="n">
        <x:v>36</x:v>
      </x:c>
      <x:c r="N864" s="20" t="n">
        <x:f>IF(J864=1,0,K864-L864)</x:f>
        <x:v>78</x:v>
      </x:c>
      <x:c r="O864" s="20" t="n">
        <x:f>N864-M864</x:f>
        <x:v>42</x:v>
      </x:c>
    </x:row>
    <x:row r="865" ht="22" customHeight="1">
      <x:c r="A865" s="11" t="n">
        <x:v>861</x:v>
      </x:c>
      <x:c r="B865" s="11" t="n">
        <x:v>433</x:v>
      </x:c>
      <x:c r="C865" s="18" t="n">
        <x:v>45636</x:v>
      </x:c>
      <x:c r="D865" s="11" t="str">
        <x:v>2024-12</x:v>
      </x:c>
      <x:c r="E865" s="11" t="str">
        <x:v>West</x:v>
      </x:c>
      <x:c r="F865" s="11" t="str">
        <x:v>Furniture</x:v>
      </x:c>
      <x:c r="G865" s="11" t="str">
        <x:v>Desk</x:v>
      </x:c>
      <x:c r="H865" s="11" t="n">
        <x:v>4</x:v>
      </x:c>
      <x:c r="I865" s="19" t="n">
        <x:v>0</x:v>
      </x:c>
      <x:c r="J865" s="11" t="n">
        <x:v>0</x:v>
      </x:c>
      <x:c r="K865" s="20" t="n">
        <x:v>1120</x:v>
      </x:c>
      <x:c r="L865" s="20" t="n">
        <x:v>0</x:v>
      </x:c>
      <x:c r="M865" s="20" t="n">
        <x:v>760</x:v>
      </x:c>
      <x:c r="N865" s="20" t="n">
        <x:f>IF(J865=1,0,K865-L865)</x:f>
        <x:v>1120</x:v>
      </x:c>
      <x:c r="O865" s="20" t="n">
        <x:f>N865-M865</x:f>
        <x:v>360</x:v>
      </x:c>
    </x:row>
    <x:row r="866" ht="22" customHeight="1">
      <x:c r="A866" s="11" t="n">
        <x:v>862</x:v>
      </x:c>
      <x:c r="B866" s="11" t="n">
        <x:v>433</x:v>
      </x:c>
      <x:c r="C866" s="18" t="n">
        <x:v>45636</x:v>
      </x:c>
      <x:c r="D866" s="11" t="str">
        <x:v>2024-12</x:v>
      </x:c>
      <x:c r="E866" s="11" t="str">
        <x:v>West</x:v>
      </x:c>
      <x:c r="F866" s="11" t="str">
        <x:v>Technology</x:v>
      </x:c>
      <x:c r="G866" s="11" t="str">
        <x:v>Keyboard</x:v>
      </x:c>
      <x:c r="H866" s="11" t="n">
        <x:v>4</x:v>
      </x:c>
      <x:c r="I866" s="19" t="n">
        <x:v>0.15</x:v>
      </x:c>
      <x:c r="J866" s="11" t="n">
        <x:v>0</x:v>
      </x:c>
      <x:c r="K866" s="20" t="n">
        <x:v>260</x:v>
      </x:c>
      <x:c r="L866" s="20" t="n">
        <x:v>39</x:v>
      </x:c>
      <x:c r="M866" s="20" t="n">
        <x:v>128</x:v>
      </x:c>
      <x:c r="N866" s="20" t="n">
        <x:f>IF(J866=1,0,K866-L866)</x:f>
        <x:v>221</x:v>
      </x:c>
      <x:c r="O866" s="20" t="n">
        <x:f>N866-M866</x:f>
        <x:v>93</x:v>
      </x:c>
    </x:row>
    <x:row r="867" ht="22" customHeight="1">
      <x:c r="A867" s="11" t="n">
        <x:v>863</x:v>
      </x:c>
      <x:c r="B867" s="11" t="n">
        <x:v>434</x:v>
      </x:c>
      <x:c r="C867" s="18" t="n">
        <x:v>45696</x:v>
      </x:c>
      <x:c r="D867" s="11" t="str">
        <x:v>2025-02</x:v>
      </x:c>
      <x:c r="E867" s="11" t="str">
        <x:v>South</x:v>
      </x:c>
      <x:c r="F867" s="11" t="str">
        <x:v>Office Supplies</x:v>
      </x:c>
      <x:c r="G867" s="11" t="str">
        <x:v>Notebook pack</x:v>
      </x:c>
      <x:c r="H867" s="11" t="n">
        <x:v>2</x:v>
      </x:c>
      <x:c r="I867" s="19" t="n">
        <x:v>0</x:v>
      </x:c>
      <x:c r="J867" s="11" t="n">
        <x:v>0</x:v>
      </x:c>
      <x:c r="K867" s="20" t="n">
        <x:v>36</x:v>
      </x:c>
      <x:c r="L867" s="20" t="n">
        <x:v>0</x:v>
      </x:c>
      <x:c r="M867" s="20" t="n">
        <x:v>14</x:v>
      </x:c>
      <x:c r="N867" s="20" t="n">
        <x:f>IF(J867=1,0,K867-L867)</x:f>
        <x:v>36</x:v>
      </x:c>
      <x:c r="O867" s="20" t="n">
        <x:f>N867-M867</x:f>
        <x:v>22</x:v>
      </x:c>
    </x:row>
    <x:row r="868" ht="22" customHeight="1">
      <x:c r="A868" s="11" t="n">
        <x:v>864</x:v>
      </x:c>
      <x:c r="B868" s="11" t="n">
        <x:v>434</x:v>
      </x:c>
      <x:c r="C868" s="18" t="n">
        <x:v>45696</x:v>
      </x:c>
      <x:c r="D868" s="11" t="str">
        <x:v>2025-02</x:v>
      </x:c>
      <x:c r="E868" s="11" t="str">
        <x:v>South</x:v>
      </x:c>
      <x:c r="F868" s="11" t="str">
        <x:v>Office Supplies</x:v>
      </x:c>
      <x:c r="G868" s="11" t="str">
        <x:v>Storage box</x:v>
      </x:c>
      <x:c r="H868" s="11" t="n">
        <x:v>4</x:v>
      </x:c>
      <x:c r="I868" s="19" t="n">
        <x:v>0.05</x:v>
      </x:c>
      <x:c r="J868" s="11" t="n">
        <x:v>0</x:v>
      </x:c>
      <x:c r="K868" s="20" t="n">
        <x:v>104</x:v>
      </x:c>
      <x:c r="L868" s="20" t="n">
        <x:v>5.2</x:v>
      </x:c>
      <x:c r="M868" s="20" t="n">
        <x:v>48</x:v>
      </x:c>
      <x:c r="N868" s="20" t="n">
        <x:f>IF(J868=1,0,K868-L868)</x:f>
        <x:v>98.8</x:v>
      </x:c>
      <x:c r="O868" s="20" t="n">
        <x:f>N868-M868</x:f>
        <x:v>50.8</x:v>
      </x:c>
    </x:row>
    <x:row r="869" ht="22" customHeight="1">
      <x:c r="A869" s="11" t="n">
        <x:v>865</x:v>
      </x:c>
      <x:c r="B869" s="11" t="n">
        <x:v>434</x:v>
      </x:c>
      <x:c r="C869" s="18" t="n">
        <x:v>45696</x:v>
      </x:c>
      <x:c r="D869" s="11" t="str">
        <x:v>2025-02</x:v>
      </x:c>
      <x:c r="E869" s="11" t="str">
        <x:v>South</x:v>
      </x:c>
      <x:c r="F869" s="11" t="str">
        <x:v>Furniture</x:v>
      </x:c>
      <x:c r="G869" s="11" t="str">
        <x:v>Chair</x:v>
      </x:c>
      <x:c r="H869" s="11" t="n">
        <x:v>5</x:v>
      </x:c>
      <x:c r="I869" s="19" t="n">
        <x:v>0</x:v>
      </x:c>
      <x:c r="J869" s="11" t="n">
        <x:v>0</x:v>
      </x:c>
      <x:c r="K869" s="20" t="n">
        <x:v>850</x:v>
      </x:c>
      <x:c r="L869" s="20" t="n">
        <x:v>0</x:v>
      </x:c>
      <x:c r="M869" s="20" t="n">
        <x:v>550</x:v>
      </x:c>
      <x:c r="N869" s="20" t="n">
        <x:f>IF(J869=1,0,K869-L869)</x:f>
        <x:v>850</x:v>
      </x:c>
      <x:c r="O869" s="20" t="n">
        <x:f>N869-M869</x:f>
        <x:v>300</x:v>
      </x:c>
    </x:row>
    <x:row r="870" ht="22" customHeight="1">
      <x:c r="A870" s="11" t="n">
        <x:v>866</x:v>
      </x:c>
      <x:c r="B870" s="11" t="n">
        <x:v>435</x:v>
      </x:c>
      <x:c r="C870" s="18" t="n">
        <x:v>45715</x:v>
      </x:c>
      <x:c r="D870" s="11" t="str">
        <x:v>2025-02</x:v>
      </x:c>
      <x:c r="E870" s="11" t="str">
        <x:v>South</x:v>
      </x:c>
      <x:c r="F870" s="11" t="str">
        <x:v>Furniture</x:v>
      </x:c>
      <x:c r="G870" s="11" t="str">
        <x:v>Chair</x:v>
      </x:c>
      <x:c r="H870" s="11" t="n">
        <x:v>3</x:v>
      </x:c>
      <x:c r="I870" s="19" t="n">
        <x:v>0</x:v>
      </x:c>
      <x:c r="J870" s="11" t="n">
        <x:v>0</x:v>
      </x:c>
      <x:c r="K870" s="20" t="n">
        <x:v>510</x:v>
      </x:c>
      <x:c r="L870" s="20" t="n">
        <x:v>0</x:v>
      </x:c>
      <x:c r="M870" s="20" t="n">
        <x:v>330</x:v>
      </x:c>
      <x:c r="N870" s="20" t="n">
        <x:f>IF(J870=1,0,K870-L870)</x:f>
        <x:v>510</x:v>
      </x:c>
      <x:c r="O870" s="20" t="n">
        <x:f>N870-M870</x:f>
        <x:v>180</x:v>
      </x:c>
    </x:row>
    <x:row r="871" ht="22" customHeight="1">
      <x:c r="A871" s="11" t="n">
        <x:v>867</x:v>
      </x:c>
      <x:c r="B871" s="11" t="n">
        <x:v>435</x:v>
      </x:c>
      <x:c r="C871" s="18" t="n">
        <x:v>45715</x:v>
      </x:c>
      <x:c r="D871" s="11" t="str">
        <x:v>2025-02</x:v>
      </x:c>
      <x:c r="E871" s="11" t="str">
        <x:v>South</x:v>
      </x:c>
      <x:c r="F871" s="11" t="str">
        <x:v>Technology</x:v>
      </x:c>
      <x:c r="G871" s="11" t="str">
        <x:v>Monitor</x:v>
      </x:c>
      <x:c r="H871" s="11" t="n">
        <x:v>2</x:v>
      </x:c>
      <x:c r="I871" s="19" t="n">
        <x:v>0.05</x:v>
      </x:c>
      <x:c r="J871" s="11" t="n">
        <x:v>0</x:v>
      </x:c>
      <x:c r="K871" s="20" t="n">
        <x:v>480</x:v>
      </x:c>
      <x:c r="L871" s="20" t="n">
        <x:v>24</x:v>
      </x:c>
      <x:c r="M871" s="20" t="n">
        <x:v>320</x:v>
      </x:c>
      <x:c r="N871" s="20" t="n">
        <x:f>IF(J871=1,0,K871-L871)</x:f>
        <x:v>456</x:v>
      </x:c>
      <x:c r="O871" s="20" t="n">
        <x:f>N871-M871</x:f>
        <x:v>136</x:v>
      </x:c>
    </x:row>
    <x:row r="872" ht="22" customHeight="1">
      <x:c r="A872" s="11" t="n">
        <x:v>868</x:v>
      </x:c>
      <x:c r="B872" s="11" t="n">
        <x:v>436</x:v>
      </x:c>
      <x:c r="C872" s="18" t="n">
        <x:v>45744</x:v>
      </x:c>
      <x:c r="D872" s="11" t="str">
        <x:v>2025-03</x:v>
      </x:c>
      <x:c r="E872" s="11" t="str">
        <x:v>West</x:v>
      </x:c>
      <x:c r="F872" s="11" t="str">
        <x:v>Furniture</x:v>
      </x:c>
      <x:c r="G872" s="11" t="str">
        <x:v>Desk</x:v>
      </x:c>
      <x:c r="H872" s="11" t="n">
        <x:v>2</x:v>
      </x:c>
      <x:c r="I872" s="19" t="n">
        <x:v>0.15</x:v>
      </x:c>
      <x:c r="J872" s="11" t="n">
        <x:v>0</x:v>
      </x:c>
      <x:c r="K872" s="20" t="n">
        <x:v>560</x:v>
      </x:c>
      <x:c r="L872" s="20" t="n">
        <x:v>84</x:v>
      </x:c>
      <x:c r="M872" s="20" t="n">
        <x:v>380</x:v>
      </x:c>
      <x:c r="N872" s="20" t="n">
        <x:f>IF(J872=1,0,K872-L872)</x:f>
        <x:v>476</x:v>
      </x:c>
      <x:c r="O872" s="20" t="n">
        <x:f>N872-M872</x:f>
        <x:v>96</x:v>
      </x:c>
    </x:row>
    <x:row r="873" ht="22" customHeight="1">
      <x:c r="A873" s="11" t="n">
        <x:v>869</x:v>
      </x:c>
      <x:c r="B873" s="11" t="n">
        <x:v>436</x:v>
      </x:c>
      <x:c r="C873" s="18" t="n">
        <x:v>45744</x:v>
      </x:c>
      <x:c r="D873" s="11" t="str">
        <x:v>2025-03</x:v>
      </x:c>
      <x:c r="E873" s="11" t="str">
        <x:v>West</x:v>
      </x:c>
      <x:c r="F873" s="11" t="str">
        <x:v>Furniture</x:v>
      </x:c>
      <x:c r="G873" s="11" t="str">
        <x:v>Chair</x:v>
      </x:c>
      <x:c r="H873" s="11" t="n">
        <x:v>1</x:v>
      </x:c>
      <x:c r="I873" s="19" t="n">
        <x:v>0</x:v>
      </x:c>
      <x:c r="J873" s="11" t="n">
        <x:v>0</x:v>
      </x:c>
      <x:c r="K873" s="20" t="n">
        <x:v>170</x:v>
      </x:c>
      <x:c r="L873" s="20" t="n">
        <x:v>0</x:v>
      </x:c>
      <x:c r="M873" s="20" t="n">
        <x:v>110</x:v>
      </x:c>
      <x:c r="N873" s="20" t="n">
        <x:f>IF(J873=1,0,K873-L873)</x:f>
        <x:v>170</x:v>
      </x:c>
      <x:c r="O873" s="20" t="n">
        <x:f>N873-M873</x:f>
        <x:v>60</x:v>
      </x:c>
    </x:row>
    <x:row r="874" ht="22" customHeight="1">
      <x:c r="A874" s="11" t="n">
        <x:v>870</x:v>
      </x:c>
      <x:c r="B874" s="11" t="n">
        <x:v>437</x:v>
      </x:c>
      <x:c r="C874" s="18" t="n">
        <x:v>45540</x:v>
      </x:c>
      <x:c r="D874" s="11" t="str">
        <x:v>2024-09</x:v>
      </x:c>
      <x:c r="E874" s="11" t="str">
        <x:v>South</x:v>
      </x:c>
      <x:c r="F874" s="11" t="str">
        <x:v>Furniture</x:v>
      </x:c>
      <x:c r="G874" s="11" t="str">
        <x:v>Desk</x:v>
      </x:c>
      <x:c r="H874" s="11" t="n">
        <x:v>1</x:v>
      </x:c>
      <x:c r="I874" s="19" t="n">
        <x:v>0.1</x:v>
      </x:c>
      <x:c r="J874" s="11" t="n">
        <x:v>0</x:v>
      </x:c>
      <x:c r="K874" s="20" t="n">
        <x:v>280</x:v>
      </x:c>
      <x:c r="L874" s="20" t="n">
        <x:v>28</x:v>
      </x:c>
      <x:c r="M874" s="20" t="n">
        <x:v>190</x:v>
      </x:c>
      <x:c r="N874" s="20" t="n">
        <x:f>IF(J874=1,0,K874-L874)</x:f>
        <x:v>252</x:v>
      </x:c>
      <x:c r="O874" s="20" t="n">
        <x:f>N874-M874</x:f>
        <x:v>62</x:v>
      </x:c>
    </x:row>
    <x:row r="875" ht="22" customHeight="1">
      <x:c r="A875" s="11" t="n">
        <x:v>871</x:v>
      </x:c>
      <x:c r="B875" s="11" t="n">
        <x:v>437</x:v>
      </x:c>
      <x:c r="C875" s="18" t="n">
        <x:v>45540</x:v>
      </x:c>
      <x:c r="D875" s="11" t="str">
        <x:v>2024-09</x:v>
      </x:c>
      <x:c r="E875" s="11" t="str">
        <x:v>South</x:v>
      </x:c>
      <x:c r="F875" s="11" t="str">
        <x:v>Technology</x:v>
      </x:c>
      <x:c r="G875" s="11" t="str">
        <x:v>Monitor</x:v>
      </x:c>
      <x:c r="H875" s="11" t="n">
        <x:v>1</x:v>
      </x:c>
      <x:c r="I875" s="19" t="n">
        <x:v>0.05</x:v>
      </x:c>
      <x:c r="J875" s="11" t="n">
        <x:v>0</x:v>
      </x:c>
      <x:c r="K875" s="20" t="n">
        <x:v>240</x:v>
      </x:c>
      <x:c r="L875" s="20" t="n">
        <x:v>12</x:v>
      </x:c>
      <x:c r="M875" s="20" t="n">
        <x:v>160</x:v>
      </x:c>
      <x:c r="N875" s="20" t="n">
        <x:f>IF(J875=1,0,K875-L875)</x:f>
        <x:v>228</x:v>
      </x:c>
      <x:c r="O875" s="20" t="n">
        <x:f>N875-M875</x:f>
        <x:v>68</x:v>
      </x:c>
    </x:row>
    <x:row r="876" ht="22" customHeight="1">
      <x:c r="A876" s="11" t="n">
        <x:v>872</x:v>
      </x:c>
      <x:c r="B876" s="11" t="n">
        <x:v>438</x:v>
      </x:c>
      <x:c r="C876" s="18" t="n">
        <x:v>45842</x:v>
      </x:c>
      <x:c r="D876" s="11" t="str">
        <x:v>2025-07</x:v>
      </x:c>
      <x:c r="E876" s="11" t="str">
        <x:v>Central</x:v>
      </x:c>
      <x:c r="F876" s="11" t="str">
        <x:v>Office Supplies</x:v>
      </x:c>
      <x:c r="G876" s="11" t="str">
        <x:v>Notebook pack</x:v>
      </x:c>
      <x:c r="H876" s="11" t="n">
        <x:v>5</x:v>
      </x:c>
      <x:c r="I876" s="19" t="n">
        <x:v>0</x:v>
      </x:c>
      <x:c r="J876" s="11" t="n">
        <x:v>0</x:v>
      </x:c>
      <x:c r="K876" s="20" t="n">
        <x:v>90</x:v>
      </x:c>
      <x:c r="L876" s="20" t="n">
        <x:v>0</x:v>
      </x:c>
      <x:c r="M876" s="20" t="n">
        <x:v>35</x:v>
      </x:c>
      <x:c r="N876" s="20" t="n">
        <x:f>IF(J876=1,0,K876-L876)</x:f>
        <x:v>90</x:v>
      </x:c>
      <x:c r="O876" s="20" t="n">
        <x:f>N876-M876</x:f>
        <x:v>55</x:v>
      </x:c>
    </x:row>
    <x:row r="877" ht="22" customHeight="1">
      <x:c r="A877" s="11" t="n">
        <x:v>873</x:v>
      </x:c>
      <x:c r="B877" s="11" t="n">
        <x:v>438</x:v>
      </x:c>
      <x:c r="C877" s="18" t="n">
        <x:v>45842</x:v>
      </x:c>
      <x:c r="D877" s="11" t="str">
        <x:v>2025-07</x:v>
      </x:c>
      <x:c r="E877" s="11" t="str">
        <x:v>Central</x:v>
      </x:c>
      <x:c r="F877" s="11" t="str">
        <x:v>Technology</x:v>
      </x:c>
      <x:c r="G877" s="11" t="str">
        <x:v>Monitor</x:v>
      </x:c>
      <x:c r="H877" s="11" t="n">
        <x:v>1</x:v>
      </x:c>
      <x:c r="I877" s="19" t="n">
        <x:v>0.1</x:v>
      </x:c>
      <x:c r="J877" s="11" t="n">
        <x:v>0</x:v>
      </x:c>
      <x:c r="K877" s="20" t="n">
        <x:v>240</x:v>
      </x:c>
      <x:c r="L877" s="20" t="n">
        <x:v>24</x:v>
      </x:c>
      <x:c r="M877" s="20" t="n">
        <x:v>160</x:v>
      </x:c>
      <x:c r="N877" s="20" t="n">
        <x:f>IF(J877=1,0,K877-L877)</x:f>
        <x:v>216</x:v>
      </x:c>
      <x:c r="O877" s="20" t="n">
        <x:f>N877-M877</x:f>
        <x:v>56</x:v>
      </x:c>
    </x:row>
    <x:row r="878" ht="22" customHeight="1">
      <x:c r="A878" s="11" t="n">
        <x:v>874</x:v>
      </x:c>
      <x:c r="B878" s="11" t="n">
        <x:v>438</x:v>
      </x:c>
      <x:c r="C878" s="18" t="n">
        <x:v>45842</x:v>
      </x:c>
      <x:c r="D878" s="11" t="str">
        <x:v>2025-07</x:v>
      </x:c>
      <x:c r="E878" s="11" t="str">
        <x:v>Central</x:v>
      </x:c>
      <x:c r="F878" s="11" t="str">
        <x:v>Technology</x:v>
      </x:c>
      <x:c r="G878" s="11" t="str">
        <x:v>Keyboard</x:v>
      </x:c>
      <x:c r="H878" s="11" t="n">
        <x:v>5</x:v>
      </x:c>
      <x:c r="I878" s="19" t="n">
        <x:v>0</x:v>
      </x:c>
      <x:c r="J878" s="11" t="n">
        <x:v>0</x:v>
      </x:c>
      <x:c r="K878" s="20" t="n">
        <x:v>325</x:v>
      </x:c>
      <x:c r="L878" s="20" t="n">
        <x:v>0</x:v>
      </x:c>
      <x:c r="M878" s="20" t="n">
        <x:v>160</x:v>
      </x:c>
      <x:c r="N878" s="20" t="n">
        <x:f>IF(J878=1,0,K878-L878)</x:f>
        <x:v>325</x:v>
      </x:c>
      <x:c r="O878" s="20" t="n">
        <x:f>N878-M878</x:f>
        <x:v>165</x:v>
      </x:c>
    </x:row>
    <x:row r="879" ht="22" customHeight="1">
      <x:c r="A879" s="11" t="n">
        <x:v>875</x:v>
      </x:c>
      <x:c r="B879" s="11" t="n">
        <x:v>439</x:v>
      </x:c>
      <x:c r="C879" s="18" t="n">
        <x:v>45353</x:v>
      </x:c>
      <x:c r="D879" s="11" t="str">
        <x:v>2024-03</x:v>
      </x:c>
      <x:c r="E879" s="11" t="str">
        <x:v>South</x:v>
      </x:c>
      <x:c r="F879" s="11" t="str">
        <x:v>Office Supplies</x:v>
      </x:c>
      <x:c r="G879" s="11" t="str">
        <x:v>Notebook pack</x:v>
      </x:c>
      <x:c r="H879" s="11" t="n">
        <x:v>4</x:v>
      </x:c>
      <x:c r="I879" s="19" t="n">
        <x:v>0</x:v>
      </x:c>
      <x:c r="J879" s="11" t="n">
        <x:v>0</x:v>
      </x:c>
      <x:c r="K879" s="20" t="n">
        <x:v>72</x:v>
      </x:c>
      <x:c r="L879" s="20" t="n">
        <x:v>0</x:v>
      </x:c>
      <x:c r="M879" s="20" t="n">
        <x:v>28</x:v>
      </x:c>
      <x:c r="N879" s="20" t="n">
        <x:f>IF(J879=1,0,K879-L879)</x:f>
        <x:v>72</x:v>
      </x:c>
      <x:c r="O879" s="20" t="n">
        <x:f>N879-M879</x:f>
        <x:v>44</x:v>
      </x:c>
    </x:row>
    <x:row r="880" ht="22" customHeight="1">
      <x:c r="A880" s="11" t="n">
        <x:v>876</x:v>
      </x:c>
      <x:c r="B880" s="11" t="n">
        <x:v>439</x:v>
      </x:c>
      <x:c r="C880" s="18" t="n">
        <x:v>45353</x:v>
      </x:c>
      <x:c r="D880" s="11" t="str">
        <x:v>2024-03</x:v>
      </x:c>
      <x:c r="E880" s="11" t="str">
        <x:v>South</x:v>
      </x:c>
      <x:c r="F880" s="11" t="str">
        <x:v>Technology</x:v>
      </x:c>
      <x:c r="G880" s="11" t="str">
        <x:v>Monitor</x:v>
      </x:c>
      <x:c r="H880" s="11" t="n">
        <x:v>3</x:v>
      </x:c>
      <x:c r="I880" s="19" t="n">
        <x:v>0.05</x:v>
      </x:c>
      <x:c r="J880" s="11" t="n">
        <x:v>0</x:v>
      </x:c>
      <x:c r="K880" s="20" t="n">
        <x:v>720</x:v>
      </x:c>
      <x:c r="L880" s="20" t="n">
        <x:v>36</x:v>
      </x:c>
      <x:c r="M880" s="20" t="n">
        <x:v>480</x:v>
      </x:c>
      <x:c r="N880" s="20" t="n">
        <x:f>IF(J880=1,0,K880-L880)</x:f>
        <x:v>684</x:v>
      </x:c>
      <x:c r="O880" s="20" t="n">
        <x:f>N880-M880</x:f>
        <x:v>204</x:v>
      </x:c>
    </x:row>
    <x:row r="881" ht="22" customHeight="1">
      <x:c r="A881" s="11" t="n">
        <x:v>877</x:v>
      </x:c>
      <x:c r="B881" s="11" t="n">
        <x:v>439</x:v>
      </x:c>
      <x:c r="C881" s="18" t="n">
        <x:v>45353</x:v>
      </x:c>
      <x:c r="D881" s="11" t="str">
        <x:v>2024-03</x:v>
      </x:c>
      <x:c r="E881" s="11" t="str">
        <x:v>South</x:v>
      </x:c>
      <x:c r="F881" s="11" t="str">
        <x:v>Furniture</x:v>
      </x:c>
      <x:c r="G881" s="11" t="str">
        <x:v>Desk</x:v>
      </x:c>
      <x:c r="H881" s="11" t="n">
        <x:v>1</x:v>
      </x:c>
      <x:c r="I881" s="19" t="n">
        <x:v>0.1</x:v>
      </x:c>
      <x:c r="J881" s="11" t="n">
        <x:v>0</x:v>
      </x:c>
      <x:c r="K881" s="20" t="n">
        <x:v>280</x:v>
      </x:c>
      <x:c r="L881" s="20" t="n">
        <x:v>28</x:v>
      </x:c>
      <x:c r="M881" s="20" t="n">
        <x:v>190</x:v>
      </x:c>
      <x:c r="N881" s="20" t="n">
        <x:f>IF(J881=1,0,K881-L881)</x:f>
        <x:v>252</x:v>
      </x:c>
      <x:c r="O881" s="20" t="n">
        <x:f>N881-M881</x:f>
        <x:v>62</x:v>
      </x:c>
    </x:row>
    <x:row r="882" ht="22" customHeight="1">
      <x:c r="A882" s="11" t="n">
        <x:v>878</x:v>
      </x:c>
      <x:c r="B882" s="11" t="n">
        <x:v>440</x:v>
      </x:c>
      <x:c r="C882" s="18" t="n">
        <x:v>45956</x:v>
      </x:c>
      <x:c r="D882" s="11" t="str">
        <x:v>2025-10</x:v>
      </x:c>
      <x:c r="E882" s="11" t="str">
        <x:v>West</x:v>
      </x:c>
      <x:c r="F882" s="11" t="str">
        <x:v>Office Supplies</x:v>
      </x:c>
      <x:c r="G882" s="11" t="str">
        <x:v>Notebook pack</x:v>
      </x:c>
      <x:c r="H882" s="11" t="n">
        <x:v>3</x:v>
      </x:c>
      <x:c r="I882" s="19" t="n">
        <x:v>0.1</x:v>
      </x:c>
      <x:c r="J882" s="11" t="n">
        <x:v>0</x:v>
      </x:c>
      <x:c r="K882" s="20" t="n">
        <x:v>54</x:v>
      </x:c>
      <x:c r="L882" s="20" t="n">
        <x:v>5.4</x:v>
      </x:c>
      <x:c r="M882" s="20" t="n">
        <x:v>21</x:v>
      </x:c>
      <x:c r="N882" s="20" t="n">
        <x:f>IF(J882=1,0,K882-L882)</x:f>
        <x:v>48.6</x:v>
      </x:c>
      <x:c r="O882" s="20" t="n">
        <x:f>N882-M882</x:f>
        <x:v>27.6</x:v>
      </x:c>
    </x:row>
    <x:row r="883" ht="22" customHeight="1">
      <x:c r="A883" s="11" t="n">
        <x:v>879</x:v>
      </x:c>
      <x:c r="B883" s="11" t="n">
        <x:v>440</x:v>
      </x:c>
      <x:c r="C883" s="18" t="n">
        <x:v>45956</x:v>
      </x:c>
      <x:c r="D883" s="11" t="str">
        <x:v>2025-10</x:v>
      </x:c>
      <x:c r="E883" s="11" t="str">
        <x:v>West</x:v>
      </x:c>
      <x:c r="F883" s="11" t="str">
        <x:v>Furniture</x:v>
      </x:c>
      <x:c r="G883" s="11" t="str">
        <x:v>Desk</x:v>
      </x:c>
      <x:c r="H883" s="11" t="n">
        <x:v>5</x:v>
      </x:c>
      <x:c r="I883" s="19" t="n">
        <x:v>0</x:v>
      </x:c>
      <x:c r="J883" s="11" t="n">
        <x:v>0</x:v>
      </x:c>
      <x:c r="K883" s="20" t="n">
        <x:v>1400</x:v>
      </x:c>
      <x:c r="L883" s="20" t="n">
        <x:v>0</x:v>
      </x:c>
      <x:c r="M883" s="20" t="n">
        <x:v>950</x:v>
      </x:c>
      <x:c r="N883" s="20" t="n">
        <x:f>IF(J883=1,0,K883-L883)</x:f>
        <x:v>1400</x:v>
      </x:c>
      <x:c r="O883" s="20" t="n">
        <x:f>N883-M883</x:f>
        <x:v>450</x:v>
      </x:c>
    </x:row>
    <x:row r="884" ht="22" customHeight="1">
      <x:c r="A884" s="11" t="n">
        <x:v>880</x:v>
      </x:c>
      <x:c r="B884" s="11" t="n">
        <x:v>441</x:v>
      </x:c>
      <x:c r="C884" s="18" t="n">
        <x:v>45804</x:v>
      </x:c>
      <x:c r="D884" s="11" t="str">
        <x:v>2025-05</x:v>
      </x:c>
      <x:c r="E884" s="11" t="str">
        <x:v>East</x:v>
      </x:c>
      <x:c r="F884" s="11" t="str">
        <x:v>Furniture</x:v>
      </x:c>
      <x:c r="G884" s="11" t="str">
        <x:v>Chair</x:v>
      </x:c>
      <x:c r="H884" s="11" t="n">
        <x:v>5</x:v>
      </x:c>
      <x:c r="I884" s="19" t="n">
        <x:v>0.1</x:v>
      </x:c>
      <x:c r="J884" s="11" t="n">
        <x:v>0</x:v>
      </x:c>
      <x:c r="K884" s="20" t="n">
        <x:v>850</x:v>
      </x:c>
      <x:c r="L884" s="20" t="n">
        <x:v>85</x:v>
      </x:c>
      <x:c r="M884" s="20" t="n">
        <x:v>550</x:v>
      </x:c>
      <x:c r="N884" s="20" t="n">
        <x:f>IF(J884=1,0,K884-L884)</x:f>
        <x:v>765</x:v>
      </x:c>
      <x:c r="O884" s="20" t="n">
        <x:f>N884-M884</x:f>
        <x:v>215</x:v>
      </x:c>
    </x:row>
    <x:row r="885" ht="22" customHeight="1">
      <x:c r="A885" s="11" t="n">
        <x:v>881</x:v>
      </x:c>
      <x:c r="B885" s="11" t="n">
        <x:v>442</x:v>
      </x:c>
      <x:c r="C885" s="18" t="n">
        <x:v>45694</x:v>
      </x:c>
      <x:c r="D885" s="11" t="str">
        <x:v>2025-02</x:v>
      </x:c>
      <x:c r="E885" s="11" t="str">
        <x:v>Central</x:v>
      </x:c>
      <x:c r="F885" s="11" t="str">
        <x:v>Technology</x:v>
      </x:c>
      <x:c r="G885" s="11" t="str">
        <x:v>Monitor</x:v>
      </x:c>
      <x:c r="H885" s="11" t="n">
        <x:v>3</x:v>
      </x:c>
      <x:c r="I885" s="19" t="n">
        <x:v>0.05</x:v>
      </x:c>
      <x:c r="J885" s="11" t="n">
        <x:v>0</x:v>
      </x:c>
      <x:c r="K885" s="20" t="n">
        <x:v>720</x:v>
      </x:c>
      <x:c r="L885" s="20" t="n">
        <x:v>36</x:v>
      </x:c>
      <x:c r="M885" s="20" t="n">
        <x:v>480</x:v>
      </x:c>
      <x:c r="N885" s="20" t="n">
        <x:f>IF(J885=1,0,K885-L885)</x:f>
        <x:v>684</x:v>
      </x:c>
      <x:c r="O885" s="20" t="n">
        <x:f>N885-M885</x:f>
        <x:v>204</x:v>
      </x:c>
    </x:row>
    <x:row r="886" ht="22" customHeight="1">
      <x:c r="A886" s="11" t="n">
        <x:v>882</x:v>
      </x:c>
      <x:c r="B886" s="11" t="n">
        <x:v>443</x:v>
      </x:c>
      <x:c r="C886" s="18" t="n">
        <x:v>45533</x:v>
      </x:c>
      <x:c r="D886" s="11" t="str">
        <x:v>2024-08</x:v>
      </x:c>
      <x:c r="E886" s="11" t="str">
        <x:v>South</x:v>
      </x:c>
      <x:c r="F886" s="11" t="str">
        <x:v>Office Supplies</x:v>
      </x:c>
      <x:c r="G886" s="11" t="str">
        <x:v>Storage box</x:v>
      </x:c>
      <x:c r="H886" s="11" t="n">
        <x:v>3</x:v>
      </x:c>
      <x:c r="I886" s="19" t="n">
        <x:v>0.1</x:v>
      </x:c>
      <x:c r="J886" s="11" t="n">
        <x:v>0</x:v>
      </x:c>
      <x:c r="K886" s="20" t="n">
        <x:v>78</x:v>
      </x:c>
      <x:c r="L886" s="20" t="n">
        <x:v>7.8</x:v>
      </x:c>
      <x:c r="M886" s="20" t="n">
        <x:v>36</x:v>
      </x:c>
      <x:c r="N886" s="20" t="n">
        <x:f>IF(J886=1,0,K886-L886)</x:f>
        <x:v>70.2</x:v>
      </x:c>
      <x:c r="O886" s="20" t="n">
        <x:f>N886-M886</x:f>
        <x:v>34.2</x:v>
      </x:c>
    </x:row>
    <x:row r="887" ht="22" customHeight="1">
      <x:c r="A887" s="11" t="n">
        <x:v>883</x:v>
      </x:c>
      <x:c r="B887" s="11" t="n">
        <x:v>444</x:v>
      </x:c>
      <x:c r="C887" s="18" t="n">
        <x:v>45322</x:v>
      </x:c>
      <x:c r="D887" s="11" t="str">
        <x:v>2024-01</x:v>
      </x:c>
      <x:c r="E887" s="11" t="str">
        <x:v>South</x:v>
      </x:c>
      <x:c r="F887" s="11" t="str">
        <x:v>Furniture</x:v>
      </x:c>
      <x:c r="G887" s="11" t="str">
        <x:v>Chair</x:v>
      </x:c>
      <x:c r="H887" s="11" t="n">
        <x:v>3</x:v>
      </x:c>
      <x:c r="I887" s="19" t="n">
        <x:v>0.25</x:v>
      </x:c>
      <x:c r="J887" s="11" t="n">
        <x:v>0</x:v>
      </x:c>
      <x:c r="K887" s="20" t="n">
        <x:v>510</x:v>
      </x:c>
      <x:c r="L887" s="20" t="n">
        <x:v>127.5</x:v>
      </x:c>
      <x:c r="M887" s="20" t="n">
        <x:v>330</x:v>
      </x:c>
      <x:c r="N887" s="20" t="n">
        <x:f>IF(J887=1,0,K887-L887)</x:f>
        <x:v>382.5</x:v>
      </x:c>
      <x:c r="O887" s="20" t="n">
        <x:f>N887-M887</x:f>
        <x:v>52.5</x:v>
      </x:c>
    </x:row>
    <x:row r="888" ht="22" customHeight="1">
      <x:c r="A888" s="11" t="n">
        <x:v>884</x:v>
      </x:c>
      <x:c r="B888" s="11" t="n">
        <x:v>445</x:v>
      </x:c>
      <x:c r="C888" s="18" t="n">
        <x:v>45381</x:v>
      </x:c>
      <x:c r="D888" s="11" t="str">
        <x:v>2024-03</x:v>
      </x:c>
      <x:c r="E888" s="11" t="str">
        <x:v>Central</x:v>
      </x:c>
      <x:c r="F888" s="11" t="str">
        <x:v>Office Supplies</x:v>
      </x:c>
      <x:c r="G888" s="11" t="str">
        <x:v>Storage box</x:v>
      </x:c>
      <x:c r="H888" s="11" t="n">
        <x:v>4</x:v>
      </x:c>
      <x:c r="I888" s="19" t="n">
        <x:v>0</x:v>
      </x:c>
      <x:c r="J888" s="11" t="n">
        <x:v>0</x:v>
      </x:c>
      <x:c r="K888" s="20" t="n">
        <x:v>104</x:v>
      </x:c>
      <x:c r="L888" s="20" t="n">
        <x:v>0</x:v>
      </x:c>
      <x:c r="M888" s="20" t="n">
        <x:v>48</x:v>
      </x:c>
      <x:c r="N888" s="20" t="n">
        <x:f>IF(J888=1,0,K888-L888)</x:f>
        <x:v>104</x:v>
      </x:c>
      <x:c r="O888" s="20" t="n">
        <x:f>N888-M888</x:f>
        <x:v>56</x:v>
      </x:c>
    </x:row>
    <x:row r="889" ht="22" customHeight="1">
      <x:c r="A889" s="11" t="n">
        <x:v>885</x:v>
      </x:c>
      <x:c r="B889" s="11" t="n">
        <x:v>445</x:v>
      </x:c>
      <x:c r="C889" s="18" t="n">
        <x:v>45381</x:v>
      </x:c>
      <x:c r="D889" s="11" t="str">
        <x:v>2024-03</x:v>
      </x:c>
      <x:c r="E889" s="11" t="str">
        <x:v>Central</x:v>
      </x:c>
      <x:c r="F889" s="11" t="str">
        <x:v>Office Supplies</x:v>
      </x:c>
      <x:c r="G889" s="11" t="str">
        <x:v>Notebook pack</x:v>
      </x:c>
      <x:c r="H889" s="11" t="n">
        <x:v>4</x:v>
      </x:c>
      <x:c r="I889" s="19" t="n">
        <x:v>0.05</x:v>
      </x:c>
      <x:c r="J889" s="11" t="n">
        <x:v>0</x:v>
      </x:c>
      <x:c r="K889" s="20" t="n">
        <x:v>72</x:v>
      </x:c>
      <x:c r="L889" s="20" t="n">
        <x:v>3.6</x:v>
      </x:c>
      <x:c r="M889" s="20" t="n">
        <x:v>28</x:v>
      </x:c>
      <x:c r="N889" s="20" t="n">
        <x:f>IF(J889=1,0,K889-L889)</x:f>
        <x:v>68.4</x:v>
      </x:c>
      <x:c r="O889" s="20" t="n">
        <x:f>N889-M889</x:f>
        <x:v>40.400000000000006</x:v>
      </x:c>
    </x:row>
    <x:row r="890" ht="22" customHeight="1">
      <x:c r="A890" s="11" t="n">
        <x:v>886</x:v>
      </x:c>
      <x:c r="B890" s="11" t="n">
        <x:v>445</x:v>
      </x:c>
      <x:c r="C890" s="18" t="n">
        <x:v>45381</x:v>
      </x:c>
      <x:c r="D890" s="11" t="str">
        <x:v>2024-03</x:v>
      </x:c>
      <x:c r="E890" s="11" t="str">
        <x:v>Central</x:v>
      </x:c>
      <x:c r="F890" s="11" t="str">
        <x:v>Furniture</x:v>
      </x:c>
      <x:c r="G890" s="11" t="str">
        <x:v>Chair</x:v>
      </x:c>
      <x:c r="H890" s="11" t="n">
        <x:v>3</x:v>
      </x:c>
      <x:c r="I890" s="19" t="n">
        <x:v>0.35</x:v>
      </x:c>
      <x:c r="J890" s="11" t="n">
        <x:v>0</x:v>
      </x:c>
      <x:c r="K890" s="20" t="n">
        <x:v>510</x:v>
      </x:c>
      <x:c r="L890" s="20" t="n">
        <x:v>178.5</x:v>
      </x:c>
      <x:c r="M890" s="20" t="n">
        <x:v>330</x:v>
      </x:c>
      <x:c r="N890" s="20" t="n">
        <x:f>IF(J890=1,0,K890-L890)</x:f>
        <x:v>331.5</x:v>
      </x:c>
      <x:c r="O890" s="20" t="n">
        <x:f>N890-M890</x:f>
        <x:v>1.5</x:v>
      </x:c>
    </x:row>
    <x:row r="891" ht="22" customHeight="1">
      <x:c r="A891" s="11" t="n">
        <x:v>887</x:v>
      </x:c>
      <x:c r="B891" s="11" t="n">
        <x:v>446</x:v>
      </x:c>
      <x:c r="C891" s="18" t="n">
        <x:v>45503</x:v>
      </x:c>
      <x:c r="D891" s="11" t="str">
        <x:v>2024-07</x:v>
      </x:c>
      <x:c r="E891" s="11" t="str">
        <x:v>West</x:v>
      </x:c>
      <x:c r="F891" s="11" t="str">
        <x:v>Office Supplies</x:v>
      </x:c>
      <x:c r="G891" s="11" t="str">
        <x:v>Notebook pack</x:v>
      </x:c>
      <x:c r="H891" s="11" t="n">
        <x:v>3</x:v>
      </x:c>
      <x:c r="I891" s="19" t="n">
        <x:v>0.15</x:v>
      </x:c>
      <x:c r="J891" s="11" t="n">
        <x:v>0</x:v>
      </x:c>
      <x:c r="K891" s="20" t="n">
        <x:v>54</x:v>
      </x:c>
      <x:c r="L891" s="20" t="n">
        <x:v>8.1</x:v>
      </x:c>
      <x:c r="M891" s="20" t="n">
        <x:v>21</x:v>
      </x:c>
      <x:c r="N891" s="20" t="n">
        <x:f>IF(J891=1,0,K891-L891)</x:f>
        <x:v>45.9</x:v>
      </x:c>
      <x:c r="O891" s="20" t="n">
        <x:f>N891-M891</x:f>
        <x:v>24.9</x:v>
      </x:c>
    </x:row>
    <x:row r="892" ht="22" customHeight="1">
      <x:c r="A892" s="11" t="n">
        <x:v>888</x:v>
      </x:c>
      <x:c r="B892" s="11" t="n">
        <x:v>446</x:v>
      </x:c>
      <x:c r="C892" s="18" t="n">
        <x:v>45503</x:v>
      </x:c>
      <x:c r="D892" s="11" t="str">
        <x:v>2024-07</x:v>
      </x:c>
      <x:c r="E892" s="11" t="str">
        <x:v>West</x:v>
      </x:c>
      <x:c r="F892" s="11" t="str">
        <x:v>Furniture</x:v>
      </x:c>
      <x:c r="G892" s="11" t="str">
        <x:v>Chair</x:v>
      </x:c>
      <x:c r="H892" s="11" t="n">
        <x:v>4</x:v>
      </x:c>
      <x:c r="I892" s="19" t="n">
        <x:v>0</x:v>
      </x:c>
      <x:c r="J892" s="11" t="n">
        <x:v>0</x:v>
      </x:c>
      <x:c r="K892" s="20" t="n">
        <x:v>680</x:v>
      </x:c>
      <x:c r="L892" s="20" t="n">
        <x:v>0</x:v>
      </x:c>
      <x:c r="M892" s="20" t="n">
        <x:v>440</x:v>
      </x:c>
      <x:c r="N892" s="20" t="n">
        <x:f>IF(J892=1,0,K892-L892)</x:f>
        <x:v>680</x:v>
      </x:c>
      <x:c r="O892" s="20" t="n">
        <x:f>N892-M892</x:f>
        <x:v>240</x:v>
      </x:c>
    </x:row>
    <x:row r="893" ht="22" customHeight="1">
      <x:c r="A893" s="11" t="n">
        <x:v>889</x:v>
      </x:c>
      <x:c r="B893" s="11" t="n">
        <x:v>446</x:v>
      </x:c>
      <x:c r="C893" s="18" t="n">
        <x:v>45503</x:v>
      </x:c>
      <x:c r="D893" s="11" t="str">
        <x:v>2024-07</x:v>
      </x:c>
      <x:c r="E893" s="11" t="str">
        <x:v>West</x:v>
      </x:c>
      <x:c r="F893" s="11" t="str">
        <x:v>Office Supplies</x:v>
      </x:c>
      <x:c r="G893" s="11" t="str">
        <x:v>Storage box</x:v>
      </x:c>
      <x:c r="H893" s="11" t="n">
        <x:v>5</x:v>
      </x:c>
      <x:c r="I893" s="19" t="n">
        <x:v>0</x:v>
      </x:c>
      <x:c r="J893" s="11" t="n">
        <x:v>0</x:v>
      </x:c>
      <x:c r="K893" s="20" t="n">
        <x:v>130</x:v>
      </x:c>
      <x:c r="L893" s="20" t="n">
        <x:v>0</x:v>
      </x:c>
      <x:c r="M893" s="20" t="n">
        <x:v>60</x:v>
      </x:c>
      <x:c r="N893" s="20" t="n">
        <x:f>IF(J893=1,0,K893-L893)</x:f>
        <x:v>130</x:v>
      </x:c>
      <x:c r="O893" s="20" t="n">
        <x:f>N893-M893</x:f>
        <x:v>70</x:v>
      </x:c>
    </x:row>
    <x:row r="894" ht="22" customHeight="1">
      <x:c r="A894" s="11" t="n">
        <x:v>890</x:v>
      </x:c>
      <x:c r="B894" s="11" t="n">
        <x:v>447</x:v>
      </x:c>
      <x:c r="C894" s="18" t="n">
        <x:v>45862</x:v>
      </x:c>
      <x:c r="D894" s="11" t="str">
        <x:v>2025-07</x:v>
      </x:c>
      <x:c r="E894" s="11" t="str">
        <x:v>East</x:v>
      </x:c>
      <x:c r="F894" s="11" t="str">
        <x:v>Technology</x:v>
      </x:c>
      <x:c r="G894" s="11" t="str">
        <x:v>Monitor</x:v>
      </x:c>
      <x:c r="H894" s="11" t="n">
        <x:v>2</x:v>
      </x:c>
      <x:c r="I894" s="19" t="n">
        <x:v>0</x:v>
      </x:c>
      <x:c r="J894" s="11" t="n">
        <x:v>0</x:v>
      </x:c>
      <x:c r="K894" s="20" t="n">
        <x:v>480</x:v>
      </x:c>
      <x:c r="L894" s="20" t="n">
        <x:v>0</x:v>
      </x:c>
      <x:c r="M894" s="20" t="n">
        <x:v>320</x:v>
      </x:c>
      <x:c r="N894" s="20" t="n">
        <x:f>IF(J894=1,0,K894-L894)</x:f>
        <x:v>480</x:v>
      </x:c>
      <x:c r="O894" s="20" t="n">
        <x:f>N894-M894</x:f>
        <x:v>160</x:v>
      </x:c>
    </x:row>
    <x:row r="895" ht="22" customHeight="1">
      <x:c r="A895" s="11" t="n">
        <x:v>891</x:v>
      </x:c>
      <x:c r="B895" s="11" t="n">
        <x:v>448</x:v>
      </x:c>
      <x:c r="C895" s="18" t="n">
        <x:v>45715</x:v>
      </x:c>
      <x:c r="D895" s="11" t="str">
        <x:v>2025-02</x:v>
      </x:c>
      <x:c r="E895" s="11" t="str">
        <x:v>East</x:v>
      </x:c>
      <x:c r="F895" s="11" t="str">
        <x:v>Office Supplies</x:v>
      </x:c>
      <x:c r="G895" s="11" t="str">
        <x:v>Storage box</x:v>
      </x:c>
      <x:c r="H895" s="11" t="n">
        <x:v>2</x:v>
      </x:c>
      <x:c r="I895" s="19" t="n">
        <x:v>0</x:v>
      </x:c>
      <x:c r="J895" s="11" t="n">
        <x:v>0</x:v>
      </x:c>
      <x:c r="K895" s="20" t="n">
        <x:v>52</x:v>
      </x:c>
      <x:c r="L895" s="20" t="n">
        <x:v>0</x:v>
      </x:c>
      <x:c r="M895" s="20" t="n">
        <x:v>24</x:v>
      </x:c>
      <x:c r="N895" s="20" t="n">
        <x:f>IF(J895=1,0,K895-L895)</x:f>
        <x:v>52</x:v>
      </x:c>
      <x:c r="O895" s="20" t="n">
        <x:f>N895-M895</x:f>
        <x:v>28</x:v>
      </x:c>
    </x:row>
    <x:row r="896" ht="22" customHeight="1">
      <x:c r="A896" s="11" t="n">
        <x:v>892</x:v>
      </x:c>
      <x:c r="B896" s="11" t="n">
        <x:v>448</x:v>
      </x:c>
      <x:c r="C896" s="18" t="n">
        <x:v>45715</x:v>
      </x:c>
      <x:c r="D896" s="11" t="str">
        <x:v>2025-02</x:v>
      </x:c>
      <x:c r="E896" s="11" t="str">
        <x:v>East</x:v>
      </x:c>
      <x:c r="F896" s="11" t="str">
        <x:v>Technology</x:v>
      </x:c>
      <x:c r="G896" s="11" t="str">
        <x:v>Monitor</x:v>
      </x:c>
      <x:c r="H896" s="11" t="n">
        <x:v>2</x:v>
      </x:c>
      <x:c r="I896" s="19" t="n">
        <x:v>0</x:v>
      </x:c>
      <x:c r="J896" s="11" t="n">
        <x:v>0</x:v>
      </x:c>
      <x:c r="K896" s="20" t="n">
        <x:v>480</x:v>
      </x:c>
      <x:c r="L896" s="20" t="n">
        <x:v>0</x:v>
      </x:c>
      <x:c r="M896" s="20" t="n">
        <x:v>320</x:v>
      </x:c>
      <x:c r="N896" s="20" t="n">
        <x:f>IF(J896=1,0,K896-L896)</x:f>
        <x:v>480</x:v>
      </x:c>
      <x:c r="O896" s="20" t="n">
        <x:f>N896-M896</x:f>
        <x:v>160</x:v>
      </x:c>
    </x:row>
    <x:row r="897" ht="22" customHeight="1">
      <x:c r="A897" s="11" t="n">
        <x:v>893</x:v>
      </x:c>
      <x:c r="B897" s="11" t="n">
        <x:v>449</x:v>
      </x:c>
      <x:c r="C897" s="18" t="n">
        <x:v>45918</x:v>
      </x:c>
      <x:c r="D897" s="11" t="str">
        <x:v>2025-09</x:v>
      </x:c>
      <x:c r="E897" s="11" t="str">
        <x:v>East</x:v>
      </x:c>
      <x:c r="F897" s="11" t="str">
        <x:v>Office Supplies</x:v>
      </x:c>
      <x:c r="G897" s="11" t="str">
        <x:v>Notebook pack</x:v>
      </x:c>
      <x:c r="H897" s="11" t="n">
        <x:v>5</x:v>
      </x:c>
      <x:c r="I897" s="19" t="n">
        <x:v>0</x:v>
      </x:c>
      <x:c r="J897" s="11" t="n">
        <x:v>0</x:v>
      </x:c>
      <x:c r="K897" s="20" t="n">
        <x:v>90</x:v>
      </x:c>
      <x:c r="L897" s="20" t="n">
        <x:v>0</x:v>
      </x:c>
      <x:c r="M897" s="20" t="n">
        <x:v>35</x:v>
      </x:c>
      <x:c r="N897" s="20" t="n">
        <x:f>IF(J897=1,0,K897-L897)</x:f>
        <x:v>90</x:v>
      </x:c>
      <x:c r="O897" s="20" t="n">
        <x:f>N897-M897</x:f>
        <x:v>55</x:v>
      </x:c>
    </x:row>
    <x:row r="898" ht="22" customHeight="1">
      <x:c r="A898" s="11" t="n">
        <x:v>894</x:v>
      </x:c>
      <x:c r="B898" s="11" t="n">
        <x:v>449</x:v>
      </x:c>
      <x:c r="C898" s="18" t="n">
        <x:v>45918</x:v>
      </x:c>
      <x:c r="D898" s="11" t="str">
        <x:v>2025-09</x:v>
      </x:c>
      <x:c r="E898" s="11" t="str">
        <x:v>East</x:v>
      </x:c>
      <x:c r="F898" s="11" t="str">
        <x:v>Office Supplies</x:v>
      </x:c>
      <x:c r="G898" s="11" t="str">
        <x:v>Storage box</x:v>
      </x:c>
      <x:c r="H898" s="11" t="n">
        <x:v>1</x:v>
      </x:c>
      <x:c r="I898" s="19" t="n">
        <x:v>0.05</x:v>
      </x:c>
      <x:c r="J898" s="11" t="n">
        <x:v>0</x:v>
      </x:c>
      <x:c r="K898" s="20" t="n">
        <x:v>26</x:v>
      </x:c>
      <x:c r="L898" s="20" t="n">
        <x:v>1.3</x:v>
      </x:c>
      <x:c r="M898" s="20" t="n">
        <x:v>12</x:v>
      </x:c>
      <x:c r="N898" s="20" t="n">
        <x:f>IF(J898=1,0,K898-L898)</x:f>
        <x:v>24.7</x:v>
      </x:c>
      <x:c r="O898" s="20" t="n">
        <x:f>N898-M898</x:f>
        <x:v>12.7</x:v>
      </x:c>
    </x:row>
    <x:row r="899" ht="22" customHeight="1">
      <x:c r="A899" s="11" t="n">
        <x:v>895</x:v>
      </x:c>
      <x:c r="B899" s="11" t="n">
        <x:v>449</x:v>
      </x:c>
      <x:c r="C899" s="18" t="n">
        <x:v>45918</x:v>
      </x:c>
      <x:c r="D899" s="11" t="str">
        <x:v>2025-09</x:v>
      </x:c>
      <x:c r="E899" s="11" t="str">
        <x:v>East</x:v>
      </x:c>
      <x:c r="F899" s="11" t="str">
        <x:v>Furniture</x:v>
      </x:c>
      <x:c r="G899" s="11" t="str">
        <x:v>Chair</x:v>
      </x:c>
      <x:c r="H899" s="11" t="n">
        <x:v>4</x:v>
      </x:c>
      <x:c r="I899" s="19" t="n">
        <x:v>0</x:v>
      </x:c>
      <x:c r="J899" s="11" t="n">
        <x:v>0</x:v>
      </x:c>
      <x:c r="K899" s="20" t="n">
        <x:v>680</x:v>
      </x:c>
      <x:c r="L899" s="20" t="n">
        <x:v>0</x:v>
      </x:c>
      <x:c r="M899" s="20" t="n">
        <x:v>440</x:v>
      </x:c>
      <x:c r="N899" s="20" t="n">
        <x:f>IF(J899=1,0,K899-L899)</x:f>
        <x:v>680</x:v>
      </x:c>
      <x:c r="O899" s="20" t="n">
        <x:f>N899-M899</x:f>
        <x:v>240</x:v>
      </x:c>
    </x:row>
    <x:row r="900" ht="22" customHeight="1">
      <x:c r="A900" s="11" t="n">
        <x:v>896</x:v>
      </x:c>
      <x:c r="B900" s="11" t="n">
        <x:v>450</x:v>
      </x:c>
      <x:c r="C900" s="18" t="n">
        <x:v>45911</x:v>
      </x:c>
      <x:c r="D900" s="11" t="str">
        <x:v>2025-09</x:v>
      </x:c>
      <x:c r="E900" s="11" t="str">
        <x:v>East</x:v>
      </x:c>
      <x:c r="F900" s="11" t="str">
        <x:v>Technology</x:v>
      </x:c>
      <x:c r="G900" s="11" t="str">
        <x:v>Keyboard</x:v>
      </x:c>
      <x:c r="H900" s="11" t="n">
        <x:v>4</x:v>
      </x:c>
      <x:c r="I900" s="19" t="n">
        <x:v>0.1</x:v>
      </x:c>
      <x:c r="J900" s="11" t="n">
        <x:v>0</x:v>
      </x:c>
      <x:c r="K900" s="20" t="n">
        <x:v>260</x:v>
      </x:c>
      <x:c r="L900" s="20" t="n">
        <x:v>26</x:v>
      </x:c>
      <x:c r="M900" s="20" t="n">
        <x:v>128</x:v>
      </x:c>
      <x:c r="N900" s="20" t="n">
        <x:f>IF(J900=1,0,K900-L900)</x:f>
        <x:v>234</x:v>
      </x:c>
      <x:c r="O900" s="20" t="n">
        <x:f>N900-M900</x:f>
        <x:v>106</x:v>
      </x:c>
    </x:row>
    <x:row r="901" ht="22" customHeight="1">
      <x:c r="A901" s="11" t="n">
        <x:v>897</x:v>
      </x:c>
      <x:c r="B901" s="11" t="n">
        <x:v>451</x:v>
      </x:c>
      <x:c r="C901" s="18" t="n">
        <x:v>45489</x:v>
      </x:c>
      <x:c r="D901" s="11" t="str">
        <x:v>2024-07</x:v>
      </x:c>
      <x:c r="E901" s="11" t="str">
        <x:v>West</x:v>
      </x:c>
      <x:c r="F901" s="11" t="str">
        <x:v>Furniture</x:v>
      </x:c>
      <x:c r="G901" s="11" t="str">
        <x:v>Desk</x:v>
      </x:c>
      <x:c r="H901" s="11" t="n">
        <x:v>4</x:v>
      </x:c>
      <x:c r="I901" s="19" t="n">
        <x:v>0.05</x:v>
      </x:c>
      <x:c r="J901" s="11" t="n">
        <x:v>0</x:v>
      </x:c>
      <x:c r="K901" s="20" t="n">
        <x:v>1120</x:v>
      </x:c>
      <x:c r="L901" s="20" t="n">
        <x:v>56</x:v>
      </x:c>
      <x:c r="M901" s="20" t="n">
        <x:v>760</x:v>
      </x:c>
      <x:c r="N901" s="20" t="n">
        <x:f>IF(J901=1,0,K901-L901)</x:f>
        <x:v>1064</x:v>
      </x:c>
      <x:c r="O901" s="20" t="n">
        <x:f>N901-M901</x:f>
        <x:v>304</x:v>
      </x:c>
    </x:row>
    <x:row r="902" ht="22" customHeight="1">
      <x:c r="A902" s="11" t="n">
        <x:v>898</x:v>
      </x:c>
      <x:c r="B902" s="11" t="n">
        <x:v>451</x:v>
      </x:c>
      <x:c r="C902" s="18" t="n">
        <x:v>45489</x:v>
      </x:c>
      <x:c r="D902" s="11" t="str">
        <x:v>2024-07</x:v>
      </x:c>
      <x:c r="E902" s="11" t="str">
        <x:v>West</x:v>
      </x:c>
      <x:c r="F902" s="11" t="str">
        <x:v>Technology</x:v>
      </x:c>
      <x:c r="G902" s="11" t="str">
        <x:v>Monitor</x:v>
      </x:c>
      <x:c r="H902" s="11" t="n">
        <x:v>2</x:v>
      </x:c>
      <x:c r="I902" s="19" t="n">
        <x:v>0</x:v>
      </x:c>
      <x:c r="J902" s="11" t="n">
        <x:v>0</x:v>
      </x:c>
      <x:c r="K902" s="20" t="n">
        <x:v>480</x:v>
      </x:c>
      <x:c r="L902" s="20" t="n">
        <x:v>0</x:v>
      </x:c>
      <x:c r="M902" s="20" t="n">
        <x:v>320</x:v>
      </x:c>
      <x:c r="N902" s="20" t="n">
        <x:f>IF(J902=1,0,K902-L902)</x:f>
        <x:v>480</x:v>
      </x:c>
      <x:c r="O902" s="20" t="n">
        <x:f>N902-M902</x:f>
        <x:v>160</x:v>
      </x:c>
    </x:row>
    <x:row r="903" ht="22" customHeight="1">
      <x:c r="A903" s="11" t="n">
        <x:v>899</x:v>
      </x:c>
      <x:c r="B903" s="11" t="n">
        <x:v>452</x:v>
      </x:c>
      <x:c r="C903" s="18" t="n">
        <x:v>45741</x:v>
      </x:c>
      <x:c r="D903" s="11" t="str">
        <x:v>2025-03</x:v>
      </x:c>
      <x:c r="E903" s="11" t="str">
        <x:v>East</x:v>
      </x:c>
      <x:c r="F903" s="11" t="str">
        <x:v>Technology</x:v>
      </x:c>
      <x:c r="G903" s="11" t="str">
        <x:v>Monitor</x:v>
      </x:c>
      <x:c r="H903" s="11" t="n">
        <x:v>4</x:v>
      </x:c>
      <x:c r="I903" s="19" t="n">
        <x:v>0.1</x:v>
      </x:c>
      <x:c r="J903" s="11" t="n">
        <x:v>0</x:v>
      </x:c>
      <x:c r="K903" s="20" t="n">
        <x:v>960</x:v>
      </x:c>
      <x:c r="L903" s="20" t="n">
        <x:v>96</x:v>
      </x:c>
      <x:c r="M903" s="20" t="n">
        <x:v>640</x:v>
      </x:c>
      <x:c r="N903" s="20" t="n">
        <x:f>IF(J903=1,0,K903-L903)</x:f>
        <x:v>864</x:v>
      </x:c>
      <x:c r="O903" s="20" t="n">
        <x:f>N903-M903</x:f>
        <x:v>224</x:v>
      </x:c>
    </x:row>
    <x:row r="904" ht="22" customHeight="1">
      <x:c r="A904" s="11" t="n">
        <x:v>900</x:v>
      </x:c>
      <x:c r="B904" s="11" t="n">
        <x:v>452</x:v>
      </x:c>
      <x:c r="C904" s="18" t="n">
        <x:v>45741</x:v>
      </x:c>
      <x:c r="D904" s="11" t="str">
        <x:v>2025-03</x:v>
      </x:c>
      <x:c r="E904" s="11" t="str">
        <x:v>East</x:v>
      </x:c>
      <x:c r="F904" s="11" t="str">
        <x:v>Technology</x:v>
      </x:c>
      <x:c r="G904" s="11" t="str">
        <x:v>Keyboard</x:v>
      </x:c>
      <x:c r="H904" s="11" t="n">
        <x:v>5</x:v>
      </x:c>
      <x:c r="I904" s="19" t="n">
        <x:v>0.1</x:v>
      </x:c>
      <x:c r="J904" s="11" t="n">
        <x:v>0</x:v>
      </x:c>
      <x:c r="K904" s="20" t="n">
        <x:v>325</x:v>
      </x:c>
      <x:c r="L904" s="20" t="n">
        <x:v>32.5</x:v>
      </x:c>
      <x:c r="M904" s="20" t="n">
        <x:v>160</x:v>
      </x:c>
      <x:c r="N904" s="20" t="n">
        <x:f>IF(J904=1,0,K904-L904)</x:f>
        <x:v>292.5</x:v>
      </x:c>
      <x:c r="O904" s="20" t="n">
        <x:f>N904-M904</x:f>
        <x:v>132.5</x:v>
      </x:c>
    </x:row>
    <x:row r="905" ht="22" customHeight="1">
      <x:c r="A905" s="11" t="n">
        <x:v>901</x:v>
      </x:c>
      <x:c r="B905" s="11" t="n">
        <x:v>452</x:v>
      </x:c>
      <x:c r="C905" s="18" t="n">
        <x:v>45741</x:v>
      </x:c>
      <x:c r="D905" s="11" t="str">
        <x:v>2025-03</x:v>
      </x:c>
      <x:c r="E905" s="11" t="str">
        <x:v>East</x:v>
      </x:c>
      <x:c r="F905" s="11" t="str">
        <x:v>Furniture</x:v>
      </x:c>
      <x:c r="G905" s="11" t="str">
        <x:v>Chair</x:v>
      </x:c>
      <x:c r="H905" s="11" t="n">
        <x:v>4</x:v>
      </x:c>
      <x:c r="I905" s="19" t="n">
        <x:v>0</x:v>
      </x:c>
      <x:c r="J905" s="11" t="n">
        <x:v>0</x:v>
      </x:c>
      <x:c r="K905" s="20" t="n">
        <x:v>680</x:v>
      </x:c>
      <x:c r="L905" s="20" t="n">
        <x:v>0</x:v>
      </x:c>
      <x:c r="M905" s="20" t="n">
        <x:v>440</x:v>
      </x:c>
      <x:c r="N905" s="20" t="n">
        <x:f>IF(J905=1,0,K905-L905)</x:f>
        <x:v>680</x:v>
      </x:c>
      <x:c r="O905" s="20" t="n">
        <x:f>N905-M905</x:f>
        <x:v>240</x:v>
      </x:c>
    </x:row>
    <x:row r="906" ht="22" customHeight="1">
      <x:c r="A906" s="11" t="n">
        <x:v>902</x:v>
      </x:c>
      <x:c r="B906" s="11" t="n">
        <x:v>453</x:v>
      </x:c>
      <x:c r="C906" s="18" t="n">
        <x:v>45754</x:v>
      </x:c>
      <x:c r="D906" s="11" t="str">
        <x:v>2025-04</x:v>
      </x:c>
      <x:c r="E906" s="11" t="str">
        <x:v>East</x:v>
      </x:c>
      <x:c r="F906" s="11" t="str">
        <x:v>Office Supplies</x:v>
      </x:c>
      <x:c r="G906" s="11" t="str">
        <x:v>Notebook pack</x:v>
      </x:c>
      <x:c r="H906" s="11" t="n">
        <x:v>5</x:v>
      </x:c>
      <x:c r="I906" s="19" t="n">
        <x:v>0.1</x:v>
      </x:c>
      <x:c r="J906" s="11" t="n">
        <x:v>0</x:v>
      </x:c>
      <x:c r="K906" s="20" t="n">
        <x:v>90</x:v>
      </x:c>
      <x:c r="L906" s="20" t="n">
        <x:v>9</x:v>
      </x:c>
      <x:c r="M906" s="20" t="n">
        <x:v>35</x:v>
      </x:c>
      <x:c r="N906" s="20" t="n">
        <x:f>IF(J906=1,0,K906-L906)</x:f>
        <x:v>81</x:v>
      </x:c>
      <x:c r="O906" s="20" t="n">
        <x:f>N906-M906</x:f>
        <x:v>46</x:v>
      </x:c>
    </x:row>
    <x:row r="907" ht="22" customHeight="1">
      <x:c r="A907" s="11" t="n">
        <x:v>903</x:v>
      </x:c>
      <x:c r="B907" s="11" t="n">
        <x:v>454</x:v>
      </x:c>
      <x:c r="C907" s="18" t="n">
        <x:v>45332</x:v>
      </x:c>
      <x:c r="D907" s="11" t="str">
        <x:v>2024-02</x:v>
      </x:c>
      <x:c r="E907" s="11" t="str">
        <x:v>South</x:v>
      </x:c>
      <x:c r="F907" s="11" t="str">
        <x:v>Office Supplies</x:v>
      </x:c>
      <x:c r="G907" s="11" t="str">
        <x:v>Storage box</x:v>
      </x:c>
      <x:c r="H907" s="11" t="n">
        <x:v>3</x:v>
      </x:c>
      <x:c r="I907" s="19" t="n">
        <x:v>0.1</x:v>
      </x:c>
      <x:c r="J907" s="11" t="n">
        <x:v>0</x:v>
      </x:c>
      <x:c r="K907" s="20" t="n">
        <x:v>78</x:v>
      </x:c>
      <x:c r="L907" s="20" t="n">
        <x:v>7.8</x:v>
      </x:c>
      <x:c r="M907" s="20" t="n">
        <x:v>36</x:v>
      </x:c>
      <x:c r="N907" s="20" t="n">
        <x:f>IF(J907=1,0,K907-L907)</x:f>
        <x:v>70.2</x:v>
      </x:c>
      <x:c r="O907" s="20" t="n">
        <x:f>N907-M907</x:f>
        <x:v>34.2</x:v>
      </x:c>
    </x:row>
    <x:row r="908" ht="22" customHeight="1">
      <x:c r="A908" s="11" t="n">
        <x:v>904</x:v>
      </x:c>
      <x:c r="B908" s="11" t="n">
        <x:v>454</x:v>
      </x:c>
      <x:c r="C908" s="18" t="n">
        <x:v>45332</x:v>
      </x:c>
      <x:c r="D908" s="11" t="str">
        <x:v>2024-02</x:v>
      </x:c>
      <x:c r="E908" s="11" t="str">
        <x:v>South</x:v>
      </x:c>
      <x:c r="F908" s="11" t="str">
        <x:v>Furniture</x:v>
      </x:c>
      <x:c r="G908" s="11" t="str">
        <x:v>Desk</x:v>
      </x:c>
      <x:c r="H908" s="11" t="n">
        <x:v>3</x:v>
      </x:c>
      <x:c r="I908" s="19" t="n">
        <x:v>0.1</x:v>
      </x:c>
      <x:c r="J908" s="11" t="n">
        <x:v>0</x:v>
      </x:c>
      <x:c r="K908" s="20" t="n">
        <x:v>840</x:v>
      </x:c>
      <x:c r="L908" s="20" t="n">
        <x:v>84</x:v>
      </x:c>
      <x:c r="M908" s="20" t="n">
        <x:v>570</x:v>
      </x:c>
      <x:c r="N908" s="20" t="n">
        <x:f>IF(J908=1,0,K908-L908)</x:f>
        <x:v>756</x:v>
      </x:c>
      <x:c r="O908" s="20" t="n">
        <x:f>N908-M908</x:f>
        <x:v>186</x:v>
      </x:c>
    </x:row>
    <x:row r="909" ht="22" customHeight="1">
      <x:c r="A909" s="11" t="n">
        <x:v>905</x:v>
      </x:c>
      <x:c r="B909" s="11" t="n">
        <x:v>454</x:v>
      </x:c>
      <x:c r="C909" s="18" t="n">
        <x:v>45332</x:v>
      </x:c>
      <x:c r="D909" s="11" t="str">
        <x:v>2024-02</x:v>
      </x:c>
      <x:c r="E909" s="11" t="str">
        <x:v>South</x:v>
      </x:c>
      <x:c r="F909" s="11" t="str">
        <x:v>Furniture</x:v>
      </x:c>
      <x:c r="G909" s="11" t="str">
        <x:v>Chair</x:v>
      </x:c>
      <x:c r="H909" s="11" t="n">
        <x:v>4</x:v>
      </x:c>
      <x:c r="I909" s="19" t="n">
        <x:v>0.1</x:v>
      </x:c>
      <x:c r="J909" s="11" t="n">
        <x:v>0</x:v>
      </x:c>
      <x:c r="K909" s="20" t="n">
        <x:v>680</x:v>
      </x:c>
      <x:c r="L909" s="20" t="n">
        <x:v>68</x:v>
      </x:c>
      <x:c r="M909" s="20" t="n">
        <x:v>440</x:v>
      </x:c>
      <x:c r="N909" s="20" t="n">
        <x:f>IF(J909=1,0,K909-L909)</x:f>
        <x:v>612</x:v>
      </x:c>
      <x:c r="O909" s="20" t="n">
        <x:f>N909-M909</x:f>
        <x:v>172</x:v>
      </x:c>
    </x:row>
    <x:row r="910" ht="22" customHeight="1">
      <x:c r="A910" s="11" t="n">
        <x:v>906</x:v>
      </x:c>
      <x:c r="B910" s="11" t="n">
        <x:v>455</x:v>
      </x:c>
      <x:c r="C910" s="18" t="n">
        <x:v>45347</x:v>
      </x:c>
      <x:c r="D910" s="11" t="str">
        <x:v>2024-02</x:v>
      </x:c>
      <x:c r="E910" s="11" t="str">
        <x:v>Central</x:v>
      </x:c>
      <x:c r="F910" s="11" t="str">
        <x:v>Office Supplies</x:v>
      </x:c>
      <x:c r="G910" s="11" t="str">
        <x:v>Storage box</x:v>
      </x:c>
      <x:c r="H910" s="11" t="n">
        <x:v>1</x:v>
      </x:c>
      <x:c r="I910" s="19" t="n">
        <x:v>0.15</x:v>
      </x:c>
      <x:c r="J910" s="11" t="n">
        <x:v>0</x:v>
      </x:c>
      <x:c r="K910" s="20" t="n">
        <x:v>26</x:v>
      </x:c>
      <x:c r="L910" s="20" t="n">
        <x:v>3.9</x:v>
      </x:c>
      <x:c r="M910" s="20" t="n">
        <x:v>12</x:v>
      </x:c>
      <x:c r="N910" s="20" t="n">
        <x:f>IF(J910=1,0,K910-L910)</x:f>
        <x:v>22.1</x:v>
      </x:c>
      <x:c r="O910" s="20" t="n">
        <x:f>N910-M910</x:f>
        <x:v>10.100000000000001</x:v>
      </x:c>
    </x:row>
    <x:row r="911" ht="22" customHeight="1">
      <x:c r="A911" s="11" t="n">
        <x:v>907</x:v>
      </x:c>
      <x:c r="B911" s="11" t="n">
        <x:v>455</x:v>
      </x:c>
      <x:c r="C911" s="18" t="n">
        <x:v>45347</x:v>
      </x:c>
      <x:c r="D911" s="11" t="str">
        <x:v>2024-02</x:v>
      </x:c>
      <x:c r="E911" s="11" t="str">
        <x:v>Central</x:v>
      </x:c>
      <x:c r="F911" s="11" t="str">
        <x:v>Technology</x:v>
      </x:c>
      <x:c r="G911" s="11" t="str">
        <x:v>Keyboard</x:v>
      </x:c>
      <x:c r="H911" s="11" t="n">
        <x:v>5</x:v>
      </x:c>
      <x:c r="I911" s="19" t="n">
        <x:v>0.15</x:v>
      </x:c>
      <x:c r="J911" s="11" t="n">
        <x:v>0</x:v>
      </x:c>
      <x:c r="K911" s="20" t="n">
        <x:v>325</x:v>
      </x:c>
      <x:c r="L911" s="20" t="n">
        <x:v>48.75</x:v>
      </x:c>
      <x:c r="M911" s="20" t="n">
        <x:v>160</x:v>
      </x:c>
      <x:c r="N911" s="20" t="n">
        <x:f>IF(J911=1,0,K911-L911)</x:f>
        <x:v>276.25</x:v>
      </x:c>
      <x:c r="O911" s="20" t="n">
        <x:f>N911-M911</x:f>
        <x:v>116.25</x:v>
      </x:c>
    </x:row>
    <x:row r="912" ht="22" customHeight="1">
      <x:c r="A912" s="11" t="n">
        <x:v>908</x:v>
      </x:c>
      <x:c r="B912" s="11" t="n">
        <x:v>456</x:v>
      </x:c>
      <x:c r="C912" s="18" t="n">
        <x:v>45715</x:v>
      </x:c>
      <x:c r="D912" s="11" t="str">
        <x:v>2025-02</x:v>
      </x:c>
      <x:c r="E912" s="11" t="str">
        <x:v>West</x:v>
      </x:c>
      <x:c r="F912" s="11" t="str">
        <x:v>Furniture</x:v>
      </x:c>
      <x:c r="G912" s="11" t="str">
        <x:v>Chair</x:v>
      </x:c>
      <x:c r="H912" s="11" t="n">
        <x:v>4</x:v>
      </x:c>
      <x:c r="I912" s="19" t="n">
        <x:v>0.05</x:v>
      </x:c>
      <x:c r="J912" s="11" t="n">
        <x:v>0</x:v>
      </x:c>
      <x:c r="K912" s="20" t="n">
        <x:v>680</x:v>
      </x:c>
      <x:c r="L912" s="20" t="n">
        <x:v>34</x:v>
      </x:c>
      <x:c r="M912" s="20" t="n">
        <x:v>440</x:v>
      </x:c>
      <x:c r="N912" s="20" t="n">
        <x:f>IF(J912=1,0,K912-L912)</x:f>
        <x:v>646</x:v>
      </x:c>
      <x:c r="O912" s="20" t="n">
        <x:f>N912-M912</x:f>
        <x:v>206</x:v>
      </x:c>
    </x:row>
    <x:row r="913" ht="22" customHeight="1">
      <x:c r="A913" s="11" t="n">
        <x:v>909</x:v>
      </x:c>
      <x:c r="B913" s="11" t="n">
        <x:v>457</x:v>
      </x:c>
      <x:c r="C913" s="18" t="n">
        <x:v>45384</x:v>
      </x:c>
      <x:c r="D913" s="11" t="str">
        <x:v>2024-04</x:v>
      </x:c>
      <x:c r="E913" s="11" t="str">
        <x:v>West</x:v>
      </x:c>
      <x:c r="F913" s="11" t="str">
        <x:v>Office Supplies</x:v>
      </x:c>
      <x:c r="G913" s="11" t="str">
        <x:v>Storage box</x:v>
      </x:c>
      <x:c r="H913" s="11" t="n">
        <x:v>1</x:v>
      </x:c>
      <x:c r="I913" s="19" t="n">
        <x:v>0</x:v>
      </x:c>
      <x:c r="J913" s="11" t="n">
        <x:v>0</x:v>
      </x:c>
      <x:c r="K913" s="20" t="n">
        <x:v>26</x:v>
      </x:c>
      <x:c r="L913" s="20" t="n">
        <x:v>0</x:v>
      </x:c>
      <x:c r="M913" s="20" t="n">
        <x:v>12</x:v>
      </x:c>
      <x:c r="N913" s="20" t="n">
        <x:f>IF(J913=1,0,K913-L913)</x:f>
        <x:v>26</x:v>
      </x:c>
      <x:c r="O913" s="20" t="n">
        <x:f>N913-M913</x:f>
        <x:v>14</x:v>
      </x:c>
    </x:row>
    <x:row r="914" ht="22" customHeight="1">
      <x:c r="A914" s="11" t="n">
        <x:v>910</x:v>
      </x:c>
      <x:c r="B914" s="11" t="n">
        <x:v>457</x:v>
      </x:c>
      <x:c r="C914" s="18" t="n">
        <x:v>45384</x:v>
      </x:c>
      <x:c r="D914" s="11" t="str">
        <x:v>2024-04</x:v>
      </x:c>
      <x:c r="E914" s="11" t="str">
        <x:v>West</x:v>
      </x:c>
      <x:c r="F914" s="11" t="str">
        <x:v>Furniture</x:v>
      </x:c>
      <x:c r="G914" s="11" t="str">
        <x:v>Chair</x:v>
      </x:c>
      <x:c r="H914" s="11" t="n">
        <x:v>3</x:v>
      </x:c>
      <x:c r="I914" s="19" t="n">
        <x:v>0</x:v>
      </x:c>
      <x:c r="J914" s="11" t="n">
        <x:v>0</x:v>
      </x:c>
      <x:c r="K914" s="20" t="n">
        <x:v>510</x:v>
      </x:c>
      <x:c r="L914" s="20" t="n">
        <x:v>0</x:v>
      </x:c>
      <x:c r="M914" s="20" t="n">
        <x:v>330</x:v>
      </x:c>
      <x:c r="N914" s="20" t="n">
        <x:f>IF(J914=1,0,K914-L914)</x:f>
        <x:v>510</x:v>
      </x:c>
      <x:c r="O914" s="20" t="n">
        <x:f>N914-M914</x:f>
        <x:v>180</x:v>
      </x:c>
    </x:row>
    <x:row r="915" ht="22" customHeight="1">
      <x:c r="A915" s="11" t="n">
        <x:v>911</x:v>
      </x:c>
      <x:c r="B915" s="11" t="n">
        <x:v>457</x:v>
      </x:c>
      <x:c r="C915" s="18" t="n">
        <x:v>45384</x:v>
      </x:c>
      <x:c r="D915" s="11" t="str">
        <x:v>2024-04</x:v>
      </x:c>
      <x:c r="E915" s="11" t="str">
        <x:v>West</x:v>
      </x:c>
      <x:c r="F915" s="11" t="str">
        <x:v>Furniture</x:v>
      </x:c>
      <x:c r="G915" s="11" t="str">
        <x:v>Desk</x:v>
      </x:c>
      <x:c r="H915" s="11" t="n">
        <x:v>4</x:v>
      </x:c>
      <x:c r="I915" s="19" t="n">
        <x:v>0</x:v>
      </x:c>
      <x:c r="J915" s="11" t="n">
        <x:v>0</x:v>
      </x:c>
      <x:c r="K915" s="20" t="n">
        <x:v>1120</x:v>
      </x:c>
      <x:c r="L915" s="20" t="n">
        <x:v>0</x:v>
      </x:c>
      <x:c r="M915" s="20" t="n">
        <x:v>760</x:v>
      </x:c>
      <x:c r="N915" s="20" t="n">
        <x:f>IF(J915=1,0,K915-L915)</x:f>
        <x:v>1120</x:v>
      </x:c>
      <x:c r="O915" s="20" t="n">
        <x:f>N915-M915</x:f>
        <x:v>360</x:v>
      </x:c>
    </x:row>
    <x:row r="916" ht="22" customHeight="1">
      <x:c r="A916" s="11" t="n">
        <x:v>912</x:v>
      </x:c>
      <x:c r="B916" s="11" t="n">
        <x:v>458</x:v>
      </x:c>
      <x:c r="C916" s="18" t="n">
        <x:v>45681</x:v>
      </x:c>
      <x:c r="D916" s="11" t="str">
        <x:v>2025-01</x:v>
      </x:c>
      <x:c r="E916" s="11" t="str">
        <x:v>South</x:v>
      </x:c>
      <x:c r="F916" s="11" t="str">
        <x:v>Office Supplies</x:v>
      </x:c>
      <x:c r="G916" s="11" t="str">
        <x:v>Notebook pack</x:v>
      </x:c>
      <x:c r="H916" s="11" t="n">
        <x:v>2</x:v>
      </x:c>
      <x:c r="I916" s="19" t="n">
        <x:v>0</x:v>
      </x:c>
      <x:c r="J916" s="11" t="n">
        <x:v>0</x:v>
      </x:c>
      <x:c r="K916" s="20" t="n">
        <x:v>36</x:v>
      </x:c>
      <x:c r="L916" s="20" t="n">
        <x:v>0</x:v>
      </x:c>
      <x:c r="M916" s="20" t="n">
        <x:v>14</x:v>
      </x:c>
      <x:c r="N916" s="20" t="n">
        <x:f>IF(J916=1,0,K916-L916)</x:f>
        <x:v>36</x:v>
      </x:c>
      <x:c r="O916" s="20" t="n">
        <x:f>N916-M916</x:f>
        <x:v>22</x:v>
      </x:c>
    </x:row>
    <x:row r="917" ht="22" customHeight="1">
      <x:c r="A917" s="11" t="n">
        <x:v>913</x:v>
      </x:c>
      <x:c r="B917" s="11" t="n">
        <x:v>458</x:v>
      </x:c>
      <x:c r="C917" s="18" t="n">
        <x:v>45681</x:v>
      </x:c>
      <x:c r="D917" s="11" t="str">
        <x:v>2025-01</x:v>
      </x:c>
      <x:c r="E917" s="11" t="str">
        <x:v>South</x:v>
      </x:c>
      <x:c r="F917" s="11" t="str">
        <x:v>Furniture</x:v>
      </x:c>
      <x:c r="G917" s="11" t="str">
        <x:v>Chair</x:v>
      </x:c>
      <x:c r="H917" s="11" t="n">
        <x:v>1</x:v>
      </x:c>
      <x:c r="I917" s="19" t="n">
        <x:v>0.25</x:v>
      </x:c>
      <x:c r="J917" s="11" t="n">
        <x:v>0</x:v>
      </x:c>
      <x:c r="K917" s="20" t="n">
        <x:v>170</x:v>
      </x:c>
      <x:c r="L917" s="20" t="n">
        <x:v>42.5</x:v>
      </x:c>
      <x:c r="M917" s="20" t="n">
        <x:v>110</x:v>
      </x:c>
      <x:c r="N917" s="20" t="n">
        <x:f>IF(J917=1,0,K917-L917)</x:f>
        <x:v>127.5</x:v>
      </x:c>
      <x:c r="O917" s="20" t="n">
        <x:f>N917-M917</x:f>
        <x:v>17.5</x:v>
      </x:c>
    </x:row>
    <x:row r="918" ht="22" customHeight="1">
      <x:c r="A918" s="11" t="n">
        <x:v>914</x:v>
      </x:c>
      <x:c r="B918" s="11" t="n">
        <x:v>459</x:v>
      </x:c>
      <x:c r="C918" s="18" t="n">
        <x:v>45748</x:v>
      </x:c>
      <x:c r="D918" s="11" t="str">
        <x:v>2025-04</x:v>
      </x:c>
      <x:c r="E918" s="11" t="str">
        <x:v>South</x:v>
      </x:c>
      <x:c r="F918" s="11" t="str">
        <x:v>Furniture</x:v>
      </x:c>
      <x:c r="G918" s="11" t="str">
        <x:v>Chair</x:v>
      </x:c>
      <x:c r="H918" s="11" t="n">
        <x:v>2</x:v>
      </x:c>
      <x:c r="I918" s="19" t="n">
        <x:v>0</x:v>
      </x:c>
      <x:c r="J918" s="11" t="n">
        <x:v>0</x:v>
      </x:c>
      <x:c r="K918" s="20" t="n">
        <x:v>340</x:v>
      </x:c>
      <x:c r="L918" s="20" t="n">
        <x:v>0</x:v>
      </x:c>
      <x:c r="M918" s="20" t="n">
        <x:v>220</x:v>
      </x:c>
      <x:c r="N918" s="20" t="n">
        <x:f>IF(J918=1,0,K918-L918)</x:f>
        <x:v>340</x:v>
      </x:c>
      <x:c r="O918" s="20" t="n">
        <x:f>N918-M918</x:f>
        <x:v>120</x:v>
      </x:c>
    </x:row>
    <x:row r="919" ht="22" customHeight="1">
      <x:c r="A919" s="11" t="n">
        <x:v>915</x:v>
      </x:c>
      <x:c r="B919" s="11" t="n">
        <x:v>460</x:v>
      </x:c>
      <x:c r="C919" s="18" t="n">
        <x:v>45551</x:v>
      </x:c>
      <x:c r="D919" s="11" t="str">
        <x:v>2024-09</x:v>
      </x:c>
      <x:c r="E919" s="11" t="str">
        <x:v>East</x:v>
      </x:c>
      <x:c r="F919" s="11" t="str">
        <x:v>Technology</x:v>
      </x:c>
      <x:c r="G919" s="11" t="str">
        <x:v>Keyboard</x:v>
      </x:c>
      <x:c r="H919" s="11" t="n">
        <x:v>1</x:v>
      </x:c>
      <x:c r="I919" s="19" t="n">
        <x:v>0.15</x:v>
      </x:c>
      <x:c r="J919" s="11" t="n">
        <x:v>0</x:v>
      </x:c>
      <x:c r="K919" s="20" t="n">
        <x:v>65</x:v>
      </x:c>
      <x:c r="L919" s="20" t="n">
        <x:v>9.75</x:v>
      </x:c>
      <x:c r="M919" s="20" t="n">
        <x:v>32</x:v>
      </x:c>
      <x:c r="N919" s="20" t="n">
        <x:f>IF(J919=1,0,K919-L919)</x:f>
        <x:v>55.25</x:v>
      </x:c>
      <x:c r="O919" s="20" t="n">
        <x:f>N919-M919</x:f>
        <x:v>23.25</x:v>
      </x:c>
    </x:row>
    <x:row r="920" ht="22" customHeight="1">
      <x:c r="A920" s="11" t="n">
        <x:v>916</x:v>
      </x:c>
      <x:c r="B920" s="11" t="n">
        <x:v>460</x:v>
      </x:c>
      <x:c r="C920" s="18" t="n">
        <x:v>45551</x:v>
      </x:c>
      <x:c r="D920" s="11" t="str">
        <x:v>2024-09</x:v>
      </x:c>
      <x:c r="E920" s="11" t="str">
        <x:v>East</x:v>
      </x:c>
      <x:c r="F920" s="11" t="str">
        <x:v>Office Supplies</x:v>
      </x:c>
      <x:c r="G920" s="11" t="str">
        <x:v>Notebook pack</x:v>
      </x:c>
      <x:c r="H920" s="11" t="n">
        <x:v>2</x:v>
      </x:c>
      <x:c r="I920" s="19" t="n">
        <x:v>0</x:v>
      </x:c>
      <x:c r="J920" s="11" t="n">
        <x:v>0</x:v>
      </x:c>
      <x:c r="K920" s="20" t="n">
        <x:v>36</x:v>
      </x:c>
      <x:c r="L920" s="20" t="n">
        <x:v>0</x:v>
      </x:c>
      <x:c r="M920" s="20" t="n">
        <x:v>14</x:v>
      </x:c>
      <x:c r="N920" s="20" t="n">
        <x:f>IF(J920=1,0,K920-L920)</x:f>
        <x:v>36</x:v>
      </x:c>
      <x:c r="O920" s="20" t="n">
        <x:f>N920-M920</x:f>
        <x:v>22</x:v>
      </x:c>
    </x:row>
    <x:row r="921" ht="22" customHeight="1">
      <x:c r="A921" s="11" t="n">
        <x:v>917</x:v>
      </x:c>
      <x:c r="B921" s="11" t="n">
        <x:v>461</x:v>
      </x:c>
      <x:c r="C921" s="18" t="n">
        <x:v>45779</x:v>
      </x:c>
      <x:c r="D921" s="11" t="str">
        <x:v>2025-05</x:v>
      </x:c>
      <x:c r="E921" s="11" t="str">
        <x:v>East</x:v>
      </x:c>
      <x:c r="F921" s="11" t="str">
        <x:v>Furniture</x:v>
      </x:c>
      <x:c r="G921" s="11" t="str">
        <x:v>Desk</x:v>
      </x:c>
      <x:c r="H921" s="11" t="n">
        <x:v>5</x:v>
      </x:c>
      <x:c r="I921" s="19" t="n">
        <x:v>0</x:v>
      </x:c>
      <x:c r="J921" s="11" t="n">
        <x:v>0</x:v>
      </x:c>
      <x:c r="K921" s="20" t="n">
        <x:v>1400</x:v>
      </x:c>
      <x:c r="L921" s="20" t="n">
        <x:v>0</x:v>
      </x:c>
      <x:c r="M921" s="20" t="n">
        <x:v>950</x:v>
      </x:c>
      <x:c r="N921" s="20" t="n">
        <x:f>IF(J921=1,0,K921-L921)</x:f>
        <x:v>1400</x:v>
      </x:c>
      <x:c r="O921" s="20" t="n">
        <x:f>N921-M921</x:f>
        <x:v>450</x:v>
      </x:c>
    </x:row>
    <x:row r="922" ht="22" customHeight="1">
      <x:c r="A922" s="11" t="n">
        <x:v>918</x:v>
      </x:c>
      <x:c r="B922" s="11" t="n">
        <x:v>461</x:v>
      </x:c>
      <x:c r="C922" s="18" t="n">
        <x:v>45779</x:v>
      </x:c>
      <x:c r="D922" s="11" t="str">
        <x:v>2025-05</x:v>
      </x:c>
      <x:c r="E922" s="11" t="str">
        <x:v>East</x:v>
      </x:c>
      <x:c r="F922" s="11" t="str">
        <x:v>Office Supplies</x:v>
      </x:c>
      <x:c r="G922" s="11" t="str">
        <x:v>Notebook pack</x:v>
      </x:c>
      <x:c r="H922" s="11" t="n">
        <x:v>5</x:v>
      </x:c>
      <x:c r="I922" s="19" t="n">
        <x:v>0.05</x:v>
      </x:c>
      <x:c r="J922" s="11" t="n">
        <x:v>0</x:v>
      </x:c>
      <x:c r="K922" s="20" t="n">
        <x:v>90</x:v>
      </x:c>
      <x:c r="L922" s="20" t="n">
        <x:v>4.5</x:v>
      </x:c>
      <x:c r="M922" s="20" t="n">
        <x:v>35</x:v>
      </x:c>
      <x:c r="N922" s="20" t="n">
        <x:f>IF(J922=1,0,K922-L922)</x:f>
        <x:v>85.5</x:v>
      </x:c>
      <x:c r="O922" s="20" t="n">
        <x:f>N922-M922</x:f>
        <x:v>50.5</x:v>
      </x:c>
    </x:row>
    <x:row r="923" ht="22" customHeight="1">
      <x:c r="A923" s="11" t="n">
        <x:v>919</x:v>
      </x:c>
      <x:c r="B923" s="11" t="n">
        <x:v>462</x:v>
      </x:c>
      <x:c r="C923" s="18" t="n">
        <x:v>45862</x:v>
      </x:c>
      <x:c r="D923" s="11" t="str">
        <x:v>2025-07</x:v>
      </x:c>
      <x:c r="E923" s="11" t="str">
        <x:v>Central</x:v>
      </x:c>
      <x:c r="F923" s="11" t="str">
        <x:v>Furniture</x:v>
      </x:c>
      <x:c r="G923" s="11" t="str">
        <x:v>Chair</x:v>
      </x:c>
      <x:c r="H923" s="11" t="n">
        <x:v>1</x:v>
      </x:c>
      <x:c r="I923" s="19" t="n">
        <x:v>0.15</x:v>
      </x:c>
      <x:c r="J923" s="11" t="n">
        <x:v>1</x:v>
      </x:c>
      <x:c r="K923" s="20" t="n">
        <x:v>170</x:v>
      </x:c>
      <x:c r="L923" s="20" t="n">
        <x:v>25.5</x:v>
      </x:c>
      <x:c r="M923" s="20" t="n">
        <x:v>0</x:v>
      </x:c>
      <x:c r="N923" s="20" t="n">
        <x:f>IF(J923=1,0,K923-L923)</x:f>
        <x:v>0</x:v>
      </x:c>
      <x:c r="O923" s="20" t="n">
        <x:f>N923-M923</x:f>
        <x:v>0</x:v>
      </x:c>
    </x:row>
    <x:row r="924" ht="22" customHeight="1">
      <x:c r="A924" s="11" t="n">
        <x:v>920</x:v>
      </x:c>
      <x:c r="B924" s="11" t="n">
        <x:v>463</x:v>
      </x:c>
      <x:c r="C924" s="18" t="n">
        <x:v>45325</x:v>
      </x:c>
      <x:c r="D924" s="11" t="str">
        <x:v>2024-02</x:v>
      </x:c>
      <x:c r="E924" s="11" t="str">
        <x:v>East</x:v>
      </x:c>
      <x:c r="F924" s="11" t="str">
        <x:v>Furniture</x:v>
      </x:c>
      <x:c r="G924" s="11" t="str">
        <x:v>Desk</x:v>
      </x:c>
      <x:c r="H924" s="11" t="n">
        <x:v>1</x:v>
      </x:c>
      <x:c r="I924" s="19" t="n">
        <x:v>0.25</x:v>
      </x:c>
      <x:c r="J924" s="11" t="n">
        <x:v>0</x:v>
      </x:c>
      <x:c r="K924" s="20" t="n">
        <x:v>280</x:v>
      </x:c>
      <x:c r="L924" s="20" t="n">
        <x:v>70</x:v>
      </x:c>
      <x:c r="M924" s="20" t="n">
        <x:v>190</x:v>
      </x:c>
      <x:c r="N924" s="20" t="n">
        <x:f>IF(J924=1,0,K924-L924)</x:f>
        <x:v>210</x:v>
      </x:c>
      <x:c r="O924" s="20" t="n">
        <x:f>N924-M924</x:f>
        <x:v>20</x:v>
      </x:c>
    </x:row>
    <x:row r="925" ht="22" customHeight="1">
      <x:c r="A925" s="11" t="n">
        <x:v>921</x:v>
      </x:c>
      <x:c r="B925" s="11" t="n">
        <x:v>463</x:v>
      </x:c>
      <x:c r="C925" s="18" t="n">
        <x:v>45325</x:v>
      </x:c>
      <x:c r="D925" s="11" t="str">
        <x:v>2024-02</x:v>
      </x:c>
      <x:c r="E925" s="11" t="str">
        <x:v>East</x:v>
      </x:c>
      <x:c r="F925" s="11" t="str">
        <x:v>Office Supplies</x:v>
      </x:c>
      <x:c r="G925" s="11" t="str">
        <x:v>Storage box</x:v>
      </x:c>
      <x:c r="H925" s="11" t="n">
        <x:v>2</x:v>
      </x:c>
      <x:c r="I925" s="19" t="n">
        <x:v>0.05</x:v>
      </x:c>
      <x:c r="J925" s="11" t="n">
        <x:v>0</x:v>
      </x:c>
      <x:c r="K925" s="20" t="n">
        <x:v>52</x:v>
      </x:c>
      <x:c r="L925" s="20" t="n">
        <x:v>2.6</x:v>
      </x:c>
      <x:c r="M925" s="20" t="n">
        <x:v>24</x:v>
      </x:c>
      <x:c r="N925" s="20" t="n">
        <x:f>IF(J925=1,0,K925-L925)</x:f>
        <x:v>49.4</x:v>
      </x:c>
      <x:c r="O925" s="20" t="n">
        <x:f>N925-M925</x:f>
        <x:v>25.4</x:v>
      </x:c>
    </x:row>
    <x:row r="926" ht="22" customHeight="1">
      <x:c r="A926" s="11" t="n">
        <x:v>922</x:v>
      </x:c>
      <x:c r="B926" s="11" t="n">
        <x:v>464</x:v>
      </x:c>
      <x:c r="C926" s="18" t="n">
        <x:v>46000</x:v>
      </x:c>
      <x:c r="D926" s="11" t="str">
        <x:v>2025-12</x:v>
      </x:c>
      <x:c r="E926" s="11" t="str">
        <x:v>Central</x:v>
      </x:c>
      <x:c r="F926" s="11" t="str">
        <x:v>Office Supplies</x:v>
      </x:c>
      <x:c r="G926" s="11" t="str">
        <x:v>Storage box</x:v>
      </x:c>
      <x:c r="H926" s="11" t="n">
        <x:v>3</x:v>
      </x:c>
      <x:c r="I926" s="19" t="n">
        <x:v>0</x:v>
      </x:c>
      <x:c r="J926" s="11" t="n">
        <x:v>0</x:v>
      </x:c>
      <x:c r="K926" s="20" t="n">
        <x:v>78</x:v>
      </x:c>
      <x:c r="L926" s="20" t="n">
        <x:v>0</x:v>
      </x:c>
      <x:c r="M926" s="20" t="n">
        <x:v>36</x:v>
      </x:c>
      <x:c r="N926" s="20" t="n">
        <x:f>IF(J926=1,0,K926-L926)</x:f>
        <x:v>78</x:v>
      </x:c>
      <x:c r="O926" s="20" t="n">
        <x:f>N926-M926</x:f>
        <x:v>42</x:v>
      </x:c>
    </x:row>
    <x:row r="927" ht="22" customHeight="1">
      <x:c r="A927" s="11" t="n">
        <x:v>923</x:v>
      </x:c>
      <x:c r="B927" s="11" t="n">
        <x:v>464</x:v>
      </x:c>
      <x:c r="C927" s="18" t="n">
        <x:v>46000</x:v>
      </x:c>
      <x:c r="D927" s="11" t="str">
        <x:v>2025-12</x:v>
      </x:c>
      <x:c r="E927" s="11" t="str">
        <x:v>Central</x:v>
      </x:c>
      <x:c r="F927" s="11" t="str">
        <x:v>Office Supplies</x:v>
      </x:c>
      <x:c r="G927" s="11" t="str">
        <x:v>Notebook pack</x:v>
      </x:c>
      <x:c r="H927" s="11" t="n">
        <x:v>3</x:v>
      </x:c>
      <x:c r="I927" s="19" t="n">
        <x:v>0.05</x:v>
      </x:c>
      <x:c r="J927" s="11" t="n">
        <x:v>0</x:v>
      </x:c>
      <x:c r="K927" s="20" t="n">
        <x:v>54</x:v>
      </x:c>
      <x:c r="L927" s="20" t="n">
        <x:v>2.7</x:v>
      </x:c>
      <x:c r="M927" s="20" t="n">
        <x:v>21</x:v>
      </x:c>
      <x:c r="N927" s="20" t="n">
        <x:f>IF(J927=1,0,K927-L927)</x:f>
        <x:v>51.3</x:v>
      </x:c>
      <x:c r="O927" s="20" t="n">
        <x:f>N927-M927</x:f>
        <x:v>30.299999999999997</x:v>
      </x:c>
    </x:row>
    <x:row r="928" ht="22" customHeight="1">
      <x:c r="A928" s="11" t="n">
        <x:v>924</x:v>
      </x:c>
      <x:c r="B928" s="11" t="n">
        <x:v>465</x:v>
      </x:c>
      <x:c r="C928" s="18" t="n">
        <x:v>45680</x:v>
      </x:c>
      <x:c r="D928" s="11" t="str">
        <x:v>2025-01</x:v>
      </x:c>
      <x:c r="E928" s="11" t="str">
        <x:v>Central</x:v>
      </x:c>
      <x:c r="F928" s="11" t="str">
        <x:v>Furniture</x:v>
      </x:c>
      <x:c r="G928" s="11" t="str">
        <x:v>Desk</x:v>
      </x:c>
      <x:c r="H928" s="11" t="n">
        <x:v>2</x:v>
      </x:c>
      <x:c r="I928" s="19" t="n">
        <x:v>0</x:v>
      </x:c>
      <x:c r="J928" s="11" t="n">
        <x:v>0</x:v>
      </x:c>
      <x:c r="K928" s="20" t="n">
        <x:v>560</x:v>
      </x:c>
      <x:c r="L928" s="20" t="n">
        <x:v>0</x:v>
      </x:c>
      <x:c r="M928" s="20" t="n">
        <x:v>380</x:v>
      </x:c>
      <x:c r="N928" s="20" t="n">
        <x:f>IF(J928=1,0,K928-L928)</x:f>
        <x:v>560</x:v>
      </x:c>
      <x:c r="O928" s="20" t="n">
        <x:f>N928-M928</x:f>
        <x:v>180</x:v>
      </x:c>
    </x:row>
    <x:row r="929" ht="22" customHeight="1">
      <x:c r="A929" s="11" t="n">
        <x:v>925</x:v>
      </x:c>
      <x:c r="B929" s="11" t="n">
        <x:v>465</x:v>
      </x:c>
      <x:c r="C929" s="18" t="n">
        <x:v>45680</x:v>
      </x:c>
      <x:c r="D929" s="11" t="str">
        <x:v>2025-01</x:v>
      </x:c>
      <x:c r="E929" s="11" t="str">
        <x:v>Central</x:v>
      </x:c>
      <x:c r="F929" s="11" t="str">
        <x:v>Technology</x:v>
      </x:c>
      <x:c r="G929" s="11" t="str">
        <x:v>Monitor</x:v>
      </x:c>
      <x:c r="H929" s="11" t="n">
        <x:v>3</x:v>
      </x:c>
      <x:c r="I929" s="19" t="n">
        <x:v>0.05</x:v>
      </x:c>
      <x:c r="J929" s="11" t="n">
        <x:v>0</x:v>
      </x:c>
      <x:c r="K929" s="20" t="n">
        <x:v>720</x:v>
      </x:c>
      <x:c r="L929" s="20" t="n">
        <x:v>36</x:v>
      </x:c>
      <x:c r="M929" s="20" t="n">
        <x:v>480</x:v>
      </x:c>
      <x:c r="N929" s="20" t="n">
        <x:f>IF(J929=1,0,K929-L929)</x:f>
        <x:v>684</x:v>
      </x:c>
      <x:c r="O929" s="20" t="n">
        <x:f>N929-M929</x:f>
        <x:v>204</x:v>
      </x:c>
    </x:row>
    <x:row r="930" ht="22" customHeight="1">
      <x:c r="A930" s="11" t="n">
        <x:v>926</x:v>
      </x:c>
      <x:c r="B930" s="11" t="n">
        <x:v>465</x:v>
      </x:c>
      <x:c r="C930" s="18" t="n">
        <x:v>45680</x:v>
      </x:c>
      <x:c r="D930" s="11" t="str">
        <x:v>2025-01</x:v>
      </x:c>
      <x:c r="E930" s="11" t="str">
        <x:v>Central</x:v>
      </x:c>
      <x:c r="F930" s="11" t="str">
        <x:v>Technology</x:v>
      </x:c>
      <x:c r="G930" s="11" t="str">
        <x:v>Keyboard</x:v>
      </x:c>
      <x:c r="H930" s="11" t="n">
        <x:v>5</x:v>
      </x:c>
      <x:c r="I930" s="19" t="n">
        <x:v>0</x:v>
      </x:c>
      <x:c r="J930" s="11" t="n">
        <x:v>0</x:v>
      </x:c>
      <x:c r="K930" s="20" t="n">
        <x:v>325</x:v>
      </x:c>
      <x:c r="L930" s="20" t="n">
        <x:v>0</x:v>
      </x:c>
      <x:c r="M930" s="20" t="n">
        <x:v>160</x:v>
      </x:c>
      <x:c r="N930" s="20" t="n">
        <x:f>IF(J930=1,0,K930-L930)</x:f>
        <x:v>325</x:v>
      </x:c>
      <x:c r="O930" s="20" t="n">
        <x:f>N930-M930</x:f>
        <x:v>165</x:v>
      </x:c>
    </x:row>
    <x:row r="931" ht="22" customHeight="1">
      <x:c r="A931" s="11" t="n">
        <x:v>927</x:v>
      </x:c>
      <x:c r="B931" s="11" t="n">
        <x:v>466</x:v>
      </x:c>
      <x:c r="C931" s="18" t="n">
        <x:v>45918</x:v>
      </x:c>
      <x:c r="D931" s="11" t="str">
        <x:v>2025-09</x:v>
      </x:c>
      <x:c r="E931" s="11" t="str">
        <x:v>East</x:v>
      </x:c>
      <x:c r="F931" s="11" t="str">
        <x:v>Office Supplies</x:v>
      </x:c>
      <x:c r="G931" s="11" t="str">
        <x:v>Storage box</x:v>
      </x:c>
      <x:c r="H931" s="11" t="n">
        <x:v>4</x:v>
      </x:c>
      <x:c r="I931" s="19" t="n">
        <x:v>0.15</x:v>
      </x:c>
      <x:c r="J931" s="11" t="n">
        <x:v>0</x:v>
      </x:c>
      <x:c r="K931" s="20" t="n">
        <x:v>104</x:v>
      </x:c>
      <x:c r="L931" s="20" t="n">
        <x:v>15.6</x:v>
      </x:c>
      <x:c r="M931" s="20" t="n">
        <x:v>48</x:v>
      </x:c>
      <x:c r="N931" s="20" t="n">
        <x:f>IF(J931=1,0,K931-L931)</x:f>
        <x:v>88.4</x:v>
      </x:c>
      <x:c r="O931" s="20" t="n">
        <x:f>N931-M931</x:f>
        <x:v>40.400000000000006</x:v>
      </x:c>
    </x:row>
    <x:row r="932" ht="22" customHeight="1">
      <x:c r="A932" s="11" t="n">
        <x:v>928</x:v>
      </x:c>
      <x:c r="B932" s="11" t="n">
        <x:v>466</x:v>
      </x:c>
      <x:c r="C932" s="18" t="n">
        <x:v>45918</x:v>
      </x:c>
      <x:c r="D932" s="11" t="str">
        <x:v>2025-09</x:v>
      </x:c>
      <x:c r="E932" s="11" t="str">
        <x:v>East</x:v>
      </x:c>
      <x:c r="F932" s="11" t="str">
        <x:v>Office Supplies</x:v>
      </x:c>
      <x:c r="G932" s="11" t="str">
        <x:v>Notebook pack</x:v>
      </x:c>
      <x:c r="H932" s="11" t="n">
        <x:v>3</x:v>
      </x:c>
      <x:c r="I932" s="19" t="n">
        <x:v>0.1</x:v>
      </x:c>
      <x:c r="J932" s="11" t="n">
        <x:v>0</x:v>
      </x:c>
      <x:c r="K932" s="20" t="n">
        <x:v>54</x:v>
      </x:c>
      <x:c r="L932" s="20" t="n">
        <x:v>5.4</x:v>
      </x:c>
      <x:c r="M932" s="20" t="n">
        <x:v>21</x:v>
      </x:c>
      <x:c r="N932" s="20" t="n">
        <x:f>IF(J932=1,0,K932-L932)</x:f>
        <x:v>48.6</x:v>
      </x:c>
      <x:c r="O932" s="20" t="n">
        <x:f>N932-M932</x:f>
        <x:v>27.6</x:v>
      </x:c>
    </x:row>
    <x:row r="933" ht="22" customHeight="1">
      <x:c r="A933" s="11" t="n">
        <x:v>929</x:v>
      </x:c>
      <x:c r="B933" s="11" t="n">
        <x:v>466</x:v>
      </x:c>
      <x:c r="C933" s="18" t="n">
        <x:v>45918</x:v>
      </x:c>
      <x:c r="D933" s="11" t="str">
        <x:v>2025-09</x:v>
      </x:c>
      <x:c r="E933" s="11" t="str">
        <x:v>East</x:v>
      </x:c>
      <x:c r="F933" s="11" t="str">
        <x:v>Furniture</x:v>
      </x:c>
      <x:c r="G933" s="11" t="str">
        <x:v>Desk</x:v>
      </x:c>
      <x:c r="H933" s="11" t="n">
        <x:v>3</x:v>
      </x:c>
      <x:c r="I933" s="19" t="n">
        <x:v>0.1</x:v>
      </x:c>
      <x:c r="J933" s="11" t="n">
        <x:v>0</x:v>
      </x:c>
      <x:c r="K933" s="20" t="n">
        <x:v>840</x:v>
      </x:c>
      <x:c r="L933" s="20" t="n">
        <x:v>84</x:v>
      </x:c>
      <x:c r="M933" s="20" t="n">
        <x:v>570</x:v>
      </x:c>
      <x:c r="N933" s="20" t="n">
        <x:f>IF(J933=1,0,K933-L933)</x:f>
        <x:v>756</x:v>
      </x:c>
      <x:c r="O933" s="20" t="n">
        <x:f>N933-M933</x:f>
        <x:v>186</x:v>
      </x:c>
    </x:row>
    <x:row r="934" ht="22" customHeight="1">
      <x:c r="A934" s="11" t="n">
        <x:v>930</x:v>
      </x:c>
      <x:c r="B934" s="11" t="n">
        <x:v>467</x:v>
      </x:c>
      <x:c r="C934" s="18" t="n">
        <x:v>45930</x:v>
      </x:c>
      <x:c r="D934" s="11" t="str">
        <x:v>2025-09</x:v>
      </x:c>
      <x:c r="E934" s="11" t="str">
        <x:v>South</x:v>
      </x:c>
      <x:c r="F934" s="11" t="str">
        <x:v>Office Supplies</x:v>
      </x:c>
      <x:c r="G934" s="11" t="str">
        <x:v>Notebook pack</x:v>
      </x:c>
      <x:c r="H934" s="11" t="n">
        <x:v>4</x:v>
      </x:c>
      <x:c r="I934" s="19" t="n">
        <x:v>0</x:v>
      </x:c>
      <x:c r="J934" s="11" t="n">
        <x:v>0</x:v>
      </x:c>
      <x:c r="K934" s="20" t="n">
        <x:v>72</x:v>
      </x:c>
      <x:c r="L934" s="20" t="n">
        <x:v>0</x:v>
      </x:c>
      <x:c r="M934" s="20" t="n">
        <x:v>28</x:v>
      </x:c>
      <x:c r="N934" s="20" t="n">
        <x:f>IF(J934=1,0,K934-L934)</x:f>
        <x:v>72</x:v>
      </x:c>
      <x:c r="O934" s="20" t="n">
        <x:f>N934-M934</x:f>
        <x:v>44</x:v>
      </x:c>
    </x:row>
    <x:row r="935" ht="22" customHeight="1">
      <x:c r="A935" s="11" t="n">
        <x:v>931</x:v>
      </x:c>
      <x:c r="B935" s="11" t="n">
        <x:v>467</x:v>
      </x:c>
      <x:c r="C935" s="18" t="n">
        <x:v>45930</x:v>
      </x:c>
      <x:c r="D935" s="11" t="str">
        <x:v>2025-09</x:v>
      </x:c>
      <x:c r="E935" s="11" t="str">
        <x:v>South</x:v>
      </x:c>
      <x:c r="F935" s="11" t="str">
        <x:v>Technology</x:v>
      </x:c>
      <x:c r="G935" s="11" t="str">
        <x:v>Keyboard</x:v>
      </x:c>
      <x:c r="H935" s="11" t="n">
        <x:v>2</x:v>
      </x:c>
      <x:c r="I935" s="19" t="n">
        <x:v>0.05</x:v>
      </x:c>
      <x:c r="J935" s="11" t="n">
        <x:v>0</x:v>
      </x:c>
      <x:c r="K935" s="20" t="n">
        <x:v>130</x:v>
      </x:c>
      <x:c r="L935" s="20" t="n">
        <x:v>6.5</x:v>
      </x:c>
      <x:c r="M935" s="20" t="n">
        <x:v>64</x:v>
      </x:c>
      <x:c r="N935" s="20" t="n">
        <x:f>IF(J935=1,0,K935-L935)</x:f>
        <x:v>123.5</x:v>
      </x:c>
      <x:c r="O935" s="20" t="n">
        <x:f>N935-M935</x:f>
        <x:v>59.5</x:v>
      </x:c>
    </x:row>
    <x:row r="936" ht="22" customHeight="1">
      <x:c r="A936" s="11" t="n">
        <x:v>932</x:v>
      </x:c>
      <x:c r="B936" s="11" t="n">
        <x:v>467</x:v>
      </x:c>
      <x:c r="C936" s="18" t="n">
        <x:v>45930</x:v>
      </x:c>
      <x:c r="D936" s="11" t="str">
        <x:v>2025-09</x:v>
      </x:c>
      <x:c r="E936" s="11" t="str">
        <x:v>South</x:v>
      </x:c>
      <x:c r="F936" s="11" t="str">
        <x:v>Office Supplies</x:v>
      </x:c>
      <x:c r="G936" s="11" t="str">
        <x:v>Storage box</x:v>
      </x:c>
      <x:c r="H936" s="11" t="n">
        <x:v>1</x:v>
      </x:c>
      <x:c r="I936" s="19" t="n">
        <x:v>0</x:v>
      </x:c>
      <x:c r="J936" s="11" t="n">
        <x:v>1</x:v>
      </x:c>
      <x:c r="K936" s="20" t="n">
        <x:v>26</x:v>
      </x:c>
      <x:c r="L936" s="20" t="n">
        <x:v>0</x:v>
      </x:c>
      <x:c r="M936" s="20" t="n">
        <x:v>0</x:v>
      </x:c>
      <x:c r="N936" s="20" t="n">
        <x:f>IF(J936=1,0,K936-L936)</x:f>
        <x:v>0</x:v>
      </x:c>
      <x:c r="O936" s="20" t="n">
        <x:f>N936-M936</x:f>
        <x:v>0</x:v>
      </x:c>
    </x:row>
    <x:row r="937" ht="22" customHeight="1">
      <x:c r="A937" s="11" t="n">
        <x:v>933</x:v>
      </x:c>
      <x:c r="B937" s="11" t="n">
        <x:v>468</x:v>
      </x:c>
      <x:c r="C937" s="18" t="n">
        <x:v>45932</x:v>
      </x:c>
      <x:c r="D937" s="11" t="str">
        <x:v>2025-10</x:v>
      </x:c>
      <x:c r="E937" s="11" t="str">
        <x:v>West</x:v>
      </x:c>
      <x:c r="F937" s="11" t="str">
        <x:v>Technology</x:v>
      </x:c>
      <x:c r="G937" s="11" t="str">
        <x:v>Keyboard</x:v>
      </x:c>
      <x:c r="H937" s="11" t="n">
        <x:v>3</x:v>
      </x:c>
      <x:c r="I937" s="19" t="n">
        <x:v>0.05</x:v>
      </x:c>
      <x:c r="J937" s="11" t="n">
        <x:v>0</x:v>
      </x:c>
      <x:c r="K937" s="20" t="n">
        <x:v>195</x:v>
      </x:c>
      <x:c r="L937" s="20" t="n">
        <x:v>9.75</x:v>
      </x:c>
      <x:c r="M937" s="20" t="n">
        <x:v>96</x:v>
      </x:c>
      <x:c r="N937" s="20" t="n">
        <x:f>IF(J937=1,0,K937-L937)</x:f>
        <x:v>185.25</x:v>
      </x:c>
      <x:c r="O937" s="20" t="n">
        <x:f>N937-M937</x:f>
        <x:v>89.25</x:v>
      </x:c>
    </x:row>
    <x:row r="938" ht="22" customHeight="1">
      <x:c r="A938" s="11" t="n">
        <x:v>934</x:v>
      </x:c>
      <x:c r="B938" s="11" t="n">
        <x:v>468</x:v>
      </x:c>
      <x:c r="C938" s="18" t="n">
        <x:v>45932</x:v>
      </x:c>
      <x:c r="D938" s="11" t="str">
        <x:v>2025-10</x:v>
      </x:c>
      <x:c r="E938" s="11" t="str">
        <x:v>West</x:v>
      </x:c>
      <x:c r="F938" s="11" t="str">
        <x:v>Office Supplies</x:v>
      </x:c>
      <x:c r="G938" s="11" t="str">
        <x:v>Storage box</x:v>
      </x:c>
      <x:c r="H938" s="11" t="n">
        <x:v>2</x:v>
      </x:c>
      <x:c r="I938" s="19" t="n">
        <x:v>0</x:v>
      </x:c>
      <x:c r="J938" s="11" t="n">
        <x:v>0</x:v>
      </x:c>
      <x:c r="K938" s="20" t="n">
        <x:v>52</x:v>
      </x:c>
      <x:c r="L938" s="20" t="n">
        <x:v>0</x:v>
      </x:c>
      <x:c r="M938" s="20" t="n">
        <x:v>24</x:v>
      </x:c>
      <x:c r="N938" s="20" t="n">
        <x:f>IF(J938=1,0,K938-L938)</x:f>
        <x:v>52</x:v>
      </x:c>
      <x:c r="O938" s="20" t="n">
        <x:f>N938-M938</x:f>
        <x:v>28</x:v>
      </x:c>
    </x:row>
    <x:row r="939" ht="22" customHeight="1">
      <x:c r="A939" s="11" t="n">
        <x:v>935</x:v>
      </x:c>
      <x:c r="B939" s="11" t="n">
        <x:v>468</x:v>
      </x:c>
      <x:c r="C939" s="18" t="n">
        <x:v>45932</x:v>
      </x:c>
      <x:c r="D939" s="11" t="str">
        <x:v>2025-10</x:v>
      </x:c>
      <x:c r="E939" s="11" t="str">
        <x:v>West</x:v>
      </x:c>
      <x:c r="F939" s="11" t="str">
        <x:v>Furniture</x:v>
      </x:c>
      <x:c r="G939" s="11" t="str">
        <x:v>Desk</x:v>
      </x:c>
      <x:c r="H939" s="11" t="n">
        <x:v>3</x:v>
      </x:c>
      <x:c r="I939" s="19" t="n">
        <x:v>0.1</x:v>
      </x:c>
      <x:c r="J939" s="11" t="n">
        <x:v>0</x:v>
      </x:c>
      <x:c r="K939" s="20" t="n">
        <x:v>840</x:v>
      </x:c>
      <x:c r="L939" s="20" t="n">
        <x:v>84</x:v>
      </x:c>
      <x:c r="M939" s="20" t="n">
        <x:v>570</x:v>
      </x:c>
      <x:c r="N939" s="20" t="n">
        <x:f>IF(J939=1,0,K939-L939)</x:f>
        <x:v>756</x:v>
      </x:c>
      <x:c r="O939" s="20" t="n">
        <x:f>N939-M939</x:f>
        <x:v>186</x:v>
      </x:c>
    </x:row>
    <x:row r="940" ht="22" customHeight="1">
      <x:c r="A940" s="11" t="n">
        <x:v>936</x:v>
      </x:c>
      <x:c r="B940" s="11" t="n">
        <x:v>469</x:v>
      </x:c>
      <x:c r="C940" s="18" t="n">
        <x:v>45607</x:v>
      </x:c>
      <x:c r="D940" s="11" t="str">
        <x:v>2024-11</x:v>
      </x:c>
      <x:c r="E940" s="11" t="str">
        <x:v>Central</x:v>
      </x:c>
      <x:c r="F940" s="11" t="str">
        <x:v>Furniture</x:v>
      </x:c>
      <x:c r="G940" s="11" t="str">
        <x:v>Desk</x:v>
      </x:c>
      <x:c r="H940" s="11" t="n">
        <x:v>3</x:v>
      </x:c>
      <x:c r="I940" s="19" t="n">
        <x:v>0.15</x:v>
      </x:c>
      <x:c r="J940" s="11" t="n">
        <x:v>0</x:v>
      </x:c>
      <x:c r="K940" s="20" t="n">
        <x:v>840</x:v>
      </x:c>
      <x:c r="L940" s="20" t="n">
        <x:v>126</x:v>
      </x:c>
      <x:c r="M940" s="20" t="n">
        <x:v>570</x:v>
      </x:c>
      <x:c r="N940" s="20" t="n">
        <x:f>IF(J940=1,0,K940-L940)</x:f>
        <x:v>714</x:v>
      </x:c>
      <x:c r="O940" s="20" t="n">
        <x:f>N940-M940</x:f>
        <x:v>144</x:v>
      </x:c>
    </x:row>
    <x:row r="941" ht="22" customHeight="1">
      <x:c r="A941" s="11" t="n">
        <x:v>937</x:v>
      </x:c>
      <x:c r="B941" s="11" t="n">
        <x:v>470</x:v>
      </x:c>
      <x:c r="C941" s="18" t="n">
        <x:v>45874</x:v>
      </x:c>
      <x:c r="D941" s="11" t="str">
        <x:v>2025-08</x:v>
      </x:c>
      <x:c r="E941" s="11" t="str">
        <x:v>East</x:v>
      </x:c>
      <x:c r="F941" s="11" t="str">
        <x:v>Furniture</x:v>
      </x:c>
      <x:c r="G941" s="11" t="str">
        <x:v>Chair</x:v>
      </x:c>
      <x:c r="H941" s="11" t="n">
        <x:v>3</x:v>
      </x:c>
      <x:c r="I941" s="19" t="n">
        <x:v>0.15</x:v>
      </x:c>
      <x:c r="J941" s="11" t="n">
        <x:v>0</x:v>
      </x:c>
      <x:c r="K941" s="20" t="n">
        <x:v>510</x:v>
      </x:c>
      <x:c r="L941" s="20" t="n">
        <x:v>76.5</x:v>
      </x:c>
      <x:c r="M941" s="20" t="n">
        <x:v>330</x:v>
      </x:c>
      <x:c r="N941" s="20" t="n">
        <x:f>IF(J941=1,0,K941-L941)</x:f>
        <x:v>433.5</x:v>
      </x:c>
      <x:c r="O941" s="20" t="n">
        <x:f>N941-M941</x:f>
        <x:v>103.5</x:v>
      </x:c>
    </x:row>
    <x:row r="942" ht="22" customHeight="1">
      <x:c r="A942" s="11" t="n">
        <x:v>938</x:v>
      </x:c>
      <x:c r="B942" s="11" t="n">
        <x:v>471</x:v>
      </x:c>
      <x:c r="C942" s="18" t="n">
        <x:v>45782</x:v>
      </x:c>
      <x:c r="D942" s="11" t="str">
        <x:v>2025-05</x:v>
      </x:c>
      <x:c r="E942" s="11" t="str">
        <x:v>South</x:v>
      </x:c>
      <x:c r="F942" s="11" t="str">
        <x:v>Furniture</x:v>
      </x:c>
      <x:c r="G942" s="11" t="str">
        <x:v>Chair</x:v>
      </x:c>
      <x:c r="H942" s="11" t="n">
        <x:v>4</x:v>
      </x:c>
      <x:c r="I942" s="19" t="n">
        <x:v>0.15</x:v>
      </x:c>
      <x:c r="J942" s="11" t="n">
        <x:v>0</x:v>
      </x:c>
      <x:c r="K942" s="20" t="n">
        <x:v>680</x:v>
      </x:c>
      <x:c r="L942" s="20" t="n">
        <x:v>102</x:v>
      </x:c>
      <x:c r="M942" s="20" t="n">
        <x:v>440</x:v>
      </x:c>
      <x:c r="N942" s="20" t="n">
        <x:f>IF(J942=1,0,K942-L942)</x:f>
        <x:v>578</x:v>
      </x:c>
      <x:c r="O942" s="20" t="n">
        <x:f>N942-M942</x:f>
        <x:v>138</x:v>
      </x:c>
    </x:row>
    <x:row r="943" ht="22" customHeight="1">
      <x:c r="A943" s="11" t="n">
        <x:v>939</x:v>
      </x:c>
      <x:c r="B943" s="11" t="n">
        <x:v>471</x:v>
      </x:c>
      <x:c r="C943" s="18" t="n">
        <x:v>45782</x:v>
      </x:c>
      <x:c r="D943" s="11" t="str">
        <x:v>2025-05</x:v>
      </x:c>
      <x:c r="E943" s="11" t="str">
        <x:v>South</x:v>
      </x:c>
      <x:c r="F943" s="11" t="str">
        <x:v>Technology</x:v>
      </x:c>
      <x:c r="G943" s="11" t="str">
        <x:v>Keyboard</x:v>
      </x:c>
      <x:c r="H943" s="11" t="n">
        <x:v>4</x:v>
      </x:c>
      <x:c r="I943" s="19" t="n">
        <x:v>0</x:v>
      </x:c>
      <x:c r="J943" s="11" t="n">
        <x:v>0</x:v>
      </x:c>
      <x:c r="K943" s="20" t="n">
        <x:v>260</x:v>
      </x:c>
      <x:c r="L943" s="20" t="n">
        <x:v>0</x:v>
      </x:c>
      <x:c r="M943" s="20" t="n">
        <x:v>128</x:v>
      </x:c>
      <x:c r="N943" s="20" t="n">
        <x:f>IF(J943=1,0,K943-L943)</x:f>
        <x:v>260</x:v>
      </x:c>
      <x:c r="O943" s="20" t="n">
        <x:f>N943-M943</x:f>
        <x:v>132</x:v>
      </x:c>
    </x:row>
    <x:row r="944" ht="22" customHeight="1">
      <x:c r="A944" s="11" t="n">
        <x:v>940</x:v>
      </x:c>
      <x:c r="B944" s="11" t="n">
        <x:v>471</x:v>
      </x:c>
      <x:c r="C944" s="18" t="n">
        <x:v>45782</x:v>
      </x:c>
      <x:c r="D944" s="11" t="str">
        <x:v>2025-05</x:v>
      </x:c>
      <x:c r="E944" s="11" t="str">
        <x:v>South</x:v>
      </x:c>
      <x:c r="F944" s="11" t="str">
        <x:v>Office Supplies</x:v>
      </x:c>
      <x:c r="G944" s="11" t="str">
        <x:v>Storage box</x:v>
      </x:c>
      <x:c r="H944" s="11" t="n">
        <x:v>3</x:v>
      </x:c>
      <x:c r="I944" s="19" t="n">
        <x:v>0.15</x:v>
      </x:c>
      <x:c r="J944" s="11" t="n">
        <x:v>0</x:v>
      </x:c>
      <x:c r="K944" s="20" t="n">
        <x:v>78</x:v>
      </x:c>
      <x:c r="L944" s="20" t="n">
        <x:v>11.7</x:v>
      </x:c>
      <x:c r="M944" s="20" t="n">
        <x:v>36</x:v>
      </x:c>
      <x:c r="N944" s="20" t="n">
        <x:f>IF(J944=1,0,K944-L944)</x:f>
        <x:v>66.3</x:v>
      </x:c>
      <x:c r="O944" s="20" t="n">
        <x:f>N944-M944</x:f>
        <x:v>30.299999999999997</x:v>
      </x:c>
    </x:row>
    <x:row r="945" ht="22" customHeight="1">
      <x:c r="A945" s="11" t="n">
        <x:v>941</x:v>
      </x:c>
      <x:c r="B945" s="11" t="n">
        <x:v>472</x:v>
      </x:c>
      <x:c r="C945" s="18" t="n">
        <x:v>45615</x:v>
      </x:c>
      <x:c r="D945" s="11" t="str">
        <x:v>2024-11</x:v>
      </x:c>
      <x:c r="E945" s="11" t="str">
        <x:v>South</x:v>
      </x:c>
      <x:c r="F945" s="11" t="str">
        <x:v>Office Supplies</x:v>
      </x:c>
      <x:c r="G945" s="11" t="str">
        <x:v>Notebook pack</x:v>
      </x:c>
      <x:c r="H945" s="11" t="n">
        <x:v>3</x:v>
      </x:c>
      <x:c r="I945" s="19" t="n">
        <x:v>0.05</x:v>
      </x:c>
      <x:c r="J945" s="11" t="n">
        <x:v>0</x:v>
      </x:c>
      <x:c r="K945" s="20" t="n">
        <x:v>54</x:v>
      </x:c>
      <x:c r="L945" s="20" t="n">
        <x:v>2.7</x:v>
      </x:c>
      <x:c r="M945" s="20" t="n">
        <x:v>21</x:v>
      </x:c>
      <x:c r="N945" s="20" t="n">
        <x:f>IF(J945=1,0,K945-L945)</x:f>
        <x:v>51.3</x:v>
      </x:c>
      <x:c r="O945" s="20" t="n">
        <x:f>N945-M945</x:f>
        <x:v>30.299999999999997</x:v>
      </x:c>
    </x:row>
    <x:row r="946" ht="22" customHeight="1">
      <x:c r="A946" s="11" t="n">
        <x:v>942</x:v>
      </x:c>
      <x:c r="B946" s="11" t="n">
        <x:v>473</x:v>
      </x:c>
      <x:c r="C946" s="18" t="n">
        <x:v>45444</x:v>
      </x:c>
      <x:c r="D946" s="11" t="str">
        <x:v>2024-06</x:v>
      </x:c>
      <x:c r="E946" s="11" t="str">
        <x:v>West</x:v>
      </x:c>
      <x:c r="F946" s="11" t="str">
        <x:v>Technology</x:v>
      </x:c>
      <x:c r="G946" s="11" t="str">
        <x:v>Keyboard</x:v>
      </x:c>
      <x:c r="H946" s="11" t="n">
        <x:v>2</x:v>
      </x:c>
      <x:c r="I946" s="19" t="n">
        <x:v>0.15</x:v>
      </x:c>
      <x:c r="J946" s="11" t="n">
        <x:v>0</x:v>
      </x:c>
      <x:c r="K946" s="20" t="n">
        <x:v>130</x:v>
      </x:c>
      <x:c r="L946" s="20" t="n">
        <x:v>19.5</x:v>
      </x:c>
      <x:c r="M946" s="20" t="n">
        <x:v>64</x:v>
      </x:c>
      <x:c r="N946" s="20" t="n">
        <x:f>IF(J946=1,0,K946-L946)</x:f>
        <x:v>110.5</x:v>
      </x:c>
      <x:c r="O946" s="20" t="n">
        <x:f>N946-M946</x:f>
        <x:v>46.5</x:v>
      </x:c>
    </x:row>
    <x:row r="947" ht="22" customHeight="1">
      <x:c r="A947" s="11" t="n">
        <x:v>943</x:v>
      </x:c>
      <x:c r="B947" s="11" t="n">
        <x:v>473</x:v>
      </x:c>
      <x:c r="C947" s="18" t="n">
        <x:v>45444</x:v>
      </x:c>
      <x:c r="D947" s="11" t="str">
        <x:v>2024-06</x:v>
      </x:c>
      <x:c r="E947" s="11" t="str">
        <x:v>West</x:v>
      </x:c>
      <x:c r="F947" s="11" t="str">
        <x:v>Office Supplies</x:v>
      </x:c>
      <x:c r="G947" s="11" t="str">
        <x:v>Notebook pack</x:v>
      </x:c>
      <x:c r="H947" s="11" t="n">
        <x:v>2</x:v>
      </x:c>
      <x:c r="I947" s="19" t="n">
        <x:v>0.15</x:v>
      </x:c>
      <x:c r="J947" s="11" t="n">
        <x:v>0</x:v>
      </x:c>
      <x:c r="K947" s="20" t="n">
        <x:v>36</x:v>
      </x:c>
      <x:c r="L947" s="20" t="n">
        <x:v>5.4</x:v>
      </x:c>
      <x:c r="M947" s="20" t="n">
        <x:v>14</x:v>
      </x:c>
      <x:c r="N947" s="20" t="n">
        <x:f>IF(J947=1,0,K947-L947)</x:f>
        <x:v>30.6</x:v>
      </x:c>
      <x:c r="O947" s="20" t="n">
        <x:f>N947-M947</x:f>
        <x:v>16.6</x:v>
      </x:c>
    </x:row>
    <x:row r="948" ht="22" customHeight="1">
      <x:c r="A948" s="11" t="n">
        <x:v>944</x:v>
      </x:c>
      <x:c r="B948" s="11" t="n">
        <x:v>474</x:v>
      </x:c>
      <x:c r="C948" s="18" t="n">
        <x:v>45607</x:v>
      </x:c>
      <x:c r="D948" s="11" t="str">
        <x:v>2024-11</x:v>
      </x:c>
      <x:c r="E948" s="11" t="str">
        <x:v>South</x:v>
      </x:c>
      <x:c r="F948" s="11" t="str">
        <x:v>Furniture</x:v>
      </x:c>
      <x:c r="G948" s="11" t="str">
        <x:v>Desk</x:v>
      </x:c>
      <x:c r="H948" s="11" t="n">
        <x:v>1</x:v>
      </x:c>
      <x:c r="I948" s="19" t="n">
        <x:v>0.35</x:v>
      </x:c>
      <x:c r="J948" s="11" t="n">
        <x:v>0</x:v>
      </x:c>
      <x:c r="K948" s="20" t="n">
        <x:v>280</x:v>
      </x:c>
      <x:c r="L948" s="20" t="n">
        <x:v>98</x:v>
      </x:c>
      <x:c r="M948" s="20" t="n">
        <x:v>190</x:v>
      </x:c>
      <x:c r="N948" s="20" t="n">
        <x:f>IF(J948=1,0,K948-L948)</x:f>
        <x:v>182</x:v>
      </x:c>
      <x:c r="O948" s="20" t="n">
        <x:f>N948-M948</x:f>
        <x:v>-8</x:v>
      </x:c>
    </x:row>
    <x:row r="949" ht="22" customHeight="1">
      <x:c r="A949" s="11" t="n">
        <x:v>945</x:v>
      </x:c>
      <x:c r="B949" s="11" t="n">
        <x:v>474</x:v>
      </x:c>
      <x:c r="C949" s="18" t="n">
        <x:v>45607</x:v>
      </x:c>
      <x:c r="D949" s="11" t="str">
        <x:v>2024-11</x:v>
      </x:c>
      <x:c r="E949" s="11" t="str">
        <x:v>South</x:v>
      </x:c>
      <x:c r="F949" s="11" t="str">
        <x:v>Technology</x:v>
      </x:c>
      <x:c r="G949" s="11" t="str">
        <x:v>Monitor</x:v>
      </x:c>
      <x:c r="H949" s="11" t="n">
        <x:v>3</x:v>
      </x:c>
      <x:c r="I949" s="19" t="n">
        <x:v>0.1</x:v>
      </x:c>
      <x:c r="J949" s="11" t="n">
        <x:v>0</x:v>
      </x:c>
      <x:c r="K949" s="20" t="n">
        <x:v>720</x:v>
      </x:c>
      <x:c r="L949" s="20" t="n">
        <x:v>72</x:v>
      </x:c>
      <x:c r="M949" s="20" t="n">
        <x:v>480</x:v>
      </x:c>
      <x:c r="N949" s="20" t="n">
        <x:f>IF(J949=1,0,K949-L949)</x:f>
        <x:v>648</x:v>
      </x:c>
      <x:c r="O949" s="20" t="n">
        <x:f>N949-M949</x:f>
        <x:v>168</x:v>
      </x:c>
    </x:row>
    <x:row r="950" ht="22" customHeight="1">
      <x:c r="A950" s="11" t="n">
        <x:v>946</x:v>
      </x:c>
      <x:c r="B950" s="11" t="n">
        <x:v>474</x:v>
      </x:c>
      <x:c r="C950" s="18" t="n">
        <x:v>45607</x:v>
      </x:c>
      <x:c r="D950" s="11" t="str">
        <x:v>2024-11</x:v>
      </x:c>
      <x:c r="E950" s="11" t="str">
        <x:v>South</x:v>
      </x:c>
      <x:c r="F950" s="11" t="str">
        <x:v>Technology</x:v>
      </x:c>
      <x:c r="G950" s="11" t="str">
        <x:v>Keyboard</x:v>
      </x:c>
      <x:c r="H950" s="11" t="n">
        <x:v>3</x:v>
      </x:c>
      <x:c r="I950" s="19" t="n">
        <x:v>0</x:v>
      </x:c>
      <x:c r="J950" s="11" t="n">
        <x:v>0</x:v>
      </x:c>
      <x:c r="K950" s="20" t="n">
        <x:v>195</x:v>
      </x:c>
      <x:c r="L950" s="20" t="n">
        <x:v>0</x:v>
      </x:c>
      <x:c r="M950" s="20" t="n">
        <x:v>96</x:v>
      </x:c>
      <x:c r="N950" s="20" t="n">
        <x:f>IF(J950=1,0,K950-L950)</x:f>
        <x:v>195</x:v>
      </x:c>
      <x:c r="O950" s="20" t="n">
        <x:f>N950-M950</x:f>
        <x:v>99</x:v>
      </x:c>
    </x:row>
    <x:row r="951" ht="22" customHeight="1">
      <x:c r="A951" s="11" t="n">
        <x:v>947</x:v>
      </x:c>
      <x:c r="B951" s="11" t="n">
        <x:v>475</x:v>
      </x:c>
      <x:c r="C951" s="18" t="n">
        <x:v>45471</x:v>
      </x:c>
      <x:c r="D951" s="11" t="str">
        <x:v>2024-06</x:v>
      </x:c>
      <x:c r="E951" s="11" t="str">
        <x:v>Central</x:v>
      </x:c>
      <x:c r="F951" s="11" t="str">
        <x:v>Furniture</x:v>
      </x:c>
      <x:c r="G951" s="11" t="str">
        <x:v>Chair</x:v>
      </x:c>
      <x:c r="H951" s="11" t="n">
        <x:v>1</x:v>
      </x:c>
      <x:c r="I951" s="19" t="n">
        <x:v>0.35</x:v>
      </x:c>
      <x:c r="J951" s="11" t="n">
        <x:v>0</x:v>
      </x:c>
      <x:c r="K951" s="20" t="n">
        <x:v>170</x:v>
      </x:c>
      <x:c r="L951" s="20" t="n">
        <x:v>59.5</x:v>
      </x:c>
      <x:c r="M951" s="20" t="n">
        <x:v>110</x:v>
      </x:c>
      <x:c r="N951" s="20" t="n">
        <x:f>IF(J951=1,0,K951-L951)</x:f>
        <x:v>110.5</x:v>
      </x:c>
      <x:c r="O951" s="20" t="n">
        <x:f>N951-M951</x:f>
        <x:v>0.5</x:v>
      </x:c>
    </x:row>
    <x:row r="952" ht="22" customHeight="1">
      <x:c r="A952" s="11" t="n">
        <x:v>948</x:v>
      </x:c>
      <x:c r="B952" s="11" t="n">
        <x:v>476</x:v>
      </x:c>
      <x:c r="C952" s="18" t="n">
        <x:v>45786</x:v>
      </x:c>
      <x:c r="D952" s="11" t="str">
        <x:v>2025-05</x:v>
      </x:c>
      <x:c r="E952" s="11" t="str">
        <x:v>South</x:v>
      </x:c>
      <x:c r="F952" s="11" t="str">
        <x:v>Technology</x:v>
      </x:c>
      <x:c r="G952" s="11" t="str">
        <x:v>Monitor</x:v>
      </x:c>
      <x:c r="H952" s="11" t="n">
        <x:v>4</x:v>
      </x:c>
      <x:c r="I952" s="19" t="n">
        <x:v>0.15</x:v>
      </x:c>
      <x:c r="J952" s="11" t="n">
        <x:v>0</x:v>
      </x:c>
      <x:c r="K952" s="20" t="n">
        <x:v>960</x:v>
      </x:c>
      <x:c r="L952" s="20" t="n">
        <x:v>144</x:v>
      </x:c>
      <x:c r="M952" s="20" t="n">
        <x:v>640</x:v>
      </x:c>
      <x:c r="N952" s="20" t="n">
        <x:f>IF(J952=1,0,K952-L952)</x:f>
        <x:v>816</x:v>
      </x:c>
      <x:c r="O952" s="20" t="n">
        <x:f>N952-M952</x:f>
        <x:v>176</x:v>
      </x:c>
    </x:row>
    <x:row r="953" ht="22" customHeight="1">
      <x:c r="A953" s="11" t="n">
        <x:v>949</x:v>
      </x:c>
      <x:c r="B953" s="11" t="n">
        <x:v>477</x:v>
      </x:c>
      <x:c r="C953" s="18" t="n">
        <x:v>45627</x:v>
      </x:c>
      <x:c r="D953" s="11" t="str">
        <x:v>2024-12</x:v>
      </x:c>
      <x:c r="E953" s="11" t="str">
        <x:v>South</x:v>
      </x:c>
      <x:c r="F953" s="11" t="str">
        <x:v>Office Supplies</x:v>
      </x:c>
      <x:c r="G953" s="11" t="str">
        <x:v>Storage box</x:v>
      </x:c>
      <x:c r="H953" s="11" t="n">
        <x:v>1</x:v>
      </x:c>
      <x:c r="I953" s="19" t="n">
        <x:v>0.1</x:v>
      </x:c>
      <x:c r="J953" s="11" t="n">
        <x:v>0</x:v>
      </x:c>
      <x:c r="K953" s="20" t="n">
        <x:v>26</x:v>
      </x:c>
      <x:c r="L953" s="20" t="n">
        <x:v>2.6</x:v>
      </x:c>
      <x:c r="M953" s="20" t="n">
        <x:v>12</x:v>
      </x:c>
      <x:c r="N953" s="20" t="n">
        <x:f>IF(J953=1,0,K953-L953)</x:f>
        <x:v>23.4</x:v>
      </x:c>
      <x:c r="O953" s="20" t="n">
        <x:f>N953-M953</x:f>
        <x:v>11.399999999999999</x:v>
      </x:c>
    </x:row>
    <x:row r="954" ht="22" customHeight="1">
      <x:c r="A954" s="11" t="n">
        <x:v>950</x:v>
      </x:c>
      <x:c r="B954" s="11" t="n">
        <x:v>477</x:v>
      </x:c>
      <x:c r="C954" s="18" t="n">
        <x:v>45627</x:v>
      </x:c>
      <x:c r="D954" s="11" t="str">
        <x:v>2024-12</x:v>
      </x:c>
      <x:c r="E954" s="11" t="str">
        <x:v>South</x:v>
      </x:c>
      <x:c r="F954" s="11" t="str">
        <x:v>Furniture</x:v>
      </x:c>
      <x:c r="G954" s="11" t="str">
        <x:v>Chair</x:v>
      </x:c>
      <x:c r="H954" s="11" t="n">
        <x:v>5</x:v>
      </x:c>
      <x:c r="I954" s="19" t="n">
        <x:v>0</x:v>
      </x:c>
      <x:c r="J954" s="11" t="n">
        <x:v>1</x:v>
      </x:c>
      <x:c r="K954" s="20" t="n">
        <x:v>850</x:v>
      </x:c>
      <x:c r="L954" s="20" t="n">
        <x:v>0</x:v>
      </x:c>
      <x:c r="M954" s="20" t="n">
        <x:v>0</x:v>
      </x:c>
      <x:c r="N954" s="20" t="n">
        <x:f>IF(J954=1,0,K954-L954)</x:f>
        <x:v>0</x:v>
      </x:c>
      <x:c r="O954" s="20" t="n">
        <x:f>N954-M954</x:f>
        <x:v>0</x:v>
      </x:c>
    </x:row>
    <x:row r="955" ht="22" customHeight="1">
      <x:c r="A955" s="11" t="n">
        <x:v>951</x:v>
      </x:c>
      <x:c r="B955" s="11" t="n">
        <x:v>477</x:v>
      </x:c>
      <x:c r="C955" s="18" t="n">
        <x:v>45627</x:v>
      </x:c>
      <x:c r="D955" s="11" t="str">
        <x:v>2024-12</x:v>
      </x:c>
      <x:c r="E955" s="11" t="str">
        <x:v>South</x:v>
      </x:c>
      <x:c r="F955" s="11" t="str">
        <x:v>Office Supplies</x:v>
      </x:c>
      <x:c r="G955" s="11" t="str">
        <x:v>Notebook pack</x:v>
      </x:c>
      <x:c r="H955" s="11" t="n">
        <x:v>1</x:v>
      </x:c>
      <x:c r="I955" s="19" t="n">
        <x:v>0.15</x:v>
      </x:c>
      <x:c r="J955" s="11" t="n">
        <x:v>0</x:v>
      </x:c>
      <x:c r="K955" s="20" t="n">
        <x:v>18</x:v>
      </x:c>
      <x:c r="L955" s="20" t="n">
        <x:v>2.7</x:v>
      </x:c>
      <x:c r="M955" s="20" t="n">
        <x:v>7</x:v>
      </x:c>
      <x:c r="N955" s="20" t="n">
        <x:f>IF(J955=1,0,K955-L955)</x:f>
        <x:v>15.3</x:v>
      </x:c>
      <x:c r="O955" s="20" t="n">
        <x:f>N955-M955</x:f>
        <x:v>8.3</x:v>
      </x:c>
    </x:row>
    <x:row r="956" ht="22" customHeight="1">
      <x:c r="A956" s="11" t="n">
        <x:v>952</x:v>
      </x:c>
      <x:c r="B956" s="11" t="n">
        <x:v>478</x:v>
      </x:c>
      <x:c r="C956" s="18" t="n">
        <x:v>45633</x:v>
      </x:c>
      <x:c r="D956" s="11" t="str">
        <x:v>2024-12</x:v>
      </x:c>
      <x:c r="E956" s="11" t="str">
        <x:v>East</x:v>
      </x:c>
      <x:c r="F956" s="11" t="str">
        <x:v>Office Supplies</x:v>
      </x:c>
      <x:c r="G956" s="11" t="str">
        <x:v>Notebook pack</x:v>
      </x:c>
      <x:c r="H956" s="11" t="n">
        <x:v>3</x:v>
      </x:c>
      <x:c r="I956" s="19" t="n">
        <x:v>0</x:v>
      </x:c>
      <x:c r="J956" s="11" t="n">
        <x:v>0</x:v>
      </x:c>
      <x:c r="K956" s="20" t="n">
        <x:v>54</x:v>
      </x:c>
      <x:c r="L956" s="20" t="n">
        <x:v>0</x:v>
      </x:c>
      <x:c r="M956" s="20" t="n">
        <x:v>21</x:v>
      </x:c>
      <x:c r="N956" s="20" t="n">
        <x:f>IF(J956=1,0,K956-L956)</x:f>
        <x:v>54</x:v>
      </x:c>
      <x:c r="O956" s="20" t="n">
        <x:f>N956-M956</x:f>
        <x:v>33</x:v>
      </x:c>
    </x:row>
    <x:row r="957" ht="22" customHeight="1">
      <x:c r="A957" s="11" t="n">
        <x:v>953</x:v>
      </x:c>
      <x:c r="B957" s="11" t="n">
        <x:v>479</x:v>
      </x:c>
      <x:c r="C957" s="18" t="n">
        <x:v>45611</x:v>
      </x:c>
      <x:c r="D957" s="11" t="str">
        <x:v>2024-11</x:v>
      </x:c>
      <x:c r="E957" s="11" t="str">
        <x:v>West</x:v>
      </x:c>
      <x:c r="F957" s="11" t="str">
        <x:v>Furniture</x:v>
      </x:c>
      <x:c r="G957" s="11" t="str">
        <x:v>Chair</x:v>
      </x:c>
      <x:c r="H957" s="11" t="n">
        <x:v>3</x:v>
      </x:c>
      <x:c r="I957" s="19" t="n">
        <x:v>0.1</x:v>
      </x:c>
      <x:c r="J957" s="11" t="n">
        <x:v>0</x:v>
      </x:c>
      <x:c r="K957" s="20" t="n">
        <x:v>510</x:v>
      </x:c>
      <x:c r="L957" s="20" t="n">
        <x:v>51</x:v>
      </x:c>
      <x:c r="M957" s="20" t="n">
        <x:v>330</x:v>
      </x:c>
      <x:c r="N957" s="20" t="n">
        <x:f>IF(J957=1,0,K957-L957)</x:f>
        <x:v>459</x:v>
      </x:c>
      <x:c r="O957" s="20" t="n">
        <x:f>N957-M957</x:f>
        <x:v>129</x:v>
      </x:c>
    </x:row>
    <x:row r="958" ht="22" customHeight="1">
      <x:c r="A958" s="11" t="n">
        <x:v>954</x:v>
      </x:c>
      <x:c r="B958" s="11" t="n">
        <x:v>479</x:v>
      </x:c>
      <x:c r="C958" s="18" t="n">
        <x:v>45611</x:v>
      </x:c>
      <x:c r="D958" s="11" t="str">
        <x:v>2024-11</x:v>
      </x:c>
      <x:c r="E958" s="11" t="str">
        <x:v>West</x:v>
      </x:c>
      <x:c r="F958" s="11" t="str">
        <x:v>Office Supplies</x:v>
      </x:c>
      <x:c r="G958" s="11" t="str">
        <x:v>Storage box</x:v>
      </x:c>
      <x:c r="H958" s="11" t="n">
        <x:v>4</x:v>
      </x:c>
      <x:c r="I958" s="19" t="n">
        <x:v>0</x:v>
      </x:c>
      <x:c r="J958" s="11" t="n">
        <x:v>0</x:v>
      </x:c>
      <x:c r="K958" s="20" t="n">
        <x:v>104</x:v>
      </x:c>
      <x:c r="L958" s="20" t="n">
        <x:v>0</x:v>
      </x:c>
      <x:c r="M958" s="20" t="n">
        <x:v>48</x:v>
      </x:c>
      <x:c r="N958" s="20" t="n">
        <x:f>IF(J958=1,0,K958-L958)</x:f>
        <x:v>104</x:v>
      </x:c>
      <x:c r="O958" s="20" t="n">
        <x:f>N958-M958</x:f>
        <x:v>56</x:v>
      </x:c>
    </x:row>
    <x:row r="959" ht="22" customHeight="1">
      <x:c r="A959" s="11" t="n">
        <x:v>955</x:v>
      </x:c>
      <x:c r="B959" s="11" t="n">
        <x:v>480</x:v>
      </x:c>
      <x:c r="C959" s="18" t="n">
        <x:v>45453</x:v>
      </x:c>
      <x:c r="D959" s="11" t="str">
        <x:v>2024-06</x:v>
      </x:c>
      <x:c r="E959" s="11" t="str">
        <x:v>South</x:v>
      </x:c>
      <x:c r="F959" s="11" t="str">
        <x:v>Office Supplies</x:v>
      </x:c>
      <x:c r="G959" s="11" t="str">
        <x:v>Notebook pack</x:v>
      </x:c>
      <x:c r="H959" s="11" t="n">
        <x:v>5</x:v>
      </x:c>
      <x:c r="I959" s="19" t="n">
        <x:v>0.15</x:v>
      </x:c>
      <x:c r="J959" s="11" t="n">
        <x:v>0</x:v>
      </x:c>
      <x:c r="K959" s="20" t="n">
        <x:v>90</x:v>
      </x:c>
      <x:c r="L959" s="20" t="n">
        <x:v>13.5</x:v>
      </x:c>
      <x:c r="M959" s="20" t="n">
        <x:v>35</x:v>
      </x:c>
      <x:c r="N959" s="20" t="n">
        <x:f>IF(J959=1,0,K959-L959)</x:f>
        <x:v>76.5</x:v>
      </x:c>
      <x:c r="O959" s="20" t="n">
        <x:f>N959-M959</x:f>
        <x:v>41.5</x:v>
      </x:c>
    </x:row>
    <x:row r="960" ht="22" customHeight="1">
      <x:c r="A960" s="11" t="n">
        <x:v>956</x:v>
      </x:c>
      <x:c r="B960" s="11" t="n">
        <x:v>481</x:v>
      </x:c>
      <x:c r="C960" s="18" t="n">
        <x:v>45847</x:v>
      </x:c>
      <x:c r="D960" s="11" t="str">
        <x:v>2025-07</x:v>
      </x:c>
      <x:c r="E960" s="11" t="str">
        <x:v>South</x:v>
      </x:c>
      <x:c r="F960" s="11" t="str">
        <x:v>Furniture</x:v>
      </x:c>
      <x:c r="G960" s="11" t="str">
        <x:v>Chair</x:v>
      </x:c>
      <x:c r="H960" s="11" t="n">
        <x:v>5</x:v>
      </x:c>
      <x:c r="I960" s="19" t="n">
        <x:v>0.05</x:v>
      </x:c>
      <x:c r="J960" s="11" t="n">
        <x:v>0</x:v>
      </x:c>
      <x:c r="K960" s="20" t="n">
        <x:v>850</x:v>
      </x:c>
      <x:c r="L960" s="20" t="n">
        <x:v>42.5</x:v>
      </x:c>
      <x:c r="M960" s="20" t="n">
        <x:v>550</x:v>
      </x:c>
      <x:c r="N960" s="20" t="n">
        <x:f>IF(J960=1,0,K960-L960)</x:f>
        <x:v>807.5</x:v>
      </x:c>
      <x:c r="O960" s="20" t="n">
        <x:f>N960-M960</x:f>
        <x:v>257.5</x:v>
      </x:c>
    </x:row>
    <x:row r="961" ht="22" customHeight="1">
      <x:c r="A961" s="11" t="n">
        <x:v>957</x:v>
      </x:c>
      <x:c r="B961" s="11" t="n">
        <x:v>481</x:v>
      </x:c>
      <x:c r="C961" s="18" t="n">
        <x:v>45847</x:v>
      </x:c>
      <x:c r="D961" s="11" t="str">
        <x:v>2025-07</x:v>
      </x:c>
      <x:c r="E961" s="11" t="str">
        <x:v>South</x:v>
      </x:c>
      <x:c r="F961" s="11" t="str">
        <x:v>Technology</x:v>
      </x:c>
      <x:c r="G961" s="11" t="str">
        <x:v>Monitor</x:v>
      </x:c>
      <x:c r="H961" s="11" t="n">
        <x:v>3</x:v>
      </x:c>
      <x:c r="I961" s="19" t="n">
        <x:v>0.15</x:v>
      </x:c>
      <x:c r="J961" s="11" t="n">
        <x:v>0</x:v>
      </x:c>
      <x:c r="K961" s="20" t="n">
        <x:v>720</x:v>
      </x:c>
      <x:c r="L961" s="20" t="n">
        <x:v>108</x:v>
      </x:c>
      <x:c r="M961" s="20" t="n">
        <x:v>480</x:v>
      </x:c>
      <x:c r="N961" s="20" t="n">
        <x:f>IF(J961=1,0,K961-L961)</x:f>
        <x:v>612</x:v>
      </x:c>
      <x:c r="O961" s="20" t="n">
        <x:f>N961-M961</x:f>
        <x:v>132</x:v>
      </x:c>
    </x:row>
    <x:row r="962" ht="22" customHeight="1">
      <x:c r="A962" s="11" t="n">
        <x:v>958</x:v>
      </x:c>
      <x:c r="B962" s="11" t="n">
        <x:v>482</x:v>
      </x:c>
      <x:c r="C962" s="18" t="n">
        <x:v>45845</x:v>
      </x:c>
      <x:c r="D962" s="11" t="str">
        <x:v>2025-07</x:v>
      </x:c>
      <x:c r="E962" s="11" t="str">
        <x:v>Central</x:v>
      </x:c>
      <x:c r="F962" s="11" t="str">
        <x:v>Furniture</x:v>
      </x:c>
      <x:c r="G962" s="11" t="str">
        <x:v>Desk</x:v>
      </x:c>
      <x:c r="H962" s="11" t="n">
        <x:v>4</x:v>
      </x:c>
      <x:c r="I962" s="19" t="n">
        <x:v>0</x:v>
      </x:c>
      <x:c r="J962" s="11" t="n">
        <x:v>0</x:v>
      </x:c>
      <x:c r="K962" s="20" t="n">
        <x:v>1120</x:v>
      </x:c>
      <x:c r="L962" s="20" t="n">
        <x:v>0</x:v>
      </x:c>
      <x:c r="M962" s="20" t="n">
        <x:v>760</x:v>
      </x:c>
      <x:c r="N962" s="20" t="n">
        <x:f>IF(J962=1,0,K962-L962)</x:f>
        <x:v>1120</x:v>
      </x:c>
      <x:c r="O962" s="20" t="n">
        <x:f>N962-M962</x:f>
        <x:v>360</x:v>
      </x:c>
    </x:row>
    <x:row r="963" ht="22" customHeight="1">
      <x:c r="A963" s="11" t="n">
        <x:v>959</x:v>
      </x:c>
      <x:c r="B963" s="11" t="n">
        <x:v>483</x:v>
      </x:c>
      <x:c r="C963" s="18" t="n">
        <x:v>45347</x:v>
      </x:c>
      <x:c r="D963" s="11" t="str">
        <x:v>2024-02</x:v>
      </x:c>
      <x:c r="E963" s="11" t="str">
        <x:v>East</x:v>
      </x:c>
      <x:c r="F963" s="11" t="str">
        <x:v>Furniture</x:v>
      </x:c>
      <x:c r="G963" s="11" t="str">
        <x:v>Chair</x:v>
      </x:c>
      <x:c r="H963" s="11" t="n">
        <x:v>5</x:v>
      </x:c>
      <x:c r="I963" s="19" t="n">
        <x:v>0.35</x:v>
      </x:c>
      <x:c r="J963" s="11" t="n">
        <x:v>0</x:v>
      </x:c>
      <x:c r="K963" s="20" t="n">
        <x:v>850</x:v>
      </x:c>
      <x:c r="L963" s="20" t="n">
        <x:v>297.5</x:v>
      </x:c>
      <x:c r="M963" s="20" t="n">
        <x:v>550</x:v>
      </x:c>
      <x:c r="N963" s="20" t="n">
        <x:f>IF(J963=1,0,K963-L963)</x:f>
        <x:v>552.5</x:v>
      </x:c>
      <x:c r="O963" s="20" t="n">
        <x:f>N963-M963</x:f>
        <x:v>2.5</x:v>
      </x:c>
    </x:row>
    <x:row r="964" ht="22" customHeight="1">
      <x:c r="A964" s="11" t="n">
        <x:v>960</x:v>
      </x:c>
      <x:c r="B964" s="11" t="n">
        <x:v>483</x:v>
      </x:c>
      <x:c r="C964" s="18" t="n">
        <x:v>45347</x:v>
      </x:c>
      <x:c r="D964" s="11" t="str">
        <x:v>2024-02</x:v>
      </x:c>
      <x:c r="E964" s="11" t="str">
        <x:v>East</x:v>
      </x:c>
      <x:c r="F964" s="11" t="str">
        <x:v>Office Supplies</x:v>
      </x:c>
      <x:c r="G964" s="11" t="str">
        <x:v>Notebook pack</x:v>
      </x:c>
      <x:c r="H964" s="11" t="n">
        <x:v>3</x:v>
      </x:c>
      <x:c r="I964" s="19" t="n">
        <x:v>0.05</x:v>
      </x:c>
      <x:c r="J964" s="11" t="n">
        <x:v>0</x:v>
      </x:c>
      <x:c r="K964" s="20" t="n">
        <x:v>54</x:v>
      </x:c>
      <x:c r="L964" s="20" t="n">
        <x:v>2.7</x:v>
      </x:c>
      <x:c r="M964" s="20" t="n">
        <x:v>21</x:v>
      </x:c>
      <x:c r="N964" s="20" t="n">
        <x:f>IF(J964=1,0,K964-L964)</x:f>
        <x:v>51.3</x:v>
      </x:c>
      <x:c r="O964" s="20" t="n">
        <x:f>N964-M964</x:f>
        <x:v>30.299999999999997</x:v>
      </x:c>
    </x:row>
    <x:row r="965" ht="22" customHeight="1">
      <x:c r="A965" s="11" t="n">
        <x:v>961</x:v>
      </x:c>
      <x:c r="B965" s="11" t="n">
        <x:v>484</x:v>
      </x:c>
      <x:c r="C965" s="18" t="n">
        <x:v>46022</x:v>
      </x:c>
      <x:c r="D965" s="11" t="str">
        <x:v>2025-12</x:v>
      </x:c>
      <x:c r="E965" s="11" t="str">
        <x:v>East</x:v>
      </x:c>
      <x:c r="F965" s="11" t="str">
        <x:v>Office Supplies</x:v>
      </x:c>
      <x:c r="G965" s="11" t="str">
        <x:v>Notebook pack</x:v>
      </x:c>
      <x:c r="H965" s="11" t="n">
        <x:v>1</x:v>
      </x:c>
      <x:c r="I965" s="19" t="n">
        <x:v>0.1</x:v>
      </x:c>
      <x:c r="J965" s="11" t="n">
        <x:v>0</x:v>
      </x:c>
      <x:c r="K965" s="20" t="n">
        <x:v>18</x:v>
      </x:c>
      <x:c r="L965" s="20" t="n">
        <x:v>1.8</x:v>
      </x:c>
      <x:c r="M965" s="20" t="n">
        <x:v>7</x:v>
      </x:c>
      <x:c r="N965" s="20" t="n">
        <x:f>IF(J965=1,0,K965-L965)</x:f>
        <x:v>16.2</x:v>
      </x:c>
      <x:c r="O965" s="20" t="n">
        <x:f>N965-M965</x:f>
        <x:v>9.2</x:v>
      </x:c>
    </x:row>
    <x:row r="966" ht="22" customHeight="1">
      <x:c r="A966" s="11" t="n">
        <x:v>962</x:v>
      </x:c>
      <x:c r="B966" s="11" t="n">
        <x:v>484</x:v>
      </x:c>
      <x:c r="C966" s="18" t="n">
        <x:v>46022</x:v>
      </x:c>
      <x:c r="D966" s="11" t="str">
        <x:v>2025-12</x:v>
      </x:c>
      <x:c r="E966" s="11" t="str">
        <x:v>East</x:v>
      </x:c>
      <x:c r="F966" s="11" t="str">
        <x:v>Furniture</x:v>
      </x:c>
      <x:c r="G966" s="11" t="str">
        <x:v>Chair</x:v>
      </x:c>
      <x:c r="H966" s="11" t="n">
        <x:v>3</x:v>
      </x:c>
      <x:c r="I966" s="19" t="n">
        <x:v>0.35</x:v>
      </x:c>
      <x:c r="J966" s="11" t="n">
        <x:v>0</x:v>
      </x:c>
      <x:c r="K966" s="20" t="n">
        <x:v>510</x:v>
      </x:c>
      <x:c r="L966" s="20" t="n">
        <x:v>178.5</x:v>
      </x:c>
      <x:c r="M966" s="20" t="n">
        <x:v>330</x:v>
      </x:c>
      <x:c r="N966" s="20" t="n">
        <x:f>IF(J966=1,0,K966-L966)</x:f>
        <x:v>331.5</x:v>
      </x:c>
      <x:c r="O966" s="20" t="n">
        <x:f>N966-M966</x:f>
        <x:v>1.5</x:v>
      </x:c>
    </x:row>
    <x:row r="967" ht="22" customHeight="1">
      <x:c r="A967" s="11" t="n">
        <x:v>963</x:v>
      </x:c>
      <x:c r="B967" s="11" t="n">
        <x:v>485</x:v>
      </x:c>
      <x:c r="C967" s="18" t="n">
        <x:v>45521</x:v>
      </x:c>
      <x:c r="D967" s="11" t="str">
        <x:v>2024-08</x:v>
      </x:c>
      <x:c r="E967" s="11" t="str">
        <x:v>South</x:v>
      </x:c>
      <x:c r="F967" s="11" t="str">
        <x:v>Technology</x:v>
      </x:c>
      <x:c r="G967" s="11" t="str">
        <x:v>Keyboard</x:v>
      </x:c>
      <x:c r="H967" s="11" t="n">
        <x:v>3</x:v>
      </x:c>
      <x:c r="I967" s="19" t="n">
        <x:v>0.05</x:v>
      </x:c>
      <x:c r="J967" s="11" t="n">
        <x:v>0</x:v>
      </x:c>
      <x:c r="K967" s="20" t="n">
        <x:v>195</x:v>
      </x:c>
      <x:c r="L967" s="20" t="n">
        <x:v>9.75</x:v>
      </x:c>
      <x:c r="M967" s="20" t="n">
        <x:v>96</x:v>
      </x:c>
      <x:c r="N967" s="20" t="n">
        <x:f>IF(J967=1,0,K967-L967)</x:f>
        <x:v>185.25</x:v>
      </x:c>
      <x:c r="O967" s="20" t="n">
        <x:f>N967-M967</x:f>
        <x:v>89.25</x:v>
      </x:c>
    </x:row>
    <x:row r="968" ht="22" customHeight="1">
      <x:c r="A968" s="11" t="n">
        <x:v>964</x:v>
      </x:c>
      <x:c r="B968" s="11" t="n">
        <x:v>485</x:v>
      </x:c>
      <x:c r="C968" s="18" t="n">
        <x:v>45521</x:v>
      </x:c>
      <x:c r="D968" s="11" t="str">
        <x:v>2024-08</x:v>
      </x:c>
      <x:c r="E968" s="11" t="str">
        <x:v>South</x:v>
      </x:c>
      <x:c r="F968" s="11" t="str">
        <x:v>Furniture</x:v>
      </x:c>
      <x:c r="G968" s="11" t="str">
        <x:v>Chair</x:v>
      </x:c>
      <x:c r="H968" s="11" t="n">
        <x:v>1</x:v>
      </x:c>
      <x:c r="I968" s="19" t="n">
        <x:v>0</x:v>
      </x:c>
      <x:c r="J968" s="11" t="n">
        <x:v>0</x:v>
      </x:c>
      <x:c r="K968" s="20" t="n">
        <x:v>170</x:v>
      </x:c>
      <x:c r="L968" s="20" t="n">
        <x:v>0</x:v>
      </x:c>
      <x:c r="M968" s="20" t="n">
        <x:v>110</x:v>
      </x:c>
      <x:c r="N968" s="20" t="n">
        <x:f>IF(J968=1,0,K968-L968)</x:f>
        <x:v>170</x:v>
      </x:c>
      <x:c r="O968" s="20" t="n">
        <x:f>N968-M968</x:f>
        <x:v>60</x:v>
      </x:c>
    </x:row>
    <x:row r="969" ht="22" customHeight="1">
      <x:c r="A969" s="11" t="n">
        <x:v>965</x:v>
      </x:c>
      <x:c r="B969" s="11" t="n">
        <x:v>486</x:v>
      </x:c>
      <x:c r="C969" s="18" t="n">
        <x:v>45651</x:v>
      </x:c>
      <x:c r="D969" s="11" t="str">
        <x:v>2024-12</x:v>
      </x:c>
      <x:c r="E969" s="11" t="str">
        <x:v>Central</x:v>
      </x:c>
      <x:c r="F969" s="11" t="str">
        <x:v>Technology</x:v>
      </x:c>
      <x:c r="G969" s="11" t="str">
        <x:v>Monitor</x:v>
      </x:c>
      <x:c r="H969" s="11" t="n">
        <x:v>3</x:v>
      </x:c>
      <x:c r="I969" s="19" t="n">
        <x:v>0.15</x:v>
      </x:c>
      <x:c r="J969" s="11" t="n">
        <x:v>0</x:v>
      </x:c>
      <x:c r="K969" s="20" t="n">
        <x:v>720</x:v>
      </x:c>
      <x:c r="L969" s="20" t="n">
        <x:v>108</x:v>
      </x:c>
      <x:c r="M969" s="20" t="n">
        <x:v>480</x:v>
      </x:c>
      <x:c r="N969" s="20" t="n">
        <x:f>IF(J969=1,0,K969-L969)</x:f>
        <x:v>612</x:v>
      </x:c>
      <x:c r="O969" s="20" t="n">
        <x:f>N969-M969</x:f>
        <x:v>132</x:v>
      </x:c>
    </x:row>
    <x:row r="970" ht="22" customHeight="1">
      <x:c r="A970" s="11" t="n">
        <x:v>966</x:v>
      </x:c>
      <x:c r="B970" s="11" t="n">
        <x:v>487</x:v>
      </x:c>
      <x:c r="C970" s="18" t="n">
        <x:v>45812</x:v>
      </x:c>
      <x:c r="D970" s="11" t="str">
        <x:v>2025-06</x:v>
      </x:c>
      <x:c r="E970" s="11" t="str">
        <x:v>South</x:v>
      </x:c>
      <x:c r="F970" s="11" t="str">
        <x:v>Furniture</x:v>
      </x:c>
      <x:c r="G970" s="11" t="str">
        <x:v>Desk</x:v>
      </x:c>
      <x:c r="H970" s="11" t="n">
        <x:v>3</x:v>
      </x:c>
      <x:c r="I970" s="19" t="n">
        <x:v>0.35</x:v>
      </x:c>
      <x:c r="J970" s="11" t="n">
        <x:v>0</x:v>
      </x:c>
      <x:c r="K970" s="20" t="n">
        <x:v>840</x:v>
      </x:c>
      <x:c r="L970" s="20" t="n">
        <x:v>294</x:v>
      </x:c>
      <x:c r="M970" s="20" t="n">
        <x:v>570</x:v>
      </x:c>
      <x:c r="N970" s="20" t="n">
        <x:f>IF(J970=1,0,K970-L970)</x:f>
        <x:v>546</x:v>
      </x:c>
      <x:c r="O970" s="20" t="n">
        <x:f>N970-M970</x:f>
        <x:v>-24</x:v>
      </x:c>
    </x:row>
    <x:row r="971" ht="22" customHeight="1">
      <x:c r="A971" s="11" t="n">
        <x:v>967</x:v>
      </x:c>
      <x:c r="B971" s="11" t="n">
        <x:v>487</x:v>
      </x:c>
      <x:c r="C971" s="18" t="n">
        <x:v>45812</x:v>
      </x:c>
      <x:c r="D971" s="11" t="str">
        <x:v>2025-06</x:v>
      </x:c>
      <x:c r="E971" s="11" t="str">
        <x:v>South</x:v>
      </x:c>
      <x:c r="F971" s="11" t="str">
        <x:v>Technology</x:v>
      </x:c>
      <x:c r="G971" s="11" t="str">
        <x:v>Monitor</x:v>
      </x:c>
      <x:c r="H971" s="11" t="n">
        <x:v>4</x:v>
      </x:c>
      <x:c r="I971" s="19" t="n">
        <x:v>0</x:v>
      </x:c>
      <x:c r="J971" s="11" t="n">
        <x:v>0</x:v>
      </x:c>
      <x:c r="K971" s="20" t="n">
        <x:v>960</x:v>
      </x:c>
      <x:c r="L971" s="20" t="n">
        <x:v>0</x:v>
      </x:c>
      <x:c r="M971" s="20" t="n">
        <x:v>640</x:v>
      </x:c>
      <x:c r="N971" s="20" t="n">
        <x:f>IF(J971=1,0,K971-L971)</x:f>
        <x:v>960</x:v>
      </x:c>
      <x:c r="O971" s="20" t="n">
        <x:f>N971-M971</x:f>
        <x:v>320</x:v>
      </x:c>
    </x:row>
    <x:row r="972" ht="22" customHeight="1">
      <x:c r="A972" s="11" t="n">
        <x:v>968</x:v>
      </x:c>
      <x:c r="B972" s="11" t="n">
        <x:v>487</x:v>
      </x:c>
      <x:c r="C972" s="18" t="n">
        <x:v>45812</x:v>
      </x:c>
      <x:c r="D972" s="11" t="str">
        <x:v>2025-06</x:v>
      </x:c>
      <x:c r="E972" s="11" t="str">
        <x:v>South</x:v>
      </x:c>
      <x:c r="F972" s="11" t="str">
        <x:v>Office Supplies</x:v>
      </x:c>
      <x:c r="G972" s="11" t="str">
        <x:v>Storage box</x:v>
      </x:c>
      <x:c r="H972" s="11" t="n">
        <x:v>5</x:v>
      </x:c>
      <x:c r="I972" s="19" t="n">
        <x:v>0</x:v>
      </x:c>
      <x:c r="J972" s="11" t="n">
        <x:v>0</x:v>
      </x:c>
      <x:c r="K972" s="20" t="n">
        <x:v>130</x:v>
      </x:c>
      <x:c r="L972" s="20" t="n">
        <x:v>0</x:v>
      </x:c>
      <x:c r="M972" s="20" t="n">
        <x:v>60</x:v>
      </x:c>
      <x:c r="N972" s="20" t="n">
        <x:f>IF(J972=1,0,K972-L972)</x:f>
        <x:v>130</x:v>
      </x:c>
      <x:c r="O972" s="20" t="n">
        <x:f>N972-M972</x:f>
        <x:v>70</x:v>
      </x:c>
    </x:row>
    <x:row r="973" ht="22" customHeight="1">
      <x:c r="A973" s="11" t="n">
        <x:v>969</x:v>
      </x:c>
      <x:c r="B973" s="11" t="n">
        <x:v>488</x:v>
      </x:c>
      <x:c r="C973" s="18" t="n">
        <x:v>45685</x:v>
      </x:c>
      <x:c r="D973" s="11" t="str">
        <x:v>2025-01</x:v>
      </x:c>
      <x:c r="E973" s="11" t="str">
        <x:v>Central</x:v>
      </x:c>
      <x:c r="F973" s="11" t="str">
        <x:v>Office Supplies</x:v>
      </x:c>
      <x:c r="G973" s="11" t="str">
        <x:v>Storage box</x:v>
      </x:c>
      <x:c r="H973" s="11" t="n">
        <x:v>5</x:v>
      </x:c>
      <x:c r="I973" s="19" t="n">
        <x:v>0.1</x:v>
      </x:c>
      <x:c r="J973" s="11" t="n">
        <x:v>0</x:v>
      </x:c>
      <x:c r="K973" s="20" t="n">
        <x:v>130</x:v>
      </x:c>
      <x:c r="L973" s="20" t="n">
        <x:v>13</x:v>
      </x:c>
      <x:c r="M973" s="20" t="n">
        <x:v>60</x:v>
      </x:c>
      <x:c r="N973" s="20" t="n">
        <x:f>IF(J973=1,0,K973-L973)</x:f>
        <x:v>117</x:v>
      </x:c>
      <x:c r="O973" s="20" t="n">
        <x:f>N973-M973</x:f>
        <x:v>57</x:v>
      </x:c>
    </x:row>
    <x:row r="974" ht="22" customHeight="1">
      <x:c r="A974" s="11" t="n">
        <x:v>970</x:v>
      </x:c>
      <x:c r="B974" s="11" t="n">
        <x:v>489</x:v>
      </x:c>
      <x:c r="C974" s="18" t="n">
        <x:v>45737</x:v>
      </x:c>
      <x:c r="D974" s="11" t="str">
        <x:v>2025-03</x:v>
      </x:c>
      <x:c r="E974" s="11" t="str">
        <x:v>East</x:v>
      </x:c>
      <x:c r="F974" s="11" t="str">
        <x:v>Office Supplies</x:v>
      </x:c>
      <x:c r="G974" s="11" t="str">
        <x:v>Storage box</x:v>
      </x:c>
      <x:c r="H974" s="11" t="n">
        <x:v>1</x:v>
      </x:c>
      <x:c r="I974" s="19" t="n">
        <x:v>0.15</x:v>
      </x:c>
      <x:c r="J974" s="11" t="n">
        <x:v>0</x:v>
      </x:c>
      <x:c r="K974" s="20" t="n">
        <x:v>26</x:v>
      </x:c>
      <x:c r="L974" s="20" t="n">
        <x:v>3.9</x:v>
      </x:c>
      <x:c r="M974" s="20" t="n">
        <x:v>12</x:v>
      </x:c>
      <x:c r="N974" s="20" t="n">
        <x:f>IF(J974=1,0,K974-L974)</x:f>
        <x:v>22.1</x:v>
      </x:c>
      <x:c r="O974" s="20" t="n">
        <x:f>N974-M974</x:f>
        <x:v>10.100000000000001</x:v>
      </x:c>
    </x:row>
    <x:row r="975" ht="22" customHeight="1">
      <x:c r="A975" s="11" t="n">
        <x:v>971</x:v>
      </x:c>
      <x:c r="B975" s="11" t="n">
        <x:v>489</x:v>
      </x:c>
      <x:c r="C975" s="18" t="n">
        <x:v>45737</x:v>
      </x:c>
      <x:c r="D975" s="11" t="str">
        <x:v>2025-03</x:v>
      </x:c>
      <x:c r="E975" s="11" t="str">
        <x:v>East</x:v>
      </x:c>
      <x:c r="F975" s="11" t="str">
        <x:v>Furniture</x:v>
      </x:c>
      <x:c r="G975" s="11" t="str">
        <x:v>Chair</x:v>
      </x:c>
      <x:c r="H975" s="11" t="n">
        <x:v>1</x:v>
      </x:c>
      <x:c r="I975" s="19" t="n">
        <x:v>0.35</x:v>
      </x:c>
      <x:c r="J975" s="11" t="n">
        <x:v>0</x:v>
      </x:c>
      <x:c r="K975" s="20" t="n">
        <x:v>170</x:v>
      </x:c>
      <x:c r="L975" s="20" t="n">
        <x:v>59.5</x:v>
      </x:c>
      <x:c r="M975" s="20" t="n">
        <x:v>110</x:v>
      </x:c>
      <x:c r="N975" s="20" t="n">
        <x:f>IF(J975=1,0,K975-L975)</x:f>
        <x:v>110.5</x:v>
      </x:c>
      <x:c r="O975" s="20" t="n">
        <x:f>N975-M975</x:f>
        <x:v>0.5</x:v>
      </x:c>
    </x:row>
    <x:row r="976" ht="22" customHeight="1">
      <x:c r="A976" s="11" t="n">
        <x:v>972</x:v>
      </x:c>
      <x:c r="B976" s="11" t="n">
        <x:v>489</x:v>
      </x:c>
      <x:c r="C976" s="18" t="n">
        <x:v>45737</x:v>
      </x:c>
      <x:c r="D976" s="11" t="str">
        <x:v>2025-03</x:v>
      </x:c>
      <x:c r="E976" s="11" t="str">
        <x:v>East</x:v>
      </x:c>
      <x:c r="F976" s="11" t="str">
        <x:v>Office Supplies</x:v>
      </x:c>
      <x:c r="G976" s="11" t="str">
        <x:v>Notebook pack</x:v>
      </x:c>
      <x:c r="H976" s="11" t="n">
        <x:v>1</x:v>
      </x:c>
      <x:c r="I976" s="19" t="n">
        <x:v>0.1</x:v>
      </x:c>
      <x:c r="J976" s="11" t="n">
        <x:v>0</x:v>
      </x:c>
      <x:c r="K976" s="20" t="n">
        <x:v>18</x:v>
      </x:c>
      <x:c r="L976" s="20" t="n">
        <x:v>1.8</x:v>
      </x:c>
      <x:c r="M976" s="20" t="n">
        <x:v>7</x:v>
      </x:c>
      <x:c r="N976" s="20" t="n">
        <x:f>IF(J976=1,0,K976-L976)</x:f>
        <x:v>16.2</x:v>
      </x:c>
      <x:c r="O976" s="20" t="n">
        <x:f>N976-M976</x:f>
        <x:v>9.2</x:v>
      </x:c>
    </x:row>
    <x:row r="977" ht="22" customHeight="1">
      <x:c r="A977" s="11" t="n">
        <x:v>973</x:v>
      </x:c>
      <x:c r="B977" s="11" t="n">
        <x:v>490</x:v>
      </x:c>
      <x:c r="C977" s="18" t="n">
        <x:v>45707</x:v>
      </x:c>
      <x:c r="D977" s="11" t="str">
        <x:v>2025-02</x:v>
      </x:c>
      <x:c r="E977" s="11" t="str">
        <x:v>Central</x:v>
      </x:c>
      <x:c r="F977" s="11" t="str">
        <x:v>Office Supplies</x:v>
      </x:c>
      <x:c r="G977" s="11" t="str">
        <x:v>Notebook pack</x:v>
      </x:c>
      <x:c r="H977" s="11" t="n">
        <x:v>4</x:v>
      </x:c>
      <x:c r="I977" s="19" t="n">
        <x:v>0</x:v>
      </x:c>
      <x:c r="J977" s="11" t="n">
        <x:v>0</x:v>
      </x:c>
      <x:c r="K977" s="20" t="n">
        <x:v>72</x:v>
      </x:c>
      <x:c r="L977" s="20" t="n">
        <x:v>0</x:v>
      </x:c>
      <x:c r="M977" s="20" t="n">
        <x:v>28</x:v>
      </x:c>
      <x:c r="N977" s="20" t="n">
        <x:f>IF(J977=1,0,K977-L977)</x:f>
        <x:v>72</x:v>
      </x:c>
      <x:c r="O977" s="20" t="n">
        <x:f>N977-M977</x:f>
        <x:v>44</x:v>
      </x:c>
    </x:row>
    <x:row r="978" ht="22" customHeight="1">
      <x:c r="A978" s="11" t="n">
        <x:v>974</x:v>
      </x:c>
      <x:c r="B978" s="11" t="n">
        <x:v>490</x:v>
      </x:c>
      <x:c r="C978" s="18" t="n">
        <x:v>45707</x:v>
      </x:c>
      <x:c r="D978" s="11" t="str">
        <x:v>2025-02</x:v>
      </x:c>
      <x:c r="E978" s="11" t="str">
        <x:v>Central</x:v>
      </x:c>
      <x:c r="F978" s="11" t="str">
        <x:v>Technology</x:v>
      </x:c>
      <x:c r="G978" s="11" t="str">
        <x:v>Keyboard</x:v>
      </x:c>
      <x:c r="H978" s="11" t="n">
        <x:v>2</x:v>
      </x:c>
      <x:c r="I978" s="19" t="n">
        <x:v>0.15</x:v>
      </x:c>
      <x:c r="J978" s="11" t="n">
        <x:v>0</x:v>
      </x:c>
      <x:c r="K978" s="20" t="n">
        <x:v>130</x:v>
      </x:c>
      <x:c r="L978" s="20" t="n">
        <x:v>19.5</x:v>
      </x:c>
      <x:c r="M978" s="20" t="n">
        <x:v>64</x:v>
      </x:c>
      <x:c r="N978" s="20" t="n">
        <x:f>IF(J978=1,0,K978-L978)</x:f>
        <x:v>110.5</x:v>
      </x:c>
      <x:c r="O978" s="20" t="n">
        <x:f>N978-M978</x:f>
        <x:v>46.5</x:v>
      </x:c>
    </x:row>
    <x:row r="979" ht="22" customHeight="1">
      <x:c r="A979" s="11" t="n">
        <x:v>975</x:v>
      </x:c>
      <x:c r="B979" s="11" t="n">
        <x:v>490</x:v>
      </x:c>
      <x:c r="C979" s="18" t="n">
        <x:v>45707</x:v>
      </x:c>
      <x:c r="D979" s="11" t="str">
        <x:v>2025-02</x:v>
      </x:c>
      <x:c r="E979" s="11" t="str">
        <x:v>Central</x:v>
      </x:c>
      <x:c r="F979" s="11" t="str">
        <x:v>Technology</x:v>
      </x:c>
      <x:c r="G979" s="11" t="str">
        <x:v>Monitor</x:v>
      </x:c>
      <x:c r="H979" s="11" t="n">
        <x:v>1</x:v>
      </x:c>
      <x:c r="I979" s="19" t="n">
        <x:v>0</x:v>
      </x:c>
      <x:c r="J979" s="11" t="n">
        <x:v>0</x:v>
      </x:c>
      <x:c r="K979" s="20" t="n">
        <x:v>240</x:v>
      </x:c>
      <x:c r="L979" s="20" t="n">
        <x:v>0</x:v>
      </x:c>
      <x:c r="M979" s="20" t="n">
        <x:v>160</x:v>
      </x:c>
      <x:c r="N979" s="20" t="n">
        <x:f>IF(J979=1,0,K979-L979)</x:f>
        <x:v>240</x:v>
      </x:c>
      <x:c r="O979" s="20" t="n">
        <x:f>N979-M979</x:f>
        <x:v>80</x:v>
      </x:c>
    </x:row>
    <x:row r="980" ht="22" customHeight="1">
      <x:c r="A980" s="11" t="n">
        <x:v>976</x:v>
      </x:c>
      <x:c r="B980" s="11" t="n">
        <x:v>491</x:v>
      </x:c>
      <x:c r="C980" s="18" t="n">
        <x:v>45755</x:v>
      </x:c>
      <x:c r="D980" s="11" t="str">
        <x:v>2025-04</x:v>
      </x:c>
      <x:c r="E980" s="11" t="str">
        <x:v>East</x:v>
      </x:c>
      <x:c r="F980" s="11" t="str">
        <x:v>Office Supplies</x:v>
      </x:c>
      <x:c r="G980" s="11" t="str">
        <x:v>Notebook pack</x:v>
      </x:c>
      <x:c r="H980" s="11" t="n">
        <x:v>4</x:v>
      </x:c>
      <x:c r="I980" s="19" t="n">
        <x:v>0</x:v>
      </x:c>
      <x:c r="J980" s="11" t="n">
        <x:v>0</x:v>
      </x:c>
      <x:c r="K980" s="20" t="n">
        <x:v>72</x:v>
      </x:c>
      <x:c r="L980" s="20" t="n">
        <x:v>0</x:v>
      </x:c>
      <x:c r="M980" s="20" t="n">
        <x:v>28</x:v>
      </x:c>
      <x:c r="N980" s="20" t="n">
        <x:f>IF(J980=1,0,K980-L980)</x:f>
        <x:v>72</x:v>
      </x:c>
      <x:c r="O980" s="20" t="n">
        <x:f>N980-M980</x:f>
        <x:v>44</x:v>
      </x:c>
    </x:row>
    <x:row r="981" ht="22" customHeight="1">
      <x:c r="A981" s="11" t="n">
        <x:v>977</x:v>
      </x:c>
      <x:c r="B981" s="11" t="n">
        <x:v>491</x:v>
      </x:c>
      <x:c r="C981" s="18" t="n">
        <x:v>45755</x:v>
      </x:c>
      <x:c r="D981" s="11" t="str">
        <x:v>2025-04</x:v>
      </x:c>
      <x:c r="E981" s="11" t="str">
        <x:v>East</x:v>
      </x:c>
      <x:c r="F981" s="11" t="str">
        <x:v>Office Supplies</x:v>
      </x:c>
      <x:c r="G981" s="11" t="str">
        <x:v>Storage box</x:v>
      </x:c>
      <x:c r="H981" s="11" t="n">
        <x:v>3</x:v>
      </x:c>
      <x:c r="I981" s="19" t="n">
        <x:v>0.05</x:v>
      </x:c>
      <x:c r="J981" s="11" t="n">
        <x:v>0</x:v>
      </x:c>
      <x:c r="K981" s="20" t="n">
        <x:v>78</x:v>
      </x:c>
      <x:c r="L981" s="20" t="n">
        <x:v>3.9</x:v>
      </x:c>
      <x:c r="M981" s="20" t="n">
        <x:v>36</x:v>
      </x:c>
      <x:c r="N981" s="20" t="n">
        <x:f>IF(J981=1,0,K981-L981)</x:f>
        <x:v>74.1</x:v>
      </x:c>
      <x:c r="O981" s="20" t="n">
        <x:f>N981-M981</x:f>
        <x:v>38.099999999999994</x:v>
      </x:c>
    </x:row>
    <x:row r="982" ht="22" customHeight="1">
      <x:c r="A982" s="11" t="n">
        <x:v>978</x:v>
      </x:c>
      <x:c r="B982" s="11" t="n">
        <x:v>492</x:v>
      </x:c>
      <x:c r="C982" s="18" t="n">
        <x:v>45987</x:v>
      </x:c>
      <x:c r="D982" s="11" t="str">
        <x:v>2025-11</x:v>
      </x:c>
      <x:c r="E982" s="11" t="str">
        <x:v>West</x:v>
      </x:c>
      <x:c r="F982" s="11" t="str">
        <x:v>Technology</x:v>
      </x:c>
      <x:c r="G982" s="11" t="str">
        <x:v>Monitor</x:v>
      </x:c>
      <x:c r="H982" s="11" t="n">
        <x:v>5</x:v>
      </x:c>
      <x:c r="I982" s="19" t="n">
        <x:v>0.15</x:v>
      </x:c>
      <x:c r="J982" s="11" t="n">
        <x:v>0</x:v>
      </x:c>
      <x:c r="K982" s="20" t="n">
        <x:v>1200</x:v>
      </x:c>
      <x:c r="L982" s="20" t="n">
        <x:v>180</x:v>
      </x:c>
      <x:c r="M982" s="20" t="n">
        <x:v>800</x:v>
      </x:c>
      <x:c r="N982" s="20" t="n">
        <x:f>IF(J982=1,0,K982-L982)</x:f>
        <x:v>1020</x:v>
      </x:c>
      <x:c r="O982" s="20" t="n">
        <x:f>N982-M982</x:f>
        <x:v>220</x:v>
      </x:c>
    </x:row>
    <x:row r="983" ht="22" customHeight="1">
      <x:c r="A983" s="11" t="n">
        <x:v>979</x:v>
      </x:c>
      <x:c r="B983" s="11" t="n">
        <x:v>492</x:v>
      </x:c>
      <x:c r="C983" s="18" t="n">
        <x:v>45987</x:v>
      </x:c>
      <x:c r="D983" s="11" t="str">
        <x:v>2025-11</x:v>
      </x:c>
      <x:c r="E983" s="11" t="str">
        <x:v>West</x:v>
      </x:c>
      <x:c r="F983" s="11" t="str">
        <x:v>Furniture</x:v>
      </x:c>
      <x:c r="G983" s="11" t="str">
        <x:v>Desk</x:v>
      </x:c>
      <x:c r="H983" s="11" t="n">
        <x:v>2</x:v>
      </x:c>
      <x:c r="I983" s="19" t="n">
        <x:v>0.1</x:v>
      </x:c>
      <x:c r="J983" s="11" t="n">
        <x:v>0</x:v>
      </x:c>
      <x:c r="K983" s="20" t="n">
        <x:v>560</x:v>
      </x:c>
      <x:c r="L983" s="20" t="n">
        <x:v>56</x:v>
      </x:c>
      <x:c r="M983" s="20" t="n">
        <x:v>380</x:v>
      </x:c>
      <x:c r="N983" s="20" t="n">
        <x:f>IF(J983=1,0,K983-L983)</x:f>
        <x:v>504</x:v>
      </x:c>
      <x:c r="O983" s="20" t="n">
        <x:f>N983-M983</x:f>
        <x:v>124</x:v>
      </x:c>
    </x:row>
    <x:row r="984" ht="22" customHeight="1">
      <x:c r="A984" s="11" t="n">
        <x:v>980</x:v>
      </x:c>
      <x:c r="B984" s="11" t="n">
        <x:v>492</x:v>
      </x:c>
      <x:c r="C984" s="18" t="n">
        <x:v>45987</x:v>
      </x:c>
      <x:c r="D984" s="11" t="str">
        <x:v>2025-11</x:v>
      </x:c>
      <x:c r="E984" s="11" t="str">
        <x:v>West</x:v>
      </x:c>
      <x:c r="F984" s="11" t="str">
        <x:v>Office Supplies</x:v>
      </x:c>
      <x:c r="G984" s="11" t="str">
        <x:v>Notebook pack</x:v>
      </x:c>
      <x:c r="H984" s="11" t="n">
        <x:v>5</x:v>
      </x:c>
      <x:c r="I984" s="19" t="n">
        <x:v>0</x:v>
      </x:c>
      <x:c r="J984" s="11" t="n">
        <x:v>1</x:v>
      </x:c>
      <x:c r="K984" s="20" t="n">
        <x:v>90</x:v>
      </x:c>
      <x:c r="L984" s="20" t="n">
        <x:v>0</x:v>
      </x:c>
      <x:c r="M984" s="20" t="n">
        <x:v>0</x:v>
      </x:c>
      <x:c r="N984" s="20" t="n">
        <x:f>IF(J984=1,0,K984-L984)</x:f>
        <x:v>0</x:v>
      </x:c>
      <x:c r="O984" s="20" t="n">
        <x:f>N984-M984</x:f>
        <x:v>0</x:v>
      </x:c>
    </x:row>
    <x:row r="985" ht="22" customHeight="1">
      <x:c r="A985" s="11" t="n">
        <x:v>981</x:v>
      </x:c>
      <x:c r="B985" s="11" t="n">
        <x:v>493</x:v>
      </x:c>
      <x:c r="C985" s="18" t="n">
        <x:v>45865</x:v>
      </x:c>
      <x:c r="D985" s="11" t="str">
        <x:v>2025-07</x:v>
      </x:c>
      <x:c r="E985" s="11" t="str">
        <x:v>East</x:v>
      </x:c>
      <x:c r="F985" s="11" t="str">
        <x:v>Furniture</x:v>
      </x:c>
      <x:c r="G985" s="11" t="str">
        <x:v>Desk</x:v>
      </x:c>
      <x:c r="H985" s="11" t="n">
        <x:v>4</x:v>
      </x:c>
      <x:c r="I985" s="19" t="n">
        <x:v>0.25</x:v>
      </x:c>
      <x:c r="J985" s="11" t="n">
        <x:v>0</x:v>
      </x:c>
      <x:c r="K985" s="20" t="n">
        <x:v>1120</x:v>
      </x:c>
      <x:c r="L985" s="20" t="n">
        <x:v>280</x:v>
      </x:c>
      <x:c r="M985" s="20" t="n">
        <x:v>760</x:v>
      </x:c>
      <x:c r="N985" s="20" t="n">
        <x:f>IF(J985=1,0,K985-L985)</x:f>
        <x:v>840</x:v>
      </x:c>
      <x:c r="O985" s="20" t="n">
        <x:f>N985-M985</x:f>
        <x:v>80</x:v>
      </x:c>
    </x:row>
    <x:row r="986" ht="22" customHeight="1">
      <x:c r="A986" s="11" t="n">
        <x:v>982</x:v>
      </x:c>
      <x:c r="B986" s="11" t="n">
        <x:v>493</x:v>
      </x:c>
      <x:c r="C986" s="18" t="n">
        <x:v>45865</x:v>
      </x:c>
      <x:c r="D986" s="11" t="str">
        <x:v>2025-07</x:v>
      </x:c>
      <x:c r="E986" s="11" t="str">
        <x:v>East</x:v>
      </x:c>
      <x:c r="F986" s="11" t="str">
        <x:v>Furniture</x:v>
      </x:c>
      <x:c r="G986" s="11" t="str">
        <x:v>Chair</x:v>
      </x:c>
      <x:c r="H986" s="11" t="n">
        <x:v>4</x:v>
      </x:c>
      <x:c r="I986" s="19" t="n">
        <x:v>0.25</x:v>
      </x:c>
      <x:c r="J986" s="11" t="n">
        <x:v>0</x:v>
      </x:c>
      <x:c r="K986" s="20" t="n">
        <x:v>680</x:v>
      </x:c>
      <x:c r="L986" s="20" t="n">
        <x:v>170</x:v>
      </x:c>
      <x:c r="M986" s="20" t="n">
        <x:v>440</x:v>
      </x:c>
      <x:c r="N986" s="20" t="n">
        <x:f>IF(J986=1,0,K986-L986)</x:f>
        <x:v>510</x:v>
      </x:c>
      <x:c r="O986" s="20" t="n">
        <x:f>N986-M986</x:f>
        <x:v>70</x:v>
      </x:c>
    </x:row>
    <x:row r="987" ht="22" customHeight="1">
      <x:c r="A987" s="11" t="n">
        <x:v>983</x:v>
      </x:c>
      <x:c r="B987" s="11" t="n">
        <x:v>494</x:v>
      </x:c>
      <x:c r="C987" s="18" t="n">
        <x:v>45850</x:v>
      </x:c>
      <x:c r="D987" s="11" t="str">
        <x:v>2025-07</x:v>
      </x:c>
      <x:c r="E987" s="11" t="str">
        <x:v>Central</x:v>
      </x:c>
      <x:c r="F987" s="11" t="str">
        <x:v>Furniture</x:v>
      </x:c>
      <x:c r="G987" s="11" t="str">
        <x:v>Chair</x:v>
      </x:c>
      <x:c r="H987" s="11" t="n">
        <x:v>5</x:v>
      </x:c>
      <x:c r="I987" s="19" t="n">
        <x:v>0.25</x:v>
      </x:c>
      <x:c r="J987" s="11" t="n">
        <x:v>0</x:v>
      </x:c>
      <x:c r="K987" s="20" t="n">
        <x:v>850</x:v>
      </x:c>
      <x:c r="L987" s="20" t="n">
        <x:v>212.5</x:v>
      </x:c>
      <x:c r="M987" s="20" t="n">
        <x:v>550</x:v>
      </x:c>
      <x:c r="N987" s="20" t="n">
        <x:f>IF(J987=1,0,K987-L987)</x:f>
        <x:v>637.5</x:v>
      </x:c>
      <x:c r="O987" s="20" t="n">
        <x:f>N987-M987</x:f>
        <x:v>87.5</x:v>
      </x:c>
    </x:row>
    <x:row r="988" ht="22" customHeight="1">
      <x:c r="A988" s="11" t="n">
        <x:v>984</x:v>
      </x:c>
      <x:c r="B988" s="11" t="n">
        <x:v>494</x:v>
      </x:c>
      <x:c r="C988" s="18" t="n">
        <x:v>45850</x:v>
      </x:c>
      <x:c r="D988" s="11" t="str">
        <x:v>2025-07</x:v>
      </x:c>
      <x:c r="E988" s="11" t="str">
        <x:v>Central</x:v>
      </x:c>
      <x:c r="F988" s="11" t="str">
        <x:v>Office Supplies</x:v>
      </x:c>
      <x:c r="G988" s="11" t="str">
        <x:v>Storage box</x:v>
      </x:c>
      <x:c r="H988" s="11" t="n">
        <x:v>3</x:v>
      </x:c>
      <x:c r="I988" s="19" t="n">
        <x:v>0.1</x:v>
      </x:c>
      <x:c r="J988" s="11" t="n">
        <x:v>0</x:v>
      </x:c>
      <x:c r="K988" s="20" t="n">
        <x:v>78</x:v>
      </x:c>
      <x:c r="L988" s="20" t="n">
        <x:v>7.8</x:v>
      </x:c>
      <x:c r="M988" s="20" t="n">
        <x:v>36</x:v>
      </x:c>
      <x:c r="N988" s="20" t="n">
        <x:f>IF(J988=1,0,K988-L988)</x:f>
        <x:v>70.2</x:v>
      </x:c>
      <x:c r="O988" s="20" t="n">
        <x:f>N988-M988</x:f>
        <x:v>34.2</x:v>
      </x:c>
    </x:row>
    <x:row r="989" ht="22" customHeight="1">
      <x:c r="A989" s="11" t="n">
        <x:v>985</x:v>
      </x:c>
      <x:c r="B989" s="11" t="n">
        <x:v>495</x:v>
      </x:c>
      <x:c r="C989" s="18" t="n">
        <x:v>45978</x:v>
      </x:c>
      <x:c r="D989" s="11" t="str">
        <x:v>2025-11</x:v>
      </x:c>
      <x:c r="E989" s="11" t="str">
        <x:v>South</x:v>
      </x:c>
      <x:c r="F989" s="11" t="str">
        <x:v>Furniture</x:v>
      </x:c>
      <x:c r="G989" s="11" t="str">
        <x:v>Desk</x:v>
      </x:c>
      <x:c r="H989" s="11" t="n">
        <x:v>1</x:v>
      </x:c>
      <x:c r="I989" s="19" t="n">
        <x:v>0</x:v>
      </x:c>
      <x:c r="J989" s="11" t="n">
        <x:v>0</x:v>
      </x:c>
      <x:c r="K989" s="20" t="n">
        <x:v>280</x:v>
      </x:c>
      <x:c r="L989" s="20" t="n">
        <x:v>0</x:v>
      </x:c>
      <x:c r="M989" s="20" t="n">
        <x:v>190</x:v>
      </x:c>
      <x:c r="N989" s="20" t="n">
        <x:f>IF(J989=1,0,K989-L989)</x:f>
        <x:v>280</x:v>
      </x:c>
      <x:c r="O989" s="20" t="n">
        <x:f>N989-M989</x:f>
        <x:v>90</x:v>
      </x:c>
    </x:row>
    <x:row r="990" ht="22" customHeight="1">
      <x:c r="A990" s="11" t="n">
        <x:v>986</x:v>
      </x:c>
      <x:c r="B990" s="11" t="n">
        <x:v>496</x:v>
      </x:c>
      <x:c r="C990" s="18" t="n">
        <x:v>45790</x:v>
      </x:c>
      <x:c r="D990" s="11" t="str">
        <x:v>2025-05</x:v>
      </x:c>
      <x:c r="E990" s="11" t="str">
        <x:v>Central</x:v>
      </x:c>
      <x:c r="F990" s="11" t="str">
        <x:v>Furniture</x:v>
      </x:c>
      <x:c r="G990" s="11" t="str">
        <x:v>Desk</x:v>
      </x:c>
      <x:c r="H990" s="11" t="n">
        <x:v>2</x:v>
      </x:c>
      <x:c r="I990" s="19" t="n">
        <x:v>0.25</x:v>
      </x:c>
      <x:c r="J990" s="11" t="n">
        <x:v>0</x:v>
      </x:c>
      <x:c r="K990" s="20" t="n">
        <x:v>560</x:v>
      </x:c>
      <x:c r="L990" s="20" t="n">
        <x:v>140</x:v>
      </x:c>
      <x:c r="M990" s="20" t="n">
        <x:v>380</x:v>
      </x:c>
      <x:c r="N990" s="20" t="n">
        <x:f>IF(J990=1,0,K990-L990)</x:f>
        <x:v>420</x:v>
      </x:c>
      <x:c r="O990" s="20" t="n">
        <x:f>N990-M990</x:f>
        <x:v>40</x:v>
      </x:c>
    </x:row>
    <x:row r="991" ht="22" customHeight="1">
      <x:c r="A991" s="11" t="n">
        <x:v>987</x:v>
      </x:c>
      <x:c r="B991" s="11" t="n">
        <x:v>497</x:v>
      </x:c>
      <x:c r="C991" s="18" t="n">
        <x:v>46004</x:v>
      </x:c>
      <x:c r="D991" s="11" t="str">
        <x:v>2025-12</x:v>
      </x:c>
      <x:c r="E991" s="11" t="str">
        <x:v>Central</x:v>
      </x:c>
      <x:c r="F991" s="11" t="str">
        <x:v>Furniture</x:v>
      </x:c>
      <x:c r="G991" s="11" t="str">
        <x:v>Chair</x:v>
      </x:c>
      <x:c r="H991" s="11" t="n">
        <x:v>5</x:v>
      </x:c>
      <x:c r="I991" s="19" t="n">
        <x:v>0.35</x:v>
      </x:c>
      <x:c r="J991" s="11" t="n">
        <x:v>0</x:v>
      </x:c>
      <x:c r="K991" s="20" t="n">
        <x:v>850</x:v>
      </x:c>
      <x:c r="L991" s="20" t="n">
        <x:v>297.5</x:v>
      </x:c>
      <x:c r="M991" s="20" t="n">
        <x:v>550</x:v>
      </x:c>
      <x:c r="N991" s="20" t="n">
        <x:f>IF(J991=1,0,K991-L991)</x:f>
        <x:v>552.5</x:v>
      </x:c>
      <x:c r="O991" s="20" t="n">
        <x:f>N991-M991</x:f>
        <x:v>2.5</x:v>
      </x:c>
    </x:row>
    <x:row r="992" ht="22" customHeight="1">
      <x:c r="A992" s="11" t="n">
        <x:v>988</x:v>
      </x:c>
      <x:c r="B992" s="11" t="n">
        <x:v>497</x:v>
      </x:c>
      <x:c r="C992" s="18" t="n">
        <x:v>46004</x:v>
      </x:c>
      <x:c r="D992" s="11" t="str">
        <x:v>2025-12</x:v>
      </x:c>
      <x:c r="E992" s="11" t="str">
        <x:v>Central</x:v>
      </x:c>
      <x:c r="F992" s="11" t="str">
        <x:v>Technology</x:v>
      </x:c>
      <x:c r="G992" s="11" t="str">
        <x:v>Keyboard</x:v>
      </x:c>
      <x:c r="H992" s="11" t="n">
        <x:v>2</x:v>
      </x:c>
      <x:c r="I992" s="19" t="n">
        <x:v>0</x:v>
      </x:c>
      <x:c r="J992" s="11" t="n">
        <x:v>0</x:v>
      </x:c>
      <x:c r="K992" s="20" t="n">
        <x:v>130</x:v>
      </x:c>
      <x:c r="L992" s="20" t="n">
        <x:v>0</x:v>
      </x:c>
      <x:c r="M992" s="20" t="n">
        <x:v>64</x:v>
      </x:c>
      <x:c r="N992" s="20" t="n">
        <x:f>IF(J992=1,0,K992-L992)</x:f>
        <x:v>130</x:v>
      </x:c>
      <x:c r="O992" s="20" t="n">
        <x:f>N992-M992</x:f>
        <x:v>66</x:v>
      </x:c>
    </x:row>
    <x:row r="993" ht="22" customHeight="1">
      <x:c r="A993" s="11" t="n">
        <x:v>989</x:v>
      </x:c>
      <x:c r="B993" s="11" t="n">
        <x:v>497</x:v>
      </x:c>
      <x:c r="C993" s="18" t="n">
        <x:v>46004</x:v>
      </x:c>
      <x:c r="D993" s="11" t="str">
        <x:v>2025-12</x:v>
      </x:c>
      <x:c r="E993" s="11" t="str">
        <x:v>Central</x:v>
      </x:c>
      <x:c r="F993" s="11" t="str">
        <x:v>Office Supplies</x:v>
      </x:c>
      <x:c r="G993" s="11" t="str">
        <x:v>Notebook pack</x:v>
      </x:c>
      <x:c r="H993" s="11" t="n">
        <x:v>1</x:v>
      </x:c>
      <x:c r="I993" s="19" t="n">
        <x:v>0.15</x:v>
      </x:c>
      <x:c r="J993" s="11" t="n">
        <x:v>0</x:v>
      </x:c>
      <x:c r="K993" s="20" t="n">
        <x:v>18</x:v>
      </x:c>
      <x:c r="L993" s="20" t="n">
        <x:v>2.7</x:v>
      </x:c>
      <x:c r="M993" s="20" t="n">
        <x:v>7</x:v>
      </x:c>
      <x:c r="N993" s="20" t="n">
        <x:f>IF(J993=1,0,K993-L993)</x:f>
        <x:v>15.3</x:v>
      </x:c>
      <x:c r="O993" s="20" t="n">
        <x:f>N993-M993</x:f>
        <x:v>8.3</x:v>
      </x:c>
    </x:row>
    <x:row r="994" ht="22" customHeight="1">
      <x:c r="A994" s="11" t="n">
        <x:v>990</x:v>
      </x:c>
      <x:c r="B994" s="11" t="n">
        <x:v>498</x:v>
      </x:c>
      <x:c r="C994" s="18" t="n">
        <x:v>45534</x:v>
      </x:c>
      <x:c r="D994" s="11" t="str">
        <x:v>2024-08</x:v>
      </x:c>
      <x:c r="E994" s="11" t="str">
        <x:v>Central</x:v>
      </x:c>
      <x:c r="F994" s="11" t="str">
        <x:v>Office Supplies</x:v>
      </x:c>
      <x:c r="G994" s="11" t="str">
        <x:v>Notebook pack</x:v>
      </x:c>
      <x:c r="H994" s="11" t="n">
        <x:v>3</x:v>
      </x:c>
      <x:c r="I994" s="19" t="n">
        <x:v>0</x:v>
      </x:c>
      <x:c r="J994" s="11" t="n">
        <x:v>0</x:v>
      </x:c>
      <x:c r="K994" s="20" t="n">
        <x:v>54</x:v>
      </x:c>
      <x:c r="L994" s="20" t="n">
        <x:v>0</x:v>
      </x:c>
      <x:c r="M994" s="20" t="n">
        <x:v>21</x:v>
      </x:c>
      <x:c r="N994" s="20" t="n">
        <x:f>IF(J994=1,0,K994-L994)</x:f>
        <x:v>54</x:v>
      </x:c>
      <x:c r="O994" s="20" t="n">
        <x:f>N994-M994</x:f>
        <x:v>33</x:v>
      </x:c>
    </x:row>
    <x:row r="995" ht="22" customHeight="1">
      <x:c r="A995" s="11" t="n">
        <x:v>991</x:v>
      </x:c>
      <x:c r="B995" s="11" t="n">
        <x:v>498</x:v>
      </x:c>
      <x:c r="C995" s="18" t="n">
        <x:v>45534</x:v>
      </x:c>
      <x:c r="D995" s="11" t="str">
        <x:v>2024-08</x:v>
      </x:c>
      <x:c r="E995" s="11" t="str">
        <x:v>Central</x:v>
      </x:c>
      <x:c r="F995" s="11" t="str">
        <x:v>Office Supplies</x:v>
      </x:c>
      <x:c r="G995" s="11" t="str">
        <x:v>Storage box</x:v>
      </x:c>
      <x:c r="H995" s="11" t="n">
        <x:v>5</x:v>
      </x:c>
      <x:c r="I995" s="19" t="n">
        <x:v>0.1</x:v>
      </x:c>
      <x:c r="J995" s="11" t="n">
        <x:v>0</x:v>
      </x:c>
      <x:c r="K995" s="20" t="n">
        <x:v>130</x:v>
      </x:c>
      <x:c r="L995" s="20" t="n">
        <x:v>13</x:v>
      </x:c>
      <x:c r="M995" s="20" t="n">
        <x:v>60</x:v>
      </x:c>
      <x:c r="N995" s="20" t="n">
        <x:f>IF(J995=1,0,K995-L995)</x:f>
        <x:v>117</x:v>
      </x:c>
      <x:c r="O995" s="20" t="n">
        <x:f>N995-M995</x:f>
        <x:v>57</x:v>
      </x:c>
    </x:row>
    <x:row r="996" ht="22" customHeight="1">
      <x:c r="A996" s="11" t="n">
        <x:v>992</x:v>
      </x:c>
      <x:c r="B996" s="11" t="n">
        <x:v>499</x:v>
      </x:c>
      <x:c r="C996" s="18" t="n">
        <x:v>45407</x:v>
      </x:c>
      <x:c r="D996" s="11" t="str">
        <x:v>2024-04</x:v>
      </x:c>
      <x:c r="E996" s="11" t="str">
        <x:v>South</x:v>
      </x:c>
      <x:c r="F996" s="11" t="str">
        <x:v>Furniture</x:v>
      </x:c>
      <x:c r="G996" s="11" t="str">
        <x:v>Desk</x:v>
      </x:c>
      <x:c r="H996" s="11" t="n">
        <x:v>4</x:v>
      </x:c>
      <x:c r="I996" s="19" t="n">
        <x:v>0</x:v>
      </x:c>
      <x:c r="J996" s="11" t="n">
        <x:v>0</x:v>
      </x:c>
      <x:c r="K996" s="20" t="n">
        <x:v>1120</x:v>
      </x:c>
      <x:c r="L996" s="20" t="n">
        <x:v>0</x:v>
      </x:c>
      <x:c r="M996" s="20" t="n">
        <x:v>760</x:v>
      </x:c>
      <x:c r="N996" s="20" t="n">
        <x:f>IF(J996=1,0,K996-L996)</x:f>
        <x:v>1120</x:v>
      </x:c>
      <x:c r="O996" s="20" t="n">
        <x:f>N996-M996</x:f>
        <x:v>360</x:v>
      </x:c>
    </x:row>
    <x:row r="997" ht="22" customHeight="1">
      <x:c r="A997" s="11" t="n">
        <x:v>993</x:v>
      </x:c>
      <x:c r="B997" s="11" t="n">
        <x:v>499</x:v>
      </x:c>
      <x:c r="C997" s="18" t="n">
        <x:v>45407</x:v>
      </x:c>
      <x:c r="D997" s="11" t="str">
        <x:v>2024-04</x:v>
      </x:c>
      <x:c r="E997" s="11" t="str">
        <x:v>South</x:v>
      </x:c>
      <x:c r="F997" s="11" t="str">
        <x:v>Furniture</x:v>
      </x:c>
      <x:c r="G997" s="11" t="str">
        <x:v>Chair</x:v>
      </x:c>
      <x:c r="H997" s="11" t="n">
        <x:v>5</x:v>
      </x:c>
      <x:c r="I997" s="19" t="n">
        <x:v>0</x:v>
      </x:c>
      <x:c r="J997" s="11" t="n">
        <x:v>0</x:v>
      </x:c>
      <x:c r="K997" s="20" t="n">
        <x:v>850</x:v>
      </x:c>
      <x:c r="L997" s="20" t="n">
        <x:v>0</x:v>
      </x:c>
      <x:c r="M997" s="20" t="n">
        <x:v>550</x:v>
      </x:c>
      <x:c r="N997" s="20" t="n">
        <x:f>IF(J997=1,0,K997-L997)</x:f>
        <x:v>850</x:v>
      </x:c>
      <x:c r="O997" s="20" t="n">
        <x:f>N997-M997</x:f>
        <x:v>300</x:v>
      </x:c>
    </x:row>
    <x:row r="998" ht="22" customHeight="1">
      <x:c r="A998" s="11" t="n">
        <x:v>994</x:v>
      </x:c>
      <x:c r="B998" s="11" t="n">
        <x:v>499</x:v>
      </x:c>
      <x:c r="C998" s="18" t="n">
        <x:v>45407</x:v>
      </x:c>
      <x:c r="D998" s="11" t="str">
        <x:v>2024-04</x:v>
      </x:c>
      <x:c r="E998" s="11" t="str">
        <x:v>South</x:v>
      </x:c>
      <x:c r="F998" s="11" t="str">
        <x:v>Technology</x:v>
      </x:c>
      <x:c r="G998" s="11" t="str">
        <x:v>Monitor</x:v>
      </x:c>
      <x:c r="H998" s="11" t="n">
        <x:v>1</x:v>
      </x:c>
      <x:c r="I998" s="19" t="n">
        <x:v>0.15</x:v>
      </x:c>
      <x:c r="J998" s="11" t="n">
        <x:v>0</x:v>
      </x:c>
      <x:c r="K998" s="20" t="n">
        <x:v>240</x:v>
      </x:c>
      <x:c r="L998" s="20" t="n">
        <x:v>36</x:v>
      </x:c>
      <x:c r="M998" s="20" t="n">
        <x:v>160</x:v>
      </x:c>
      <x:c r="N998" s="20" t="n">
        <x:f>IF(J998=1,0,K998-L998)</x:f>
        <x:v>204</x:v>
      </x:c>
      <x:c r="O998" s="20" t="n">
        <x:f>N998-M998</x:f>
        <x:v>44</x:v>
      </x:c>
    </x:row>
    <x:row r="999" ht="22" customHeight="1">
      <x:c r="A999" s="11" t="n">
        <x:v>995</x:v>
      </x:c>
      <x:c r="B999" s="11" t="n">
        <x:v>500</x:v>
      </x:c>
      <x:c r="C999" s="18" t="n">
        <x:v>45611</x:v>
      </x:c>
      <x:c r="D999" s="11" t="str">
        <x:v>2024-11</x:v>
      </x:c>
      <x:c r="E999" s="11" t="str">
        <x:v>West</x:v>
      </x:c>
      <x:c r="F999" s="11" t="str">
        <x:v>Office Supplies</x:v>
      </x:c>
      <x:c r="G999" s="11" t="str">
        <x:v>Notebook pack</x:v>
      </x:c>
      <x:c r="H999" s="11" t="n">
        <x:v>4</x:v>
      </x:c>
      <x:c r="I999" s="19" t="n">
        <x:v>0.1</x:v>
      </x:c>
      <x:c r="J999" s="11" t="n">
        <x:v>0</x:v>
      </x:c>
      <x:c r="K999" s="20" t="n">
        <x:v>72</x:v>
      </x:c>
      <x:c r="L999" s="20" t="n">
        <x:v>7.2</x:v>
      </x:c>
      <x:c r="M999" s="20" t="n">
        <x:v>28</x:v>
      </x:c>
      <x:c r="N999" s="20" t="n">
        <x:f>IF(J999=1,0,K999-L999)</x:f>
        <x:v>64.8</x:v>
      </x:c>
      <x:c r="O999" s="20" t="n">
        <x:f>N999-M999</x:f>
        <x:v>36.8</x:v>
      </x:c>
    </x:row>
    <x:row r="1000" ht="22" customHeight="1">
      <x:c r="A1000" s="11" t="n">
        <x:v>996</x:v>
      </x:c>
      <x:c r="B1000" s="11" t="n">
        <x:v>500</x:v>
      </x:c>
      <x:c r="C1000" s="18" t="n">
        <x:v>45611</x:v>
      </x:c>
      <x:c r="D1000" s="11" t="str">
        <x:v>2024-11</x:v>
      </x:c>
      <x:c r="E1000" s="11" t="str">
        <x:v>West</x:v>
      </x:c>
      <x:c r="F1000" s="11" t="str">
        <x:v>Furniture</x:v>
      </x:c>
      <x:c r="G1000" s="11" t="str">
        <x:v>Desk</x:v>
      </x:c>
      <x:c r="H1000" s="11" t="n">
        <x:v>4</x:v>
      </x:c>
      <x:c r="I1000" s="19" t="n">
        <x:v>0.15</x:v>
      </x:c>
      <x:c r="J1000" s="11" t="n">
        <x:v>0</x:v>
      </x:c>
      <x:c r="K1000" s="20" t="n">
        <x:v>1120</x:v>
      </x:c>
      <x:c r="L1000" s="20" t="n">
        <x:v>168</x:v>
      </x:c>
      <x:c r="M1000" s="20" t="n">
        <x:v>760</x:v>
      </x:c>
      <x:c r="N1000" s="20" t="n">
        <x:f>IF(J1000=1,0,K1000-L1000)</x:f>
        <x:v>952</x:v>
      </x:c>
      <x:c r="O1000" s="20" t="n">
        <x:f>N1000-M1000</x:f>
        <x:v>192</x:v>
      </x:c>
    </x:row>
    <x:row r="1001" ht="22" customHeight="1">
      <x:c r="A1001" s="11" t="n">
        <x:v>997</x:v>
      </x:c>
      <x:c r="B1001" s="11" t="n">
        <x:v>501</x:v>
      </x:c>
      <x:c r="C1001" s="18" t="n">
        <x:v>45593</x:v>
      </x:c>
      <x:c r="D1001" s="11" t="str">
        <x:v>2024-10</x:v>
      </x:c>
      <x:c r="E1001" s="11" t="str">
        <x:v>East</x:v>
      </x:c>
      <x:c r="F1001" s="11" t="str">
        <x:v>Office Supplies</x:v>
      </x:c>
      <x:c r="G1001" s="11" t="str">
        <x:v>Storage box</x:v>
      </x:c>
      <x:c r="H1001" s="11" t="n">
        <x:v>5</x:v>
      </x:c>
      <x:c r="I1001" s="19" t="n">
        <x:v>0.05</x:v>
      </x:c>
      <x:c r="J1001" s="11" t="n">
        <x:v>0</x:v>
      </x:c>
      <x:c r="K1001" s="20" t="n">
        <x:v>130</x:v>
      </x:c>
      <x:c r="L1001" s="20" t="n">
        <x:v>6.5</x:v>
      </x:c>
      <x:c r="M1001" s="20" t="n">
        <x:v>60</x:v>
      </x:c>
      <x:c r="N1001" s="20" t="n">
        <x:f>IF(J1001=1,0,K1001-L1001)</x:f>
        <x:v>123.5</x:v>
      </x:c>
      <x:c r="O1001" s="20" t="n">
        <x:f>N1001-M1001</x:f>
        <x:v>63.5</x:v>
      </x:c>
    </x:row>
    <x:row r="1002" ht="22" customHeight="1">
      <x:c r="A1002" s="11" t="n">
        <x:v>998</x:v>
      </x:c>
      <x:c r="B1002" s="11" t="n">
        <x:v>502</x:v>
      </x:c>
      <x:c r="C1002" s="18" t="n">
        <x:v>45869</x:v>
      </x:c>
      <x:c r="D1002" s="11" t="str">
        <x:v>2025-07</x:v>
      </x:c>
      <x:c r="E1002" s="11" t="str">
        <x:v>East</x:v>
      </x:c>
      <x:c r="F1002" s="11" t="str">
        <x:v>Technology</x:v>
      </x:c>
      <x:c r="G1002" s="11" t="str">
        <x:v>Keyboard</x:v>
      </x:c>
      <x:c r="H1002" s="11" t="n">
        <x:v>5</x:v>
      </x:c>
      <x:c r="I1002" s="19" t="n">
        <x:v>0</x:v>
      </x:c>
      <x:c r="J1002" s="11" t="n">
        <x:v>0</x:v>
      </x:c>
      <x:c r="K1002" s="20" t="n">
        <x:v>325</x:v>
      </x:c>
      <x:c r="L1002" s="20" t="n">
        <x:v>0</x:v>
      </x:c>
      <x:c r="M1002" s="20" t="n">
        <x:v>160</x:v>
      </x:c>
      <x:c r="N1002" s="20" t="n">
        <x:f>IF(J1002=1,0,K1002-L1002)</x:f>
        <x:v>325</x:v>
      </x:c>
      <x:c r="O1002" s="20" t="n">
        <x:f>N1002-M1002</x:f>
        <x:v>165</x:v>
      </x:c>
    </x:row>
    <x:row r="1003" ht="22" customHeight="1">
      <x:c r="A1003" s="11" t="n">
        <x:v>999</x:v>
      </x:c>
      <x:c r="B1003" s="11" t="n">
        <x:v>502</x:v>
      </x:c>
      <x:c r="C1003" s="18" t="n">
        <x:v>45869</x:v>
      </x:c>
      <x:c r="D1003" s="11" t="str">
        <x:v>2025-07</x:v>
      </x:c>
      <x:c r="E1003" s="11" t="str">
        <x:v>East</x:v>
      </x:c>
      <x:c r="F1003" s="11" t="str">
        <x:v>Office Supplies</x:v>
      </x:c>
      <x:c r="G1003" s="11" t="str">
        <x:v>Notebook pack</x:v>
      </x:c>
      <x:c r="H1003" s="11" t="n">
        <x:v>3</x:v>
      </x:c>
      <x:c r="I1003" s="19" t="n">
        <x:v>0.15</x:v>
      </x:c>
      <x:c r="J1003" s="11" t="n">
        <x:v>1</x:v>
      </x:c>
      <x:c r="K1003" s="20" t="n">
        <x:v>54</x:v>
      </x:c>
      <x:c r="L1003" s="20" t="n">
        <x:v>8.1</x:v>
      </x:c>
      <x:c r="M1003" s="20" t="n">
        <x:v>0</x:v>
      </x:c>
      <x:c r="N1003" s="20" t="n">
        <x:f>IF(J1003=1,0,K1003-L1003)</x:f>
        <x:v>0</x:v>
      </x:c>
      <x:c r="O1003" s="20" t="n">
        <x:f>N1003-M1003</x:f>
        <x:v>0</x:v>
      </x:c>
    </x:row>
    <x:row r="1004" ht="22" customHeight="1">
      <x:c r="A1004" s="11" t="n">
        <x:v>1000</x:v>
      </x:c>
      <x:c r="B1004" s="11" t="n">
        <x:v>502</x:v>
      </x:c>
      <x:c r="C1004" s="18" t="n">
        <x:v>45869</x:v>
      </x:c>
      <x:c r="D1004" s="11" t="str">
        <x:v>2025-07</x:v>
      </x:c>
      <x:c r="E1004" s="11" t="str">
        <x:v>East</x:v>
      </x:c>
      <x:c r="F1004" s="11" t="str">
        <x:v>Furniture</x:v>
      </x:c>
      <x:c r="G1004" s="11" t="str">
        <x:v>Chair</x:v>
      </x:c>
      <x:c r="H1004" s="11" t="n">
        <x:v>4</x:v>
      </x:c>
      <x:c r="I1004" s="19" t="n">
        <x:v>0</x:v>
      </x:c>
      <x:c r="J1004" s="11" t="n">
        <x:v>0</x:v>
      </x:c>
      <x:c r="K1004" s="20" t="n">
        <x:v>680</x:v>
      </x:c>
      <x:c r="L1004" s="20" t="n">
        <x:v>0</x:v>
      </x:c>
      <x:c r="M1004" s="20" t="n">
        <x:v>440</x:v>
      </x:c>
      <x:c r="N1004" s="20" t="n">
        <x:f>IF(J1004=1,0,K1004-L1004)</x:f>
        <x:v>680</x:v>
      </x:c>
      <x:c r="O1004" s="20" t="n">
        <x:f>N1004-M1004</x:f>
        <x:v>240</x:v>
      </x:c>
    </x:row>
    <x:row r="1005" ht="22" customHeight="1">
      <x:c r="A1005" s="11" t="n">
        <x:v>1001</x:v>
      </x:c>
      <x:c r="B1005" s="11" t="n">
        <x:v>503</x:v>
      </x:c>
      <x:c r="C1005" s="18" t="n">
        <x:v>45370</x:v>
      </x:c>
      <x:c r="D1005" s="11" t="str">
        <x:v>2024-03</x:v>
      </x:c>
      <x:c r="E1005" s="11" t="str">
        <x:v>West</x:v>
      </x:c>
      <x:c r="F1005" s="11" t="str">
        <x:v>Office Supplies</x:v>
      </x:c>
      <x:c r="G1005" s="11" t="str">
        <x:v>Notebook pack</x:v>
      </x:c>
      <x:c r="H1005" s="11" t="n">
        <x:v>3</x:v>
      </x:c>
      <x:c r="I1005" s="19" t="n">
        <x:v>0.05</x:v>
      </x:c>
      <x:c r="J1005" s="11" t="n">
        <x:v>0</x:v>
      </x:c>
      <x:c r="K1005" s="20" t="n">
        <x:v>54</x:v>
      </x:c>
      <x:c r="L1005" s="20" t="n">
        <x:v>2.7</x:v>
      </x:c>
      <x:c r="M1005" s="20" t="n">
        <x:v>21</x:v>
      </x:c>
      <x:c r="N1005" s="20" t="n">
        <x:f>IF(J1005=1,0,K1005-L1005)</x:f>
        <x:v>51.3</x:v>
      </x:c>
      <x:c r="O1005" s="20" t="n">
        <x:f>N1005-M1005</x:f>
        <x:v>30.299999999999997</x:v>
      </x:c>
    </x:row>
    <x:row r="1006" ht="22" customHeight="1">
      <x:c r="A1006" s="11" t="n">
        <x:v>1002</x:v>
      </x:c>
      <x:c r="B1006" s="11" t="n">
        <x:v>504</x:v>
      </x:c>
      <x:c r="C1006" s="18" t="n">
        <x:v>45306</x:v>
      </x:c>
      <x:c r="D1006" s="11" t="str">
        <x:v>2024-01</x:v>
      </x:c>
      <x:c r="E1006" s="11" t="str">
        <x:v>Central</x:v>
      </x:c>
      <x:c r="F1006" s="11" t="str">
        <x:v>Furniture</x:v>
      </x:c>
      <x:c r="G1006" s="11" t="str">
        <x:v>Chair</x:v>
      </x:c>
      <x:c r="H1006" s="11" t="n">
        <x:v>4</x:v>
      </x:c>
      <x:c r="I1006" s="19" t="n">
        <x:v>0.15</x:v>
      </x:c>
      <x:c r="J1006" s="11" t="n">
        <x:v>0</x:v>
      </x:c>
      <x:c r="K1006" s="20" t="n">
        <x:v>680</x:v>
      </x:c>
      <x:c r="L1006" s="20" t="n">
        <x:v>102</x:v>
      </x:c>
      <x:c r="M1006" s="20" t="n">
        <x:v>440</x:v>
      </x:c>
      <x:c r="N1006" s="20" t="n">
        <x:f>IF(J1006=1,0,K1006-L1006)</x:f>
        <x:v>578</x:v>
      </x:c>
      <x:c r="O1006" s="20" t="n">
        <x:f>N1006-M1006</x:f>
        <x:v>138</x:v>
      </x:c>
    </x:row>
    <x:row r="1007" ht="22" customHeight="1">
      <x:c r="A1007" s="11" t="n">
        <x:v>1003</x:v>
      </x:c>
      <x:c r="B1007" s="11" t="n">
        <x:v>504</x:v>
      </x:c>
      <x:c r="C1007" s="18" t="n">
        <x:v>45306</x:v>
      </x:c>
      <x:c r="D1007" s="11" t="str">
        <x:v>2024-01</x:v>
      </x:c>
      <x:c r="E1007" s="11" t="str">
        <x:v>Central</x:v>
      </x:c>
      <x:c r="F1007" s="11" t="str">
        <x:v>Office Supplies</x:v>
      </x:c>
      <x:c r="G1007" s="11" t="str">
        <x:v>Notebook pack</x:v>
      </x:c>
      <x:c r="H1007" s="11" t="n">
        <x:v>3</x:v>
      </x:c>
      <x:c r="I1007" s="19" t="n">
        <x:v>0</x:v>
      </x:c>
      <x:c r="J1007" s="11" t="n">
        <x:v>0</x:v>
      </x:c>
      <x:c r="K1007" s="20" t="n">
        <x:v>54</x:v>
      </x:c>
      <x:c r="L1007" s="20" t="n">
        <x:v>0</x:v>
      </x:c>
      <x:c r="M1007" s="20" t="n">
        <x:v>21</x:v>
      </x:c>
      <x:c r="N1007" s="20" t="n">
        <x:f>IF(J1007=1,0,K1007-L1007)</x:f>
        <x:v>54</x:v>
      </x:c>
      <x:c r="O1007" s="20" t="n">
        <x:f>N1007-M1007</x:f>
        <x:v>33</x:v>
      </x:c>
    </x:row>
    <x:row r="1008" ht="22" customHeight="1">
      <x:c r="A1008" s="11" t="n">
        <x:v>1004</x:v>
      </x:c>
      <x:c r="B1008" s="11" t="n">
        <x:v>504</x:v>
      </x:c>
      <x:c r="C1008" s="18" t="n">
        <x:v>45306</x:v>
      </x:c>
      <x:c r="D1008" s="11" t="str">
        <x:v>2024-01</x:v>
      </x:c>
      <x:c r="E1008" s="11" t="str">
        <x:v>Central</x:v>
      </x:c>
      <x:c r="F1008" s="11" t="str">
        <x:v>Office Supplies</x:v>
      </x:c>
      <x:c r="G1008" s="11" t="str">
        <x:v>Storage box</x:v>
      </x:c>
      <x:c r="H1008" s="11" t="n">
        <x:v>5</x:v>
      </x:c>
      <x:c r="I1008" s="19" t="n">
        <x:v>0</x:v>
      </x:c>
      <x:c r="J1008" s="11" t="n">
        <x:v>0</x:v>
      </x:c>
      <x:c r="K1008" s="20" t="n">
        <x:v>130</x:v>
      </x:c>
      <x:c r="L1008" s="20" t="n">
        <x:v>0</x:v>
      </x:c>
      <x:c r="M1008" s="20" t="n">
        <x:v>60</x:v>
      </x:c>
      <x:c r="N1008" s="20" t="n">
        <x:f>IF(J1008=1,0,K1008-L1008)</x:f>
        <x:v>130</x:v>
      </x:c>
      <x:c r="O1008" s="20" t="n">
        <x:f>N1008-M1008</x:f>
        <x:v>70</x:v>
      </x:c>
    </x:row>
    <x:row r="1009" ht="22" customHeight="1">
      <x:c r="A1009" s="11" t="n">
        <x:v>1005</x:v>
      </x:c>
      <x:c r="B1009" s="11" t="n">
        <x:v>505</x:v>
      </x:c>
      <x:c r="C1009" s="18" t="n">
        <x:v>45378</x:v>
      </x:c>
      <x:c r="D1009" s="11" t="str">
        <x:v>2024-03</x:v>
      </x:c>
      <x:c r="E1009" s="11" t="str">
        <x:v>East</x:v>
      </x:c>
      <x:c r="F1009" s="11" t="str">
        <x:v>Technology</x:v>
      </x:c>
      <x:c r="G1009" s="11" t="str">
        <x:v>Keyboard</x:v>
      </x:c>
      <x:c r="H1009" s="11" t="n">
        <x:v>2</x:v>
      </x:c>
      <x:c r="I1009" s="19" t="n">
        <x:v>0.1</x:v>
      </x:c>
      <x:c r="J1009" s="11" t="n">
        <x:v>0</x:v>
      </x:c>
      <x:c r="K1009" s="20" t="n">
        <x:v>130</x:v>
      </x:c>
      <x:c r="L1009" s="20" t="n">
        <x:v>13</x:v>
      </x:c>
      <x:c r="M1009" s="20" t="n">
        <x:v>64</x:v>
      </x:c>
      <x:c r="N1009" s="20" t="n">
        <x:f>IF(J1009=1,0,K1009-L1009)</x:f>
        <x:v>117</x:v>
      </x:c>
      <x:c r="O1009" s="20" t="n">
        <x:f>N1009-M1009</x:f>
        <x:v>53</x:v>
      </x:c>
    </x:row>
    <x:row r="1010" ht="22" customHeight="1">
      <x:c r="A1010" s="11" t="n">
        <x:v>1006</x:v>
      </x:c>
      <x:c r="B1010" s="11" t="n">
        <x:v>505</x:v>
      </x:c>
      <x:c r="C1010" s="18" t="n">
        <x:v>45378</x:v>
      </x:c>
      <x:c r="D1010" s="11" t="str">
        <x:v>2024-03</x:v>
      </x:c>
      <x:c r="E1010" s="11" t="str">
        <x:v>East</x:v>
      </x:c>
      <x:c r="F1010" s="11" t="str">
        <x:v>Office Supplies</x:v>
      </x:c>
      <x:c r="G1010" s="11" t="str">
        <x:v>Storage box</x:v>
      </x:c>
      <x:c r="H1010" s="11" t="n">
        <x:v>2</x:v>
      </x:c>
      <x:c r="I1010" s="19" t="n">
        <x:v>0</x:v>
      </x:c>
      <x:c r="J1010" s="11" t="n">
        <x:v>0</x:v>
      </x:c>
      <x:c r="K1010" s="20" t="n">
        <x:v>52</x:v>
      </x:c>
      <x:c r="L1010" s="20" t="n">
        <x:v>0</x:v>
      </x:c>
      <x:c r="M1010" s="20" t="n">
        <x:v>24</x:v>
      </x:c>
      <x:c r="N1010" s="20" t="n">
        <x:f>IF(J1010=1,0,K1010-L1010)</x:f>
        <x:v>52</x:v>
      </x:c>
      <x:c r="O1010" s="20" t="n">
        <x:f>N1010-M1010</x:f>
        <x:v>28</x:v>
      </x:c>
    </x:row>
    <x:row r="1011" ht="22" customHeight="1">
      <x:c r="A1011" s="11" t="n">
        <x:v>1007</x:v>
      </x:c>
      <x:c r="B1011" s="11" t="n">
        <x:v>506</x:v>
      </x:c>
      <x:c r="C1011" s="18" t="n">
        <x:v>45645</x:v>
      </x:c>
      <x:c r="D1011" s="11" t="str">
        <x:v>2024-12</x:v>
      </x:c>
      <x:c r="E1011" s="11" t="str">
        <x:v>West</x:v>
      </x:c>
      <x:c r="F1011" s="11" t="str">
        <x:v>Furniture</x:v>
      </x:c>
      <x:c r="G1011" s="11" t="str">
        <x:v>Desk</x:v>
      </x:c>
      <x:c r="H1011" s="11" t="n">
        <x:v>2</x:v>
      </x:c>
      <x:c r="I1011" s="19" t="n">
        <x:v>0.35</x:v>
      </x:c>
      <x:c r="J1011" s="11" t="n">
        <x:v>0</x:v>
      </x:c>
      <x:c r="K1011" s="20" t="n">
        <x:v>560</x:v>
      </x:c>
      <x:c r="L1011" s="20" t="n">
        <x:v>196</x:v>
      </x:c>
      <x:c r="M1011" s="20" t="n">
        <x:v>380</x:v>
      </x:c>
      <x:c r="N1011" s="20" t="n">
        <x:f>IF(J1011=1,0,K1011-L1011)</x:f>
        <x:v>364</x:v>
      </x:c>
      <x:c r="O1011" s="20" t="n">
        <x:f>N1011-M1011</x:f>
        <x:v>-16</x:v>
      </x:c>
    </x:row>
    <x:row r="1012" ht="22" customHeight="1">
      <x:c r="A1012" s="11" t="n">
        <x:v>1008</x:v>
      </x:c>
      <x:c r="B1012" s="11" t="n">
        <x:v>507</x:v>
      </x:c>
      <x:c r="C1012" s="18" t="n">
        <x:v>45600</x:v>
      </x:c>
      <x:c r="D1012" s="11" t="str">
        <x:v>2024-11</x:v>
      </x:c>
      <x:c r="E1012" s="11" t="str">
        <x:v>South</x:v>
      </x:c>
      <x:c r="F1012" s="11" t="str">
        <x:v>Office Supplies</x:v>
      </x:c>
      <x:c r="G1012" s="11" t="str">
        <x:v>Storage box</x:v>
      </x:c>
      <x:c r="H1012" s="11" t="n">
        <x:v>4</x:v>
      </x:c>
      <x:c r="I1012" s="19" t="n">
        <x:v>0.05</x:v>
      </x:c>
      <x:c r="J1012" s="11" t="n">
        <x:v>0</x:v>
      </x:c>
      <x:c r="K1012" s="20" t="n">
        <x:v>104</x:v>
      </x:c>
      <x:c r="L1012" s="20" t="n">
        <x:v>5.2</x:v>
      </x:c>
      <x:c r="M1012" s="20" t="n">
        <x:v>48</x:v>
      </x:c>
      <x:c r="N1012" s="20" t="n">
        <x:f>IF(J1012=1,0,K1012-L1012)</x:f>
        <x:v>98.8</x:v>
      </x:c>
      <x:c r="O1012" s="20" t="n">
        <x:f>N1012-M1012</x:f>
        <x:v>50.8</x:v>
      </x:c>
    </x:row>
    <x:row r="1013" ht="22" customHeight="1">
      <x:c r="A1013" s="11" t="n">
        <x:v>1009</x:v>
      </x:c>
      <x:c r="B1013" s="11" t="n">
        <x:v>507</x:v>
      </x:c>
      <x:c r="C1013" s="18" t="n">
        <x:v>45600</x:v>
      </x:c>
      <x:c r="D1013" s="11" t="str">
        <x:v>2024-11</x:v>
      </x:c>
      <x:c r="E1013" s="11" t="str">
        <x:v>South</x:v>
      </x:c>
      <x:c r="F1013" s="11" t="str">
        <x:v>Technology</x:v>
      </x:c>
      <x:c r="G1013" s="11" t="str">
        <x:v>Keyboard</x:v>
      </x:c>
      <x:c r="H1013" s="11" t="n">
        <x:v>4</x:v>
      </x:c>
      <x:c r="I1013" s="19" t="n">
        <x:v>0</x:v>
      </x:c>
      <x:c r="J1013" s="11" t="n">
        <x:v>0</x:v>
      </x:c>
      <x:c r="K1013" s="20" t="n">
        <x:v>260</x:v>
      </x:c>
      <x:c r="L1013" s="20" t="n">
        <x:v>0</x:v>
      </x:c>
      <x:c r="M1013" s="20" t="n">
        <x:v>128</x:v>
      </x:c>
      <x:c r="N1013" s="20" t="n">
        <x:f>IF(J1013=1,0,K1013-L1013)</x:f>
        <x:v>260</x:v>
      </x:c>
      <x:c r="O1013" s="20" t="n">
        <x:f>N1013-M1013</x:f>
        <x:v>132</x:v>
      </x:c>
    </x:row>
    <x:row r="1014" ht="22" customHeight="1">
      <x:c r="A1014" s="11" t="n">
        <x:v>1010</x:v>
      </x:c>
      <x:c r="B1014" s="11" t="n">
        <x:v>508</x:v>
      </x:c>
      <x:c r="C1014" s="18" t="n">
        <x:v>45751</x:v>
      </x:c>
      <x:c r="D1014" s="11" t="str">
        <x:v>2025-04</x:v>
      </x:c>
      <x:c r="E1014" s="11" t="str">
        <x:v>Central</x:v>
      </x:c>
      <x:c r="F1014" s="11" t="str">
        <x:v>Office Supplies</x:v>
      </x:c>
      <x:c r="G1014" s="11" t="str">
        <x:v>Storage box</x:v>
      </x:c>
      <x:c r="H1014" s="11" t="n">
        <x:v>5</x:v>
      </x:c>
      <x:c r="I1014" s="19" t="n">
        <x:v>0.05</x:v>
      </x:c>
      <x:c r="J1014" s="11" t="n">
        <x:v>0</x:v>
      </x:c>
      <x:c r="K1014" s="20" t="n">
        <x:v>130</x:v>
      </x:c>
      <x:c r="L1014" s="20" t="n">
        <x:v>6.5</x:v>
      </x:c>
      <x:c r="M1014" s="20" t="n">
        <x:v>60</x:v>
      </x:c>
      <x:c r="N1014" s="20" t="n">
        <x:f>IF(J1014=1,0,K1014-L1014)</x:f>
        <x:v>123.5</x:v>
      </x:c>
      <x:c r="O1014" s="20" t="n">
        <x:f>N1014-M1014</x:f>
        <x:v>63.5</x:v>
      </x:c>
    </x:row>
    <x:row r="1015" ht="22" customHeight="1">
      <x:c r="A1015" s="11" t="n">
        <x:v>1011</x:v>
      </x:c>
      <x:c r="B1015" s="11" t="n">
        <x:v>508</x:v>
      </x:c>
      <x:c r="C1015" s="18" t="n">
        <x:v>45751</x:v>
      </x:c>
      <x:c r="D1015" s="11" t="str">
        <x:v>2025-04</x:v>
      </x:c>
      <x:c r="E1015" s="11" t="str">
        <x:v>Central</x:v>
      </x:c>
      <x:c r="F1015" s="11" t="str">
        <x:v>Furniture</x:v>
      </x:c>
      <x:c r="G1015" s="11" t="str">
        <x:v>Desk</x:v>
      </x:c>
      <x:c r="H1015" s="11" t="n">
        <x:v>4</x:v>
      </x:c>
      <x:c r="I1015" s="19" t="n">
        <x:v>0.1</x:v>
      </x:c>
      <x:c r="J1015" s="11" t="n">
        <x:v>0</x:v>
      </x:c>
      <x:c r="K1015" s="20" t="n">
        <x:v>1120</x:v>
      </x:c>
      <x:c r="L1015" s="20" t="n">
        <x:v>112</x:v>
      </x:c>
      <x:c r="M1015" s="20" t="n">
        <x:v>760</x:v>
      </x:c>
      <x:c r="N1015" s="20" t="n">
        <x:f>IF(J1015=1,0,K1015-L1015)</x:f>
        <x:v>1008</x:v>
      </x:c>
      <x:c r="O1015" s="20" t="n">
        <x:f>N1015-M1015</x:f>
        <x:v>248</x:v>
      </x:c>
    </x:row>
    <x:row r="1016" ht="22" customHeight="1">
      <x:c r="A1016" s="11" t="n">
        <x:v>1012</x:v>
      </x:c>
      <x:c r="B1016" s="11" t="n">
        <x:v>508</x:v>
      </x:c>
      <x:c r="C1016" s="18" t="n">
        <x:v>45751</x:v>
      </x:c>
      <x:c r="D1016" s="11" t="str">
        <x:v>2025-04</x:v>
      </x:c>
      <x:c r="E1016" s="11" t="str">
        <x:v>Central</x:v>
      </x:c>
      <x:c r="F1016" s="11" t="str">
        <x:v>Office Supplies</x:v>
      </x:c>
      <x:c r="G1016" s="11" t="str">
        <x:v>Notebook pack</x:v>
      </x:c>
      <x:c r="H1016" s="11" t="n">
        <x:v>3</x:v>
      </x:c>
      <x:c r="I1016" s="19" t="n">
        <x:v>0</x:v>
      </x:c>
      <x:c r="J1016" s="11" t="n">
        <x:v>0</x:v>
      </x:c>
      <x:c r="K1016" s="20" t="n">
        <x:v>54</x:v>
      </x:c>
      <x:c r="L1016" s="20" t="n">
        <x:v>0</x:v>
      </x:c>
      <x:c r="M1016" s="20" t="n">
        <x:v>21</x:v>
      </x:c>
      <x:c r="N1016" s="20" t="n">
        <x:f>IF(J1016=1,0,K1016-L1016)</x:f>
        <x:v>54</x:v>
      </x:c>
      <x:c r="O1016" s="20" t="n">
        <x:f>N1016-M1016</x:f>
        <x:v>33</x:v>
      </x:c>
    </x:row>
    <x:row r="1017" ht="22" customHeight="1">
      <x:c r="A1017" s="11" t="n">
        <x:v>1013</x:v>
      </x:c>
      <x:c r="B1017" s="11" t="n">
        <x:v>509</x:v>
      </x:c>
      <x:c r="C1017" s="18" t="n">
        <x:v>45890</x:v>
      </x:c>
      <x:c r="D1017" s="11" t="str">
        <x:v>2025-08</x:v>
      </x:c>
      <x:c r="E1017" s="11" t="str">
        <x:v>East</x:v>
      </x:c>
      <x:c r="F1017" s="11" t="str">
        <x:v>Office Supplies</x:v>
      </x:c>
      <x:c r="G1017" s="11" t="str">
        <x:v>Storage box</x:v>
      </x:c>
      <x:c r="H1017" s="11" t="n">
        <x:v>5</x:v>
      </x:c>
      <x:c r="I1017" s="19" t="n">
        <x:v>0.05</x:v>
      </x:c>
      <x:c r="J1017" s="11" t="n">
        <x:v>0</x:v>
      </x:c>
      <x:c r="K1017" s="20" t="n">
        <x:v>130</x:v>
      </x:c>
      <x:c r="L1017" s="20" t="n">
        <x:v>6.5</x:v>
      </x:c>
      <x:c r="M1017" s="20" t="n">
        <x:v>60</x:v>
      </x:c>
      <x:c r="N1017" s="20" t="n">
        <x:f>IF(J1017=1,0,K1017-L1017)</x:f>
        <x:v>123.5</x:v>
      </x:c>
      <x:c r="O1017" s="20" t="n">
        <x:f>N1017-M1017</x:f>
        <x:v>63.5</x:v>
      </x:c>
    </x:row>
    <x:row r="1018" ht="22" customHeight="1">
      <x:c r="A1018" s="11" t="n">
        <x:v>1014</x:v>
      </x:c>
      <x:c r="B1018" s="11" t="n">
        <x:v>509</x:v>
      </x:c>
      <x:c r="C1018" s="18" t="n">
        <x:v>45890</x:v>
      </x:c>
      <x:c r="D1018" s="11" t="str">
        <x:v>2025-08</x:v>
      </x:c>
      <x:c r="E1018" s="11" t="str">
        <x:v>East</x:v>
      </x:c>
      <x:c r="F1018" s="11" t="str">
        <x:v>Furniture</x:v>
      </x:c>
      <x:c r="G1018" s="11" t="str">
        <x:v>Chair</x:v>
      </x:c>
      <x:c r="H1018" s="11" t="n">
        <x:v>2</x:v>
      </x:c>
      <x:c r="I1018" s="19" t="n">
        <x:v>0.15</x:v>
      </x:c>
      <x:c r="J1018" s="11" t="n">
        <x:v>0</x:v>
      </x:c>
      <x:c r="K1018" s="20" t="n">
        <x:v>340</x:v>
      </x:c>
      <x:c r="L1018" s="20" t="n">
        <x:v>51</x:v>
      </x:c>
      <x:c r="M1018" s="20" t="n">
        <x:v>220</x:v>
      </x:c>
      <x:c r="N1018" s="20" t="n">
        <x:f>IF(J1018=1,0,K1018-L1018)</x:f>
        <x:v>289</x:v>
      </x:c>
      <x:c r="O1018" s="20" t="n">
        <x:f>N1018-M1018</x:f>
        <x:v>69</x:v>
      </x:c>
    </x:row>
    <x:row r="1019" ht="22" customHeight="1">
      <x:c r="A1019" s="11" t="n">
        <x:v>1015</x:v>
      </x:c>
      <x:c r="B1019" s="11" t="n">
        <x:v>509</x:v>
      </x:c>
      <x:c r="C1019" s="18" t="n">
        <x:v>45890</x:v>
      </x:c>
      <x:c r="D1019" s="11" t="str">
        <x:v>2025-08</x:v>
      </x:c>
      <x:c r="E1019" s="11" t="str">
        <x:v>East</x:v>
      </x:c>
      <x:c r="F1019" s="11" t="str">
        <x:v>Office Supplies</x:v>
      </x:c>
      <x:c r="G1019" s="11" t="str">
        <x:v>Notebook pack</x:v>
      </x:c>
      <x:c r="H1019" s="11" t="n">
        <x:v>1</x:v>
      </x:c>
      <x:c r="I1019" s="19" t="n">
        <x:v>0</x:v>
      </x:c>
      <x:c r="J1019" s="11" t="n">
        <x:v>1</x:v>
      </x:c>
      <x:c r="K1019" s="20" t="n">
        <x:v>18</x:v>
      </x:c>
      <x:c r="L1019" s="20" t="n">
        <x:v>0</x:v>
      </x:c>
      <x:c r="M1019" s="20" t="n">
        <x:v>0</x:v>
      </x:c>
      <x:c r="N1019" s="20" t="n">
        <x:f>IF(J1019=1,0,K1019-L1019)</x:f>
        <x:v>0</x:v>
      </x:c>
      <x:c r="O1019" s="20" t="n">
        <x:f>N1019-M1019</x:f>
        <x:v>0</x:v>
      </x:c>
    </x:row>
    <x:row r="1020" ht="22" customHeight="1">
      <x:c r="A1020" s="11" t="n">
        <x:v>1016</x:v>
      </x:c>
      <x:c r="B1020" s="11" t="n">
        <x:v>510</x:v>
      </x:c>
      <x:c r="C1020" s="18" t="n">
        <x:v>45392</x:v>
      </x:c>
      <x:c r="D1020" s="11" t="str">
        <x:v>2024-04</x:v>
      </x:c>
      <x:c r="E1020" s="11" t="str">
        <x:v>South</x:v>
      </x:c>
      <x:c r="F1020" s="11" t="str">
        <x:v>Technology</x:v>
      </x:c>
      <x:c r="G1020" s="11" t="str">
        <x:v>Keyboard</x:v>
      </x:c>
      <x:c r="H1020" s="11" t="n">
        <x:v>3</x:v>
      </x:c>
      <x:c r="I1020" s="19" t="n">
        <x:v>0.05</x:v>
      </x:c>
      <x:c r="J1020" s="11" t="n">
        <x:v>0</x:v>
      </x:c>
      <x:c r="K1020" s="20" t="n">
        <x:v>195</x:v>
      </x:c>
      <x:c r="L1020" s="20" t="n">
        <x:v>9.75</x:v>
      </x:c>
      <x:c r="M1020" s="20" t="n">
        <x:v>96</x:v>
      </x:c>
      <x:c r="N1020" s="20" t="n">
        <x:f>IF(J1020=1,0,K1020-L1020)</x:f>
        <x:v>185.25</x:v>
      </x:c>
      <x:c r="O1020" s="20" t="n">
        <x:f>N1020-M1020</x:f>
        <x:v>89.25</x:v>
      </x:c>
    </x:row>
    <x:row r="1021" ht="22" customHeight="1">
      <x:c r="A1021" s="11" t="n">
        <x:v>1017</x:v>
      </x:c>
      <x:c r="B1021" s="11" t="n">
        <x:v>510</x:v>
      </x:c>
      <x:c r="C1021" s="18" t="n">
        <x:v>45392</x:v>
      </x:c>
      <x:c r="D1021" s="11" t="str">
        <x:v>2024-04</x:v>
      </x:c>
      <x:c r="E1021" s="11" t="str">
        <x:v>South</x:v>
      </x:c>
      <x:c r="F1021" s="11" t="str">
        <x:v>Technology</x:v>
      </x:c>
      <x:c r="G1021" s="11" t="str">
        <x:v>Monitor</x:v>
      </x:c>
      <x:c r="H1021" s="11" t="n">
        <x:v>1</x:v>
      </x:c>
      <x:c r="I1021" s="19" t="n">
        <x:v>0.15</x:v>
      </x:c>
      <x:c r="J1021" s="11" t="n">
        <x:v>0</x:v>
      </x:c>
      <x:c r="K1021" s="20" t="n">
        <x:v>240</x:v>
      </x:c>
      <x:c r="L1021" s="20" t="n">
        <x:v>36</x:v>
      </x:c>
      <x:c r="M1021" s="20" t="n">
        <x:v>160</x:v>
      </x:c>
      <x:c r="N1021" s="20" t="n">
        <x:f>IF(J1021=1,0,K1021-L1021)</x:f>
        <x:v>204</x:v>
      </x:c>
      <x:c r="O1021" s="20" t="n">
        <x:f>N1021-M1021</x:f>
        <x:v>44</x:v>
      </x:c>
    </x:row>
    <x:row r="1022" ht="22" customHeight="1">
      <x:c r="A1022" s="11" t="n">
        <x:v>1018</x:v>
      </x:c>
      <x:c r="B1022" s="11" t="n">
        <x:v>510</x:v>
      </x:c>
      <x:c r="C1022" s="18" t="n">
        <x:v>45392</x:v>
      </x:c>
      <x:c r="D1022" s="11" t="str">
        <x:v>2024-04</x:v>
      </x:c>
      <x:c r="E1022" s="11" t="str">
        <x:v>South</x:v>
      </x:c>
      <x:c r="F1022" s="11" t="str">
        <x:v>Furniture</x:v>
      </x:c>
      <x:c r="G1022" s="11" t="str">
        <x:v>Chair</x:v>
      </x:c>
      <x:c r="H1022" s="11" t="n">
        <x:v>5</x:v>
      </x:c>
      <x:c r="I1022" s="19" t="n">
        <x:v>0.05</x:v>
      </x:c>
      <x:c r="J1022" s="11" t="n">
        <x:v>0</x:v>
      </x:c>
      <x:c r="K1022" s="20" t="n">
        <x:v>850</x:v>
      </x:c>
      <x:c r="L1022" s="20" t="n">
        <x:v>42.5</x:v>
      </x:c>
      <x:c r="M1022" s="20" t="n">
        <x:v>550</x:v>
      </x:c>
      <x:c r="N1022" s="20" t="n">
        <x:f>IF(J1022=1,0,K1022-L1022)</x:f>
        <x:v>807.5</x:v>
      </x:c>
      <x:c r="O1022" s="20" t="n">
        <x:f>N1022-M1022</x:f>
        <x:v>257.5</x:v>
      </x:c>
    </x:row>
    <x:row r="1023" ht="22" customHeight="1">
      <x:c r="A1023" s="11" t="n">
        <x:v>1019</x:v>
      </x:c>
      <x:c r="B1023" s="11" t="n">
        <x:v>511</x:v>
      </x:c>
      <x:c r="C1023" s="18" t="n">
        <x:v>45945</x:v>
      </x:c>
      <x:c r="D1023" s="11" t="str">
        <x:v>2025-10</x:v>
      </x:c>
      <x:c r="E1023" s="11" t="str">
        <x:v>West</x:v>
      </x:c>
      <x:c r="F1023" s="11" t="str">
        <x:v>Office Supplies</x:v>
      </x:c>
      <x:c r="G1023" s="11" t="str">
        <x:v>Notebook pack</x:v>
      </x:c>
      <x:c r="H1023" s="11" t="n">
        <x:v>2</x:v>
      </x:c>
      <x:c r="I1023" s="19" t="n">
        <x:v>0.1</x:v>
      </x:c>
      <x:c r="J1023" s="11" t="n">
        <x:v>0</x:v>
      </x:c>
      <x:c r="K1023" s="20" t="n">
        <x:v>36</x:v>
      </x:c>
      <x:c r="L1023" s="20" t="n">
        <x:v>3.6</x:v>
      </x:c>
      <x:c r="M1023" s="20" t="n">
        <x:v>14</x:v>
      </x:c>
      <x:c r="N1023" s="20" t="n">
        <x:f>IF(J1023=1,0,K1023-L1023)</x:f>
        <x:v>32.4</x:v>
      </x:c>
      <x:c r="O1023" s="20" t="n">
        <x:f>N1023-M1023</x:f>
        <x:v>18.4</x:v>
      </x:c>
    </x:row>
    <x:row r="1024" ht="22" customHeight="1">
      <x:c r="A1024" s="11" t="n">
        <x:v>1020</x:v>
      </x:c>
      <x:c r="B1024" s="11" t="n">
        <x:v>512</x:v>
      </x:c>
      <x:c r="C1024" s="18" t="n">
        <x:v>45955</x:v>
      </x:c>
      <x:c r="D1024" s="11" t="str">
        <x:v>2025-10</x:v>
      </x:c>
      <x:c r="E1024" s="11" t="str">
        <x:v>South</x:v>
      </x:c>
      <x:c r="F1024" s="11" t="str">
        <x:v>Office Supplies</x:v>
      </x:c>
      <x:c r="G1024" s="11" t="str">
        <x:v>Storage box</x:v>
      </x:c>
      <x:c r="H1024" s="11" t="n">
        <x:v>2</x:v>
      </x:c>
      <x:c r="I1024" s="19" t="n">
        <x:v>0.05</x:v>
      </x:c>
      <x:c r="J1024" s="11" t="n">
        <x:v>0</x:v>
      </x:c>
      <x:c r="K1024" s="20" t="n">
        <x:v>52</x:v>
      </x:c>
      <x:c r="L1024" s="20" t="n">
        <x:v>2.6</x:v>
      </x:c>
      <x:c r="M1024" s="20" t="n">
        <x:v>24</x:v>
      </x:c>
      <x:c r="N1024" s="20" t="n">
        <x:f>IF(J1024=1,0,K1024-L1024)</x:f>
        <x:v>49.4</x:v>
      </x:c>
      <x:c r="O1024" s="20" t="n">
        <x:f>N1024-M1024</x:f>
        <x:v>25.4</x:v>
      </x:c>
    </x:row>
    <x:row r="1025" ht="22" customHeight="1">
      <x:c r="A1025" s="11" t="n">
        <x:v>1021</x:v>
      </x:c>
      <x:c r="B1025" s="11" t="n">
        <x:v>513</x:v>
      </x:c>
      <x:c r="C1025" s="18" t="n">
        <x:v>45968</x:v>
      </x:c>
      <x:c r="D1025" s="11" t="str">
        <x:v>2025-11</x:v>
      </x:c>
      <x:c r="E1025" s="11" t="str">
        <x:v>South</x:v>
      </x:c>
      <x:c r="F1025" s="11" t="str">
        <x:v>Technology</x:v>
      </x:c>
      <x:c r="G1025" s="11" t="str">
        <x:v>Keyboard</x:v>
      </x:c>
      <x:c r="H1025" s="11" t="n">
        <x:v>3</x:v>
      </x:c>
      <x:c r="I1025" s="19" t="n">
        <x:v>0</x:v>
      </x:c>
      <x:c r="J1025" s="11" t="n">
        <x:v>0</x:v>
      </x:c>
      <x:c r="K1025" s="20" t="n">
        <x:v>195</x:v>
      </x:c>
      <x:c r="L1025" s="20" t="n">
        <x:v>0</x:v>
      </x:c>
      <x:c r="M1025" s="20" t="n">
        <x:v>96</x:v>
      </x:c>
      <x:c r="N1025" s="20" t="n">
        <x:f>IF(J1025=1,0,K1025-L1025)</x:f>
        <x:v>195</x:v>
      </x:c>
      <x:c r="O1025" s="20" t="n">
        <x:f>N1025-M1025</x:f>
        <x:v>99</x:v>
      </x:c>
    </x:row>
    <x:row r="1026" ht="22" customHeight="1">
      <x:c r="A1026" s="11" t="n">
        <x:v>1022</x:v>
      </x:c>
      <x:c r="B1026" s="11" t="n">
        <x:v>513</x:v>
      </x:c>
      <x:c r="C1026" s="18" t="n">
        <x:v>45968</x:v>
      </x:c>
      <x:c r="D1026" s="11" t="str">
        <x:v>2025-11</x:v>
      </x:c>
      <x:c r="E1026" s="11" t="str">
        <x:v>South</x:v>
      </x:c>
      <x:c r="F1026" s="11" t="str">
        <x:v>Technology</x:v>
      </x:c>
      <x:c r="G1026" s="11" t="str">
        <x:v>Monitor</x:v>
      </x:c>
      <x:c r="H1026" s="11" t="n">
        <x:v>3</x:v>
      </x:c>
      <x:c r="I1026" s="19" t="n">
        <x:v>0</x:v>
      </x:c>
      <x:c r="J1026" s="11" t="n">
        <x:v>0</x:v>
      </x:c>
      <x:c r="K1026" s="20" t="n">
        <x:v>720</x:v>
      </x:c>
      <x:c r="L1026" s="20" t="n">
        <x:v>0</x:v>
      </x:c>
      <x:c r="M1026" s="20" t="n">
        <x:v>480</x:v>
      </x:c>
      <x:c r="N1026" s="20" t="n">
        <x:f>IF(J1026=1,0,K1026-L1026)</x:f>
        <x:v>720</x:v>
      </x:c>
      <x:c r="O1026" s="20" t="n">
        <x:f>N1026-M1026</x:f>
        <x:v>240</x:v>
      </x:c>
    </x:row>
    <x:row r="1027" ht="22" customHeight="1">
      <x:c r="A1027" s="11" t="n">
        <x:v>1023</x:v>
      </x:c>
      <x:c r="B1027" s="11" t="n">
        <x:v>514</x:v>
      </x:c>
      <x:c r="C1027" s="18" t="n">
        <x:v>45632</x:v>
      </x:c>
      <x:c r="D1027" s="11" t="str">
        <x:v>2024-12</x:v>
      </x:c>
      <x:c r="E1027" s="11" t="str">
        <x:v>South</x:v>
      </x:c>
      <x:c r="F1027" s="11" t="str">
        <x:v>Furniture</x:v>
      </x:c>
      <x:c r="G1027" s="11" t="str">
        <x:v>Chair</x:v>
      </x:c>
      <x:c r="H1027" s="11" t="n">
        <x:v>1</x:v>
      </x:c>
      <x:c r="I1027" s="19" t="n">
        <x:v>0.35</x:v>
      </x:c>
      <x:c r="J1027" s="11" t="n">
        <x:v>0</x:v>
      </x:c>
      <x:c r="K1027" s="20" t="n">
        <x:v>170</x:v>
      </x:c>
      <x:c r="L1027" s="20" t="n">
        <x:v>59.5</x:v>
      </x:c>
      <x:c r="M1027" s="20" t="n">
        <x:v>110</x:v>
      </x:c>
      <x:c r="N1027" s="20" t="n">
        <x:f>IF(J1027=1,0,K1027-L1027)</x:f>
        <x:v>110.5</x:v>
      </x:c>
      <x:c r="O1027" s="20" t="n">
        <x:f>N1027-M1027</x:f>
        <x:v>0.5</x:v>
      </x:c>
    </x:row>
    <x:row r="1028" ht="22" customHeight="1">
      <x:c r="A1028" s="11" t="n">
        <x:v>1024</x:v>
      </x:c>
      <x:c r="B1028" s="11" t="n">
        <x:v>514</x:v>
      </x:c>
      <x:c r="C1028" s="18" t="n">
        <x:v>45632</x:v>
      </x:c>
      <x:c r="D1028" s="11" t="str">
        <x:v>2024-12</x:v>
      </x:c>
      <x:c r="E1028" s="11" t="str">
        <x:v>South</x:v>
      </x:c>
      <x:c r="F1028" s="11" t="str">
        <x:v>Technology</x:v>
      </x:c>
      <x:c r="G1028" s="11" t="str">
        <x:v>Keyboard</x:v>
      </x:c>
      <x:c r="H1028" s="11" t="n">
        <x:v>2</x:v>
      </x:c>
      <x:c r="I1028" s="19" t="n">
        <x:v>0.15</x:v>
      </x:c>
      <x:c r="J1028" s="11" t="n">
        <x:v>0</x:v>
      </x:c>
      <x:c r="K1028" s="20" t="n">
        <x:v>130</x:v>
      </x:c>
      <x:c r="L1028" s="20" t="n">
        <x:v>19.5</x:v>
      </x:c>
      <x:c r="M1028" s="20" t="n">
        <x:v>64</x:v>
      </x:c>
      <x:c r="N1028" s="20" t="n">
        <x:f>IF(J1028=1,0,K1028-L1028)</x:f>
        <x:v>110.5</x:v>
      </x:c>
      <x:c r="O1028" s="20" t="n">
        <x:f>N1028-M1028</x:f>
        <x:v>46.5</x:v>
      </x:c>
    </x:row>
    <x:row r="1029" ht="22" customHeight="1">
      <x:c r="A1029" s="11" t="n">
        <x:v>1025</x:v>
      </x:c>
      <x:c r="B1029" s="11" t="n">
        <x:v>515</x:v>
      </x:c>
      <x:c r="C1029" s="18" t="n">
        <x:v>45952</x:v>
      </x:c>
      <x:c r="D1029" s="11" t="str">
        <x:v>2025-10</x:v>
      </x:c>
      <x:c r="E1029" s="11" t="str">
        <x:v>West</x:v>
      </x:c>
      <x:c r="F1029" s="11" t="str">
        <x:v>Office Supplies</x:v>
      </x:c>
      <x:c r="G1029" s="11" t="str">
        <x:v>Notebook pack</x:v>
      </x:c>
      <x:c r="H1029" s="11" t="n">
        <x:v>4</x:v>
      </x:c>
      <x:c r="I1029" s="19" t="n">
        <x:v>0</x:v>
      </x:c>
      <x:c r="J1029" s="11" t="n">
        <x:v>0</x:v>
      </x:c>
      <x:c r="K1029" s="20" t="n">
        <x:v>72</x:v>
      </x:c>
      <x:c r="L1029" s="20" t="n">
        <x:v>0</x:v>
      </x:c>
      <x:c r="M1029" s="20" t="n">
        <x:v>28</x:v>
      </x:c>
      <x:c r="N1029" s="20" t="n">
        <x:f>IF(J1029=1,0,K1029-L1029)</x:f>
        <x:v>72</x:v>
      </x:c>
      <x:c r="O1029" s="20" t="n">
        <x:f>N1029-M1029</x:f>
        <x:v>44</x:v>
      </x:c>
    </x:row>
    <x:row r="1030" ht="22" customHeight="1">
      <x:c r="A1030" s="11" t="n">
        <x:v>1026</x:v>
      </x:c>
      <x:c r="B1030" s="11" t="n">
        <x:v>516</x:v>
      </x:c>
      <x:c r="C1030" s="18" t="n">
        <x:v>45400</x:v>
      </x:c>
      <x:c r="D1030" s="11" t="str">
        <x:v>2024-04</x:v>
      </x:c>
      <x:c r="E1030" s="11" t="str">
        <x:v>Central</x:v>
      </x:c>
      <x:c r="F1030" s="11" t="str">
        <x:v>Furniture</x:v>
      </x:c>
      <x:c r="G1030" s="11" t="str">
        <x:v>Desk</x:v>
      </x:c>
      <x:c r="H1030" s="11" t="n">
        <x:v>1</x:v>
      </x:c>
      <x:c r="I1030" s="19" t="n">
        <x:v>0</x:v>
      </x:c>
      <x:c r="J1030" s="11" t="n">
        <x:v>0</x:v>
      </x:c>
      <x:c r="K1030" s="20" t="n">
        <x:v>280</x:v>
      </x:c>
      <x:c r="L1030" s="20" t="n">
        <x:v>0</x:v>
      </x:c>
      <x:c r="M1030" s="20" t="n">
        <x:v>190</x:v>
      </x:c>
      <x:c r="N1030" s="20" t="n">
        <x:f>IF(J1030=1,0,K1030-L1030)</x:f>
        <x:v>280</x:v>
      </x:c>
      <x:c r="O1030" s="20" t="n">
        <x:f>N1030-M1030</x:f>
        <x:v>90</x:v>
      </x:c>
    </x:row>
    <x:row r="1031" ht="22" customHeight="1">
      <x:c r="A1031" s="11" t="n">
        <x:v>1027</x:v>
      </x:c>
      <x:c r="B1031" s="11" t="n">
        <x:v>517</x:v>
      </x:c>
      <x:c r="C1031" s="18" t="n">
        <x:v>45548</x:v>
      </x:c>
      <x:c r="D1031" s="11" t="str">
        <x:v>2024-09</x:v>
      </x:c>
      <x:c r="E1031" s="11" t="str">
        <x:v>South</x:v>
      </x:c>
      <x:c r="F1031" s="11" t="str">
        <x:v>Technology</x:v>
      </x:c>
      <x:c r="G1031" s="11" t="str">
        <x:v>Keyboard</x:v>
      </x:c>
      <x:c r="H1031" s="11" t="n">
        <x:v>2</x:v>
      </x:c>
      <x:c r="I1031" s="19" t="n">
        <x:v>0</x:v>
      </x:c>
      <x:c r="J1031" s="11" t="n">
        <x:v>0</x:v>
      </x:c>
      <x:c r="K1031" s="20" t="n">
        <x:v>130</x:v>
      </x:c>
      <x:c r="L1031" s="20" t="n">
        <x:v>0</x:v>
      </x:c>
      <x:c r="M1031" s="20" t="n">
        <x:v>64</x:v>
      </x:c>
      <x:c r="N1031" s="20" t="n">
        <x:f>IF(J1031=1,0,K1031-L1031)</x:f>
        <x:v>130</x:v>
      </x:c>
      <x:c r="O1031" s="20" t="n">
        <x:f>N1031-M1031</x:f>
        <x:v>66</x:v>
      </x:c>
    </x:row>
    <x:row r="1032" ht="22" customHeight="1">
      <x:c r="A1032" s="11" t="n">
        <x:v>1028</x:v>
      </x:c>
      <x:c r="B1032" s="11" t="n">
        <x:v>518</x:v>
      </x:c>
      <x:c r="C1032" s="18" t="n">
        <x:v>45972</x:v>
      </x:c>
      <x:c r="D1032" s="11" t="str">
        <x:v>2025-11</x:v>
      </x:c>
      <x:c r="E1032" s="11" t="str">
        <x:v>South</x:v>
      </x:c>
      <x:c r="F1032" s="11" t="str">
        <x:v>Office Supplies</x:v>
      </x:c>
      <x:c r="G1032" s="11" t="str">
        <x:v>Storage box</x:v>
      </x:c>
      <x:c r="H1032" s="11" t="n">
        <x:v>3</x:v>
      </x:c>
      <x:c r="I1032" s="19" t="n">
        <x:v>0.1</x:v>
      </x:c>
      <x:c r="J1032" s="11" t="n">
        <x:v>0</x:v>
      </x:c>
      <x:c r="K1032" s="20" t="n">
        <x:v>78</x:v>
      </x:c>
      <x:c r="L1032" s="20" t="n">
        <x:v>7.8</x:v>
      </x:c>
      <x:c r="M1032" s="20" t="n">
        <x:v>36</x:v>
      </x:c>
      <x:c r="N1032" s="20" t="n">
        <x:f>IF(J1032=1,0,K1032-L1032)</x:f>
        <x:v>70.2</x:v>
      </x:c>
      <x:c r="O1032" s="20" t="n">
        <x:f>N1032-M1032</x:f>
        <x:v>34.2</x:v>
      </x:c>
    </x:row>
    <x:row r="1033" ht="22" customHeight="1">
      <x:c r="A1033" s="11" t="n">
        <x:v>1029</x:v>
      </x:c>
      <x:c r="B1033" s="11" t="n">
        <x:v>519</x:v>
      </x:c>
      <x:c r="C1033" s="18" t="n">
        <x:v>45819</x:v>
      </x:c>
      <x:c r="D1033" s="11" t="str">
        <x:v>2025-06</x:v>
      </x:c>
      <x:c r="E1033" s="11" t="str">
        <x:v>South</x:v>
      </x:c>
      <x:c r="F1033" s="11" t="str">
        <x:v>Technology</x:v>
      </x:c>
      <x:c r="G1033" s="11" t="str">
        <x:v>Keyboard</x:v>
      </x:c>
      <x:c r="H1033" s="11" t="n">
        <x:v>1</x:v>
      </x:c>
      <x:c r="I1033" s="19" t="n">
        <x:v>0.15</x:v>
      </x:c>
      <x:c r="J1033" s="11" t="n">
        <x:v>0</x:v>
      </x:c>
      <x:c r="K1033" s="20" t="n">
        <x:v>65</x:v>
      </x:c>
      <x:c r="L1033" s="20" t="n">
        <x:v>9.75</x:v>
      </x:c>
      <x:c r="M1033" s="20" t="n">
        <x:v>32</x:v>
      </x:c>
      <x:c r="N1033" s="20" t="n">
        <x:f>IF(J1033=1,0,K1033-L1033)</x:f>
        <x:v>55.25</x:v>
      </x:c>
      <x:c r="O1033" s="20" t="n">
        <x:f>N1033-M1033</x:f>
        <x:v>23.25</x:v>
      </x:c>
    </x:row>
    <x:row r="1034" ht="22" customHeight="1">
      <x:c r="A1034" s="11" t="n">
        <x:v>1030</x:v>
      </x:c>
      <x:c r="B1034" s="11" t="n">
        <x:v>519</x:v>
      </x:c>
      <x:c r="C1034" s="18" t="n">
        <x:v>45819</x:v>
      </x:c>
      <x:c r="D1034" s="11" t="str">
        <x:v>2025-06</x:v>
      </x:c>
      <x:c r="E1034" s="11" t="str">
        <x:v>South</x:v>
      </x:c>
      <x:c r="F1034" s="11" t="str">
        <x:v>Office Supplies</x:v>
      </x:c>
      <x:c r="G1034" s="11" t="str">
        <x:v>Storage box</x:v>
      </x:c>
      <x:c r="H1034" s="11" t="n">
        <x:v>4</x:v>
      </x:c>
      <x:c r="I1034" s="19" t="n">
        <x:v>0.1</x:v>
      </x:c>
      <x:c r="J1034" s="11" t="n">
        <x:v>0</x:v>
      </x:c>
      <x:c r="K1034" s="20" t="n">
        <x:v>104</x:v>
      </x:c>
      <x:c r="L1034" s="20" t="n">
        <x:v>10.4</x:v>
      </x:c>
      <x:c r="M1034" s="20" t="n">
        <x:v>48</x:v>
      </x:c>
      <x:c r="N1034" s="20" t="n">
        <x:f>IF(J1034=1,0,K1034-L1034)</x:f>
        <x:v>93.6</x:v>
      </x:c>
      <x:c r="O1034" s="20" t="n">
        <x:f>N1034-M1034</x:f>
        <x:v>45.599999999999994</x:v>
      </x:c>
    </x:row>
    <x:row r="1035" ht="22" customHeight="1">
      <x:c r="A1035" s="11" t="n">
        <x:v>1031</x:v>
      </x:c>
      <x:c r="B1035" s="11" t="n">
        <x:v>520</x:v>
      </x:c>
      <x:c r="C1035" s="18" t="n">
        <x:v>45840</x:v>
      </x:c>
      <x:c r="D1035" s="11" t="str">
        <x:v>2025-07</x:v>
      </x:c>
      <x:c r="E1035" s="11" t="str">
        <x:v>East</x:v>
      </x:c>
      <x:c r="F1035" s="11" t="str">
        <x:v>Technology</x:v>
      </x:c>
      <x:c r="G1035" s="11" t="str">
        <x:v>Monitor</x:v>
      </x:c>
      <x:c r="H1035" s="11" t="n">
        <x:v>1</x:v>
      </x:c>
      <x:c r="I1035" s="19" t="n">
        <x:v>0.05</x:v>
      </x:c>
      <x:c r="J1035" s="11" t="n">
        <x:v>0</x:v>
      </x:c>
      <x:c r="K1035" s="20" t="n">
        <x:v>240</x:v>
      </x:c>
      <x:c r="L1035" s="20" t="n">
        <x:v>12</x:v>
      </x:c>
      <x:c r="M1035" s="20" t="n">
        <x:v>160</x:v>
      </x:c>
      <x:c r="N1035" s="20" t="n">
        <x:f>IF(J1035=1,0,K1035-L1035)</x:f>
        <x:v>228</x:v>
      </x:c>
      <x:c r="O1035" s="20" t="n">
        <x:f>N1035-M1035</x:f>
        <x:v>68</x:v>
      </x:c>
    </x:row>
    <x:row r="1036" ht="22" customHeight="1">
      <x:c r="A1036" s="11" t="n">
        <x:v>1032</x:v>
      </x:c>
      <x:c r="B1036" s="11" t="n">
        <x:v>520</x:v>
      </x:c>
      <x:c r="C1036" s="18" t="n">
        <x:v>45840</x:v>
      </x:c>
      <x:c r="D1036" s="11" t="str">
        <x:v>2025-07</x:v>
      </x:c>
      <x:c r="E1036" s="11" t="str">
        <x:v>East</x:v>
      </x:c>
      <x:c r="F1036" s="11" t="str">
        <x:v>Technology</x:v>
      </x:c>
      <x:c r="G1036" s="11" t="str">
        <x:v>Keyboard</x:v>
      </x:c>
      <x:c r="H1036" s="11" t="n">
        <x:v>3</x:v>
      </x:c>
      <x:c r="I1036" s="19" t="n">
        <x:v>0</x:v>
      </x:c>
      <x:c r="J1036" s="11" t="n">
        <x:v>0</x:v>
      </x:c>
      <x:c r="K1036" s="20" t="n">
        <x:v>195</x:v>
      </x:c>
      <x:c r="L1036" s="20" t="n">
        <x:v>0</x:v>
      </x:c>
      <x:c r="M1036" s="20" t="n">
        <x:v>96</x:v>
      </x:c>
      <x:c r="N1036" s="20" t="n">
        <x:f>IF(J1036=1,0,K1036-L1036)</x:f>
        <x:v>195</x:v>
      </x:c>
      <x:c r="O1036" s="20" t="n">
        <x:f>N1036-M1036</x:f>
        <x:v>99</x:v>
      </x:c>
    </x:row>
    <x:row r="1037" ht="22" customHeight="1">
      <x:c r="A1037" s="11" t="n">
        <x:v>1033</x:v>
      </x:c>
      <x:c r="B1037" s="11" t="n">
        <x:v>520</x:v>
      </x:c>
      <x:c r="C1037" s="18" t="n">
        <x:v>45840</x:v>
      </x:c>
      <x:c r="D1037" s="11" t="str">
        <x:v>2025-07</x:v>
      </x:c>
      <x:c r="E1037" s="11" t="str">
        <x:v>East</x:v>
      </x:c>
      <x:c r="F1037" s="11" t="str">
        <x:v>Furniture</x:v>
      </x:c>
      <x:c r="G1037" s="11" t="str">
        <x:v>Desk</x:v>
      </x:c>
      <x:c r="H1037" s="11" t="n">
        <x:v>3</x:v>
      </x:c>
      <x:c r="I1037" s="19" t="n">
        <x:v>0.05</x:v>
      </x:c>
      <x:c r="J1037" s="11" t="n">
        <x:v>0</x:v>
      </x:c>
      <x:c r="K1037" s="20" t="n">
        <x:v>840</x:v>
      </x:c>
      <x:c r="L1037" s="20" t="n">
        <x:v>42</x:v>
      </x:c>
      <x:c r="M1037" s="20" t="n">
        <x:v>570</x:v>
      </x:c>
      <x:c r="N1037" s="20" t="n">
        <x:f>IF(J1037=1,0,K1037-L1037)</x:f>
        <x:v>798</x:v>
      </x:c>
      <x:c r="O1037" s="20" t="n">
        <x:f>N1037-M1037</x:f>
        <x:v>228</x:v>
      </x:c>
    </x:row>
    <x:row r="1038" ht="22" customHeight="1">
      <x:c r="A1038" s="11" t="n">
        <x:v>1034</x:v>
      </x:c>
      <x:c r="B1038" s="11" t="n">
        <x:v>521</x:v>
      </x:c>
      <x:c r="C1038" s="18" t="n">
        <x:v>45332</x:v>
      </x:c>
      <x:c r="D1038" s="11" t="str">
        <x:v>2024-02</x:v>
      </x:c>
      <x:c r="E1038" s="11" t="str">
        <x:v>West</x:v>
      </x:c>
      <x:c r="F1038" s="11" t="str">
        <x:v>Office Supplies</x:v>
      </x:c>
      <x:c r="G1038" s="11" t="str">
        <x:v>Storage box</x:v>
      </x:c>
      <x:c r="H1038" s="11" t="n">
        <x:v>1</x:v>
      </x:c>
      <x:c r="I1038" s="19" t="n">
        <x:v>0.05</x:v>
      </x:c>
      <x:c r="J1038" s="11" t="n">
        <x:v>0</x:v>
      </x:c>
      <x:c r="K1038" s="20" t="n">
        <x:v>26</x:v>
      </x:c>
      <x:c r="L1038" s="20" t="n">
        <x:v>1.3</x:v>
      </x:c>
      <x:c r="M1038" s="20" t="n">
        <x:v>12</x:v>
      </x:c>
      <x:c r="N1038" s="20" t="n">
        <x:f>IF(J1038=1,0,K1038-L1038)</x:f>
        <x:v>24.7</x:v>
      </x:c>
      <x:c r="O1038" s="20" t="n">
        <x:f>N1038-M1038</x:f>
        <x:v>12.7</x:v>
      </x:c>
    </x:row>
    <x:row r="1039" ht="22" customHeight="1">
      <x:c r="A1039" s="11" t="n">
        <x:v>1035</x:v>
      </x:c>
      <x:c r="B1039" s="11" t="n">
        <x:v>521</x:v>
      </x:c>
      <x:c r="C1039" s="18" t="n">
        <x:v>45332</x:v>
      </x:c>
      <x:c r="D1039" s="11" t="str">
        <x:v>2024-02</x:v>
      </x:c>
      <x:c r="E1039" s="11" t="str">
        <x:v>West</x:v>
      </x:c>
      <x:c r="F1039" s="11" t="str">
        <x:v>Technology</x:v>
      </x:c>
      <x:c r="G1039" s="11" t="str">
        <x:v>Keyboard</x:v>
      </x:c>
      <x:c r="H1039" s="11" t="n">
        <x:v>4</x:v>
      </x:c>
      <x:c r="I1039" s="19" t="n">
        <x:v>0</x:v>
      </x:c>
      <x:c r="J1039" s="11" t="n">
        <x:v>0</x:v>
      </x:c>
      <x:c r="K1039" s="20" t="n">
        <x:v>260</x:v>
      </x:c>
      <x:c r="L1039" s="20" t="n">
        <x:v>0</x:v>
      </x:c>
      <x:c r="M1039" s="20" t="n">
        <x:v>128</x:v>
      </x:c>
      <x:c r="N1039" s="20" t="n">
        <x:f>IF(J1039=1,0,K1039-L1039)</x:f>
        <x:v>260</x:v>
      </x:c>
      <x:c r="O1039" s="20" t="n">
        <x:f>N1039-M1039</x:f>
        <x:v>132</x:v>
      </x:c>
    </x:row>
    <x:row r="1040" ht="22" customHeight="1">
      <x:c r="A1040" s="11" t="n">
        <x:v>1036</x:v>
      </x:c>
      <x:c r="B1040" s="11" t="n">
        <x:v>522</x:v>
      </x:c>
      <x:c r="C1040" s="18" t="n">
        <x:v>45489</x:v>
      </x:c>
      <x:c r="D1040" s="11" t="str">
        <x:v>2024-07</x:v>
      </x:c>
      <x:c r="E1040" s="11" t="str">
        <x:v>West</x:v>
      </x:c>
      <x:c r="F1040" s="11" t="str">
        <x:v>Technology</x:v>
      </x:c>
      <x:c r="G1040" s="11" t="str">
        <x:v>Keyboard</x:v>
      </x:c>
      <x:c r="H1040" s="11" t="n">
        <x:v>5</x:v>
      </x:c>
      <x:c r="I1040" s="19" t="n">
        <x:v>0.05</x:v>
      </x:c>
      <x:c r="J1040" s="11" t="n">
        <x:v>0</x:v>
      </x:c>
      <x:c r="K1040" s="20" t="n">
        <x:v>325</x:v>
      </x:c>
      <x:c r="L1040" s="20" t="n">
        <x:v>16.25</x:v>
      </x:c>
      <x:c r="M1040" s="20" t="n">
        <x:v>160</x:v>
      </x:c>
      <x:c r="N1040" s="20" t="n">
        <x:f>IF(J1040=1,0,K1040-L1040)</x:f>
        <x:v>308.75</x:v>
      </x:c>
      <x:c r="O1040" s="20" t="n">
        <x:f>N1040-M1040</x:f>
        <x:v>148.75</x:v>
      </x:c>
    </x:row>
    <x:row r="1041" ht="22" customHeight="1">
      <x:c r="A1041" s="11" t="n">
        <x:v>1037</x:v>
      </x:c>
      <x:c r="B1041" s="11" t="n">
        <x:v>522</x:v>
      </x:c>
      <x:c r="C1041" s="18" t="n">
        <x:v>45489</x:v>
      </x:c>
      <x:c r="D1041" s="11" t="str">
        <x:v>2024-07</x:v>
      </x:c>
      <x:c r="E1041" s="11" t="str">
        <x:v>West</x:v>
      </x:c>
      <x:c r="F1041" s="11" t="str">
        <x:v>Furniture</x:v>
      </x:c>
      <x:c r="G1041" s="11" t="str">
        <x:v>Desk</x:v>
      </x:c>
      <x:c r="H1041" s="11" t="n">
        <x:v>4</x:v>
      </x:c>
      <x:c r="I1041" s="19" t="n">
        <x:v>0</x:v>
      </x:c>
      <x:c r="J1041" s="11" t="n">
        <x:v>1</x:v>
      </x:c>
      <x:c r="K1041" s="20" t="n">
        <x:v>1120</x:v>
      </x:c>
      <x:c r="L1041" s="20" t="n">
        <x:v>0</x:v>
      </x:c>
      <x:c r="M1041" s="20" t="n">
        <x:v>0</x:v>
      </x:c>
      <x:c r="N1041" s="20" t="n">
        <x:f>IF(J1041=1,0,K1041-L1041)</x:f>
        <x:v>0</x:v>
      </x:c>
      <x:c r="O1041" s="20" t="n">
        <x:f>N1041-M1041</x:f>
        <x:v>0</x:v>
      </x:c>
    </x:row>
    <x:row r="1042" ht="22" customHeight="1">
      <x:c r="A1042" s="11" t="n">
        <x:v>1038</x:v>
      </x:c>
      <x:c r="B1042" s="11" t="n">
        <x:v>523</x:v>
      </x:c>
      <x:c r="C1042" s="18" t="n">
        <x:v>45349</x:v>
      </x:c>
      <x:c r="D1042" s="11" t="str">
        <x:v>2024-02</x:v>
      </x:c>
      <x:c r="E1042" s="11" t="str">
        <x:v>South</x:v>
      </x:c>
      <x:c r="F1042" s="11" t="str">
        <x:v>Furniture</x:v>
      </x:c>
      <x:c r="G1042" s="11" t="str">
        <x:v>Desk</x:v>
      </x:c>
      <x:c r="H1042" s="11" t="n">
        <x:v>5</x:v>
      </x:c>
      <x:c r="I1042" s="19" t="n">
        <x:v>0.35</x:v>
      </x:c>
      <x:c r="J1042" s="11" t="n">
        <x:v>0</x:v>
      </x:c>
      <x:c r="K1042" s="20" t="n">
        <x:v>1400</x:v>
      </x:c>
      <x:c r="L1042" s="20" t="n">
        <x:v>490</x:v>
      </x:c>
      <x:c r="M1042" s="20" t="n">
        <x:v>950</x:v>
      </x:c>
      <x:c r="N1042" s="20" t="n">
        <x:f>IF(J1042=1,0,K1042-L1042)</x:f>
        <x:v>910</x:v>
      </x:c>
      <x:c r="O1042" s="20" t="n">
        <x:f>N1042-M1042</x:f>
        <x:v>-40</x:v>
      </x:c>
    </x:row>
    <x:row r="1043" ht="22" customHeight="1">
      <x:c r="A1043" s="11" t="n">
        <x:v>1039</x:v>
      </x:c>
      <x:c r="B1043" s="11" t="n">
        <x:v>523</x:v>
      </x:c>
      <x:c r="C1043" s="18" t="n">
        <x:v>45349</x:v>
      </x:c>
      <x:c r="D1043" s="11" t="str">
        <x:v>2024-02</x:v>
      </x:c>
      <x:c r="E1043" s="11" t="str">
        <x:v>South</x:v>
      </x:c>
      <x:c r="F1043" s="11" t="str">
        <x:v>Furniture</x:v>
      </x:c>
      <x:c r="G1043" s="11" t="str">
        <x:v>Chair</x:v>
      </x:c>
      <x:c r="H1043" s="11" t="n">
        <x:v>5</x:v>
      </x:c>
      <x:c r="I1043" s="19" t="n">
        <x:v>0</x:v>
      </x:c>
      <x:c r="J1043" s="11" t="n">
        <x:v>0</x:v>
      </x:c>
      <x:c r="K1043" s="20" t="n">
        <x:v>850</x:v>
      </x:c>
      <x:c r="L1043" s="20" t="n">
        <x:v>0</x:v>
      </x:c>
      <x:c r="M1043" s="20" t="n">
        <x:v>550</x:v>
      </x:c>
      <x:c r="N1043" s="20" t="n">
        <x:f>IF(J1043=1,0,K1043-L1043)</x:f>
        <x:v>850</x:v>
      </x:c>
      <x:c r="O1043" s="20" t="n">
        <x:f>N1043-M1043</x:f>
        <x:v>300</x:v>
      </x:c>
    </x:row>
    <x:row r="1044" ht="22" customHeight="1">
      <x:c r="A1044" s="11" t="n">
        <x:v>1040</x:v>
      </x:c>
      <x:c r="B1044" s="11" t="n">
        <x:v>524</x:v>
      </x:c>
      <x:c r="C1044" s="18" t="n">
        <x:v>45530</x:v>
      </x:c>
      <x:c r="D1044" s="11" t="str">
        <x:v>2024-08</x:v>
      </x:c>
      <x:c r="E1044" s="11" t="str">
        <x:v>South</x:v>
      </x:c>
      <x:c r="F1044" s="11" t="str">
        <x:v>Furniture</x:v>
      </x:c>
      <x:c r="G1044" s="11" t="str">
        <x:v>Chair</x:v>
      </x:c>
      <x:c r="H1044" s="11" t="n">
        <x:v>4</x:v>
      </x:c>
      <x:c r="I1044" s="19" t="n">
        <x:v>0</x:v>
      </x:c>
      <x:c r="J1044" s="11" t="n">
        <x:v>0</x:v>
      </x:c>
      <x:c r="K1044" s="20" t="n">
        <x:v>680</x:v>
      </x:c>
      <x:c r="L1044" s="20" t="n">
        <x:v>0</x:v>
      </x:c>
      <x:c r="M1044" s="20" t="n">
        <x:v>440</x:v>
      </x:c>
      <x:c r="N1044" s="20" t="n">
        <x:f>IF(J1044=1,0,K1044-L1044)</x:f>
        <x:v>680</x:v>
      </x:c>
      <x:c r="O1044" s="20" t="n">
        <x:f>N1044-M1044</x:f>
        <x:v>240</x:v>
      </x:c>
    </x:row>
    <x:row r="1045" ht="22" customHeight="1">
      <x:c r="A1045" s="11" t="n">
        <x:v>1041</x:v>
      </x:c>
      <x:c r="B1045" s="11" t="n">
        <x:v>524</x:v>
      </x:c>
      <x:c r="C1045" s="18" t="n">
        <x:v>45530</x:v>
      </x:c>
      <x:c r="D1045" s="11" t="str">
        <x:v>2024-08</x:v>
      </x:c>
      <x:c r="E1045" s="11" t="str">
        <x:v>South</x:v>
      </x:c>
      <x:c r="F1045" s="11" t="str">
        <x:v>Technology</x:v>
      </x:c>
      <x:c r="G1045" s="11" t="str">
        <x:v>Keyboard</x:v>
      </x:c>
      <x:c r="H1045" s="11" t="n">
        <x:v>2</x:v>
      </x:c>
      <x:c r="I1045" s="19" t="n">
        <x:v>0</x:v>
      </x:c>
      <x:c r="J1045" s="11" t="n">
        <x:v>0</x:v>
      </x:c>
      <x:c r="K1045" s="20" t="n">
        <x:v>130</x:v>
      </x:c>
      <x:c r="L1045" s="20" t="n">
        <x:v>0</x:v>
      </x:c>
      <x:c r="M1045" s="20" t="n">
        <x:v>64</x:v>
      </x:c>
      <x:c r="N1045" s="20" t="n">
        <x:f>IF(J1045=1,0,K1045-L1045)</x:f>
        <x:v>130</x:v>
      </x:c>
      <x:c r="O1045" s="20" t="n">
        <x:f>N1045-M1045</x:f>
        <x:v>66</x:v>
      </x:c>
    </x:row>
    <x:row r="1046" ht="22" customHeight="1">
      <x:c r="A1046" s="11" t="n">
        <x:v>1042</x:v>
      </x:c>
      <x:c r="B1046" s="11" t="n">
        <x:v>524</x:v>
      </x:c>
      <x:c r="C1046" s="18" t="n">
        <x:v>45530</x:v>
      </x:c>
      <x:c r="D1046" s="11" t="str">
        <x:v>2024-08</x:v>
      </x:c>
      <x:c r="E1046" s="11" t="str">
        <x:v>South</x:v>
      </x:c>
      <x:c r="F1046" s="11" t="str">
        <x:v>Furniture</x:v>
      </x:c>
      <x:c r="G1046" s="11" t="str">
        <x:v>Desk</x:v>
      </x:c>
      <x:c r="H1046" s="11" t="n">
        <x:v>1</x:v>
      </x:c>
      <x:c r="I1046" s="19" t="n">
        <x:v>0.1</x:v>
      </x:c>
      <x:c r="J1046" s="11" t="n">
        <x:v>0</x:v>
      </x:c>
      <x:c r="K1046" s="20" t="n">
        <x:v>280</x:v>
      </x:c>
      <x:c r="L1046" s="20" t="n">
        <x:v>28</x:v>
      </x:c>
      <x:c r="M1046" s="20" t="n">
        <x:v>190</x:v>
      </x:c>
      <x:c r="N1046" s="20" t="n">
        <x:f>IF(J1046=1,0,K1046-L1046)</x:f>
        <x:v>252</x:v>
      </x:c>
      <x:c r="O1046" s="20" t="n">
        <x:f>N1046-M1046</x:f>
        <x:v>62</x:v>
      </x:c>
    </x:row>
    <x:row r="1047" ht="22" customHeight="1">
      <x:c r="A1047" s="11" t="n">
        <x:v>1043</x:v>
      </x:c>
      <x:c r="B1047" s="11" t="n">
        <x:v>525</x:v>
      </x:c>
      <x:c r="C1047" s="18" t="n">
        <x:v>45391</x:v>
      </x:c>
      <x:c r="D1047" s="11" t="str">
        <x:v>2024-04</x:v>
      </x:c>
      <x:c r="E1047" s="11" t="str">
        <x:v>East</x:v>
      </x:c>
      <x:c r="F1047" s="11" t="str">
        <x:v>Furniture</x:v>
      </x:c>
      <x:c r="G1047" s="11" t="str">
        <x:v>Desk</x:v>
      </x:c>
      <x:c r="H1047" s="11" t="n">
        <x:v>4</x:v>
      </x:c>
      <x:c r="I1047" s="19" t="n">
        <x:v>0.05</x:v>
      </x:c>
      <x:c r="J1047" s="11" t="n">
        <x:v>0</x:v>
      </x:c>
      <x:c r="K1047" s="20" t="n">
        <x:v>1120</x:v>
      </x:c>
      <x:c r="L1047" s="20" t="n">
        <x:v>56</x:v>
      </x:c>
      <x:c r="M1047" s="20" t="n">
        <x:v>760</x:v>
      </x:c>
      <x:c r="N1047" s="20" t="n">
        <x:f>IF(J1047=1,0,K1047-L1047)</x:f>
        <x:v>1064</x:v>
      </x:c>
      <x:c r="O1047" s="20" t="n">
        <x:f>N1047-M1047</x:f>
        <x:v>304</x:v>
      </x:c>
    </x:row>
    <x:row r="1048" ht="22" customHeight="1">
      <x:c r="A1048" s="11" t="n">
        <x:v>1044</x:v>
      </x:c>
      <x:c r="B1048" s="11" t="n">
        <x:v>525</x:v>
      </x:c>
      <x:c r="C1048" s="18" t="n">
        <x:v>45391</x:v>
      </x:c>
      <x:c r="D1048" s="11" t="str">
        <x:v>2024-04</x:v>
      </x:c>
      <x:c r="E1048" s="11" t="str">
        <x:v>East</x:v>
      </x:c>
      <x:c r="F1048" s="11" t="str">
        <x:v>Office Supplies</x:v>
      </x:c>
      <x:c r="G1048" s="11" t="str">
        <x:v>Storage box</x:v>
      </x:c>
      <x:c r="H1048" s="11" t="n">
        <x:v>2</x:v>
      </x:c>
      <x:c r="I1048" s="19" t="n">
        <x:v>0.1</x:v>
      </x:c>
      <x:c r="J1048" s="11" t="n">
        <x:v>0</x:v>
      </x:c>
      <x:c r="K1048" s="20" t="n">
        <x:v>52</x:v>
      </x:c>
      <x:c r="L1048" s="20" t="n">
        <x:v>5.2</x:v>
      </x:c>
      <x:c r="M1048" s="20" t="n">
        <x:v>24</x:v>
      </x:c>
      <x:c r="N1048" s="20" t="n">
        <x:f>IF(J1048=1,0,K1048-L1048)</x:f>
        <x:v>46.8</x:v>
      </x:c>
      <x:c r="O1048" s="20" t="n">
        <x:f>N1048-M1048</x:f>
        <x:v>22.799999999999997</x:v>
      </x:c>
    </x:row>
    <x:row r="1049" ht="22" customHeight="1">
      <x:c r="A1049" s="11" t="n">
        <x:v>1045</x:v>
      </x:c>
      <x:c r="B1049" s="11" t="n">
        <x:v>525</x:v>
      </x:c>
      <x:c r="C1049" s="18" t="n">
        <x:v>45391</x:v>
      </x:c>
      <x:c r="D1049" s="11" t="str">
        <x:v>2024-04</x:v>
      </x:c>
      <x:c r="E1049" s="11" t="str">
        <x:v>East</x:v>
      </x:c>
      <x:c r="F1049" s="11" t="str">
        <x:v>Office Supplies</x:v>
      </x:c>
      <x:c r="G1049" s="11" t="str">
        <x:v>Notebook pack</x:v>
      </x:c>
      <x:c r="H1049" s="11" t="n">
        <x:v>4</x:v>
      </x:c>
      <x:c r="I1049" s="19" t="n">
        <x:v>0.05</x:v>
      </x:c>
      <x:c r="J1049" s="11" t="n">
        <x:v>0</x:v>
      </x:c>
      <x:c r="K1049" s="20" t="n">
        <x:v>72</x:v>
      </x:c>
      <x:c r="L1049" s="20" t="n">
        <x:v>3.6</x:v>
      </x:c>
      <x:c r="M1049" s="20" t="n">
        <x:v>28</x:v>
      </x:c>
      <x:c r="N1049" s="20" t="n">
        <x:f>IF(J1049=1,0,K1049-L1049)</x:f>
        <x:v>68.4</x:v>
      </x:c>
      <x:c r="O1049" s="20" t="n">
        <x:f>N1049-M1049</x:f>
        <x:v>40.400000000000006</x:v>
      </x:c>
    </x:row>
    <x:row r="1050" ht="22" customHeight="1">
      <x:c r="A1050" s="11" t="n">
        <x:v>1046</x:v>
      </x:c>
      <x:c r="B1050" s="11" t="n">
        <x:v>526</x:v>
      </x:c>
      <x:c r="C1050" s="18" t="n">
        <x:v>45992</x:v>
      </x:c>
      <x:c r="D1050" s="11" t="str">
        <x:v>2025-12</x:v>
      </x:c>
      <x:c r="E1050" s="11" t="str">
        <x:v>Central</x:v>
      </x:c>
      <x:c r="F1050" s="11" t="str">
        <x:v>Furniture</x:v>
      </x:c>
      <x:c r="G1050" s="11" t="str">
        <x:v>Chair</x:v>
      </x:c>
      <x:c r="H1050" s="11" t="n">
        <x:v>5</x:v>
      </x:c>
      <x:c r="I1050" s="19" t="n">
        <x:v>0</x:v>
      </x:c>
      <x:c r="J1050" s="11" t="n">
        <x:v>0</x:v>
      </x:c>
      <x:c r="K1050" s="20" t="n">
        <x:v>850</x:v>
      </x:c>
      <x:c r="L1050" s="20" t="n">
        <x:v>0</x:v>
      </x:c>
      <x:c r="M1050" s="20" t="n">
        <x:v>550</x:v>
      </x:c>
      <x:c r="N1050" s="20" t="n">
        <x:f>IF(J1050=1,0,K1050-L1050)</x:f>
        <x:v>850</x:v>
      </x:c>
      <x:c r="O1050" s="20" t="n">
        <x:f>N1050-M1050</x:f>
        <x:v>300</x:v>
      </x:c>
    </x:row>
    <x:row r="1051" ht="22" customHeight="1">
      <x:c r="A1051" s="11" t="n">
        <x:v>1047</x:v>
      </x:c>
      <x:c r="B1051" s="11" t="n">
        <x:v>526</x:v>
      </x:c>
      <x:c r="C1051" s="18" t="n">
        <x:v>45992</x:v>
      </x:c>
      <x:c r="D1051" s="11" t="str">
        <x:v>2025-12</x:v>
      </x:c>
      <x:c r="E1051" s="11" t="str">
        <x:v>Central</x:v>
      </x:c>
      <x:c r="F1051" s="11" t="str">
        <x:v>Furniture</x:v>
      </x:c>
      <x:c r="G1051" s="11" t="str">
        <x:v>Desk</x:v>
      </x:c>
      <x:c r="H1051" s="11" t="n">
        <x:v>1</x:v>
      </x:c>
      <x:c r="I1051" s="19" t="n">
        <x:v>0.1</x:v>
      </x:c>
      <x:c r="J1051" s="11" t="n">
        <x:v>0</x:v>
      </x:c>
      <x:c r="K1051" s="20" t="n">
        <x:v>280</x:v>
      </x:c>
      <x:c r="L1051" s="20" t="n">
        <x:v>28</x:v>
      </x:c>
      <x:c r="M1051" s="20" t="n">
        <x:v>190</x:v>
      </x:c>
      <x:c r="N1051" s="20" t="n">
        <x:f>IF(J1051=1,0,K1051-L1051)</x:f>
        <x:v>252</x:v>
      </x:c>
      <x:c r="O1051" s="20" t="n">
        <x:f>N1051-M1051</x:f>
        <x:v>62</x:v>
      </x:c>
    </x:row>
    <x:row r="1052" ht="22" customHeight="1">
      <x:c r="A1052" s="11" t="n">
        <x:v>1048</x:v>
      </x:c>
      <x:c r="B1052" s="11" t="n">
        <x:v>527</x:v>
      </x:c>
      <x:c r="C1052" s="18" t="n">
        <x:v>45717</x:v>
      </x:c>
      <x:c r="D1052" s="11" t="str">
        <x:v>2025-03</x:v>
      </x:c>
      <x:c r="E1052" s="11" t="str">
        <x:v>South</x:v>
      </x:c>
      <x:c r="F1052" s="11" t="str">
        <x:v>Furniture</x:v>
      </x:c>
      <x:c r="G1052" s="11" t="str">
        <x:v>Chair</x:v>
      </x:c>
      <x:c r="H1052" s="11" t="n">
        <x:v>5</x:v>
      </x:c>
      <x:c r="I1052" s="19" t="n">
        <x:v>0</x:v>
      </x:c>
      <x:c r="J1052" s="11" t="n">
        <x:v>0</x:v>
      </x:c>
      <x:c r="K1052" s="20" t="n">
        <x:v>850</x:v>
      </x:c>
      <x:c r="L1052" s="20" t="n">
        <x:v>0</x:v>
      </x:c>
      <x:c r="M1052" s="20" t="n">
        <x:v>550</x:v>
      </x:c>
      <x:c r="N1052" s="20" t="n">
        <x:f>IF(J1052=1,0,K1052-L1052)</x:f>
        <x:v>850</x:v>
      </x:c>
      <x:c r="O1052" s="20" t="n">
        <x:f>N1052-M1052</x:f>
        <x:v>300</x:v>
      </x:c>
    </x:row>
    <x:row r="1053" ht="22" customHeight="1">
      <x:c r="A1053" s="11" t="n">
        <x:v>1049</x:v>
      </x:c>
      <x:c r="B1053" s="11" t="n">
        <x:v>527</x:v>
      </x:c>
      <x:c r="C1053" s="18" t="n">
        <x:v>45717</x:v>
      </x:c>
      <x:c r="D1053" s="11" t="str">
        <x:v>2025-03</x:v>
      </x:c>
      <x:c r="E1053" s="11" t="str">
        <x:v>South</x:v>
      </x:c>
      <x:c r="F1053" s="11" t="str">
        <x:v>Technology</x:v>
      </x:c>
      <x:c r="G1053" s="11" t="str">
        <x:v>Keyboard</x:v>
      </x:c>
      <x:c r="H1053" s="11" t="n">
        <x:v>5</x:v>
      </x:c>
      <x:c r="I1053" s="19" t="n">
        <x:v>0.1</x:v>
      </x:c>
      <x:c r="J1053" s="11" t="n">
        <x:v>0</x:v>
      </x:c>
      <x:c r="K1053" s="20" t="n">
        <x:v>325</x:v>
      </x:c>
      <x:c r="L1053" s="20" t="n">
        <x:v>32.5</x:v>
      </x:c>
      <x:c r="M1053" s="20" t="n">
        <x:v>160</x:v>
      </x:c>
      <x:c r="N1053" s="20" t="n">
        <x:f>IF(J1053=1,0,K1053-L1053)</x:f>
        <x:v>292.5</x:v>
      </x:c>
      <x:c r="O1053" s="20" t="n">
        <x:f>N1053-M1053</x:f>
        <x:v>132.5</x:v>
      </x:c>
    </x:row>
    <x:row r="1054" ht="22" customHeight="1">
      <x:c r="A1054" s="11" t="n">
        <x:v>1050</x:v>
      </x:c>
      <x:c r="B1054" s="11" t="n">
        <x:v>527</x:v>
      </x:c>
      <x:c r="C1054" s="18" t="n">
        <x:v>45717</x:v>
      </x:c>
      <x:c r="D1054" s="11" t="str">
        <x:v>2025-03</x:v>
      </x:c>
      <x:c r="E1054" s="11" t="str">
        <x:v>South</x:v>
      </x:c>
      <x:c r="F1054" s="11" t="str">
        <x:v>Office Supplies</x:v>
      </x:c>
      <x:c r="G1054" s="11" t="str">
        <x:v>Storage box</x:v>
      </x:c>
      <x:c r="H1054" s="11" t="n">
        <x:v>1</x:v>
      </x:c>
      <x:c r="I1054" s="19" t="n">
        <x:v>0.1</x:v>
      </x:c>
      <x:c r="J1054" s="11" t="n">
        <x:v>0</x:v>
      </x:c>
      <x:c r="K1054" s="20" t="n">
        <x:v>26</x:v>
      </x:c>
      <x:c r="L1054" s="20" t="n">
        <x:v>2.6</x:v>
      </x:c>
      <x:c r="M1054" s="20" t="n">
        <x:v>12</x:v>
      </x:c>
      <x:c r="N1054" s="20" t="n">
        <x:f>IF(J1054=1,0,K1054-L1054)</x:f>
        <x:v>23.4</x:v>
      </x:c>
      <x:c r="O1054" s="20" t="n">
        <x:f>N1054-M1054</x:f>
        <x:v>11.399999999999999</x:v>
      </x:c>
    </x:row>
    <x:row r="1055" ht="22" customHeight="1">
      <x:c r="A1055" s="11" t="n">
        <x:v>1051</x:v>
      </x:c>
      <x:c r="B1055" s="11" t="n">
        <x:v>528</x:v>
      </x:c>
      <x:c r="C1055" s="18" t="n">
        <x:v>45299</x:v>
      </x:c>
      <x:c r="D1055" s="11" t="str">
        <x:v>2024-01</x:v>
      </x:c>
      <x:c r="E1055" s="11" t="str">
        <x:v>West</x:v>
      </x:c>
      <x:c r="F1055" s="11" t="str">
        <x:v>Office Supplies</x:v>
      </x:c>
      <x:c r="G1055" s="11" t="str">
        <x:v>Storage box</x:v>
      </x:c>
      <x:c r="H1055" s="11" t="n">
        <x:v>4</x:v>
      </x:c>
      <x:c r="I1055" s="19" t="n">
        <x:v>0.1</x:v>
      </x:c>
      <x:c r="J1055" s="11" t="n">
        <x:v>0</x:v>
      </x:c>
      <x:c r="K1055" s="20" t="n">
        <x:v>104</x:v>
      </x:c>
      <x:c r="L1055" s="20" t="n">
        <x:v>10.4</x:v>
      </x:c>
      <x:c r="M1055" s="20" t="n">
        <x:v>48</x:v>
      </x:c>
      <x:c r="N1055" s="20" t="n">
        <x:f>IF(J1055=1,0,K1055-L1055)</x:f>
        <x:v>93.6</x:v>
      </x:c>
      <x:c r="O1055" s="20" t="n">
        <x:f>N1055-M1055</x:f>
        <x:v>45.599999999999994</x:v>
      </x:c>
    </x:row>
    <x:row r="1056" ht="22" customHeight="1">
      <x:c r="A1056" s="11" t="n">
        <x:v>1052</x:v>
      </x:c>
      <x:c r="B1056" s="11" t="n">
        <x:v>528</x:v>
      </x:c>
      <x:c r="C1056" s="18" t="n">
        <x:v>45299</x:v>
      </x:c>
      <x:c r="D1056" s="11" t="str">
        <x:v>2024-01</x:v>
      </x:c>
      <x:c r="E1056" s="11" t="str">
        <x:v>West</x:v>
      </x:c>
      <x:c r="F1056" s="11" t="str">
        <x:v>Office Supplies</x:v>
      </x:c>
      <x:c r="G1056" s="11" t="str">
        <x:v>Notebook pack</x:v>
      </x:c>
      <x:c r="H1056" s="11" t="n">
        <x:v>2</x:v>
      </x:c>
      <x:c r="I1056" s="19" t="n">
        <x:v>0</x:v>
      </x:c>
      <x:c r="J1056" s="11" t="n">
        <x:v>0</x:v>
      </x:c>
      <x:c r="K1056" s="20" t="n">
        <x:v>36</x:v>
      </x:c>
      <x:c r="L1056" s="20" t="n">
        <x:v>0</x:v>
      </x:c>
      <x:c r="M1056" s="20" t="n">
        <x:v>14</x:v>
      </x:c>
      <x:c r="N1056" s="20" t="n">
        <x:f>IF(J1056=1,0,K1056-L1056)</x:f>
        <x:v>36</x:v>
      </x:c>
      <x:c r="O1056" s="20" t="n">
        <x:f>N1056-M1056</x:f>
        <x:v>22</x:v>
      </x:c>
    </x:row>
    <x:row r="1057" ht="22" customHeight="1">
      <x:c r="A1057" s="11" t="n">
        <x:v>1053</x:v>
      </x:c>
      <x:c r="B1057" s="11" t="n">
        <x:v>528</x:v>
      </x:c>
      <x:c r="C1057" s="18" t="n">
        <x:v>45299</x:v>
      </x:c>
      <x:c r="D1057" s="11" t="str">
        <x:v>2024-01</x:v>
      </x:c>
      <x:c r="E1057" s="11" t="str">
        <x:v>West</x:v>
      </x:c>
      <x:c r="F1057" s="11" t="str">
        <x:v>Technology</x:v>
      </x:c>
      <x:c r="G1057" s="11" t="str">
        <x:v>Monitor</x:v>
      </x:c>
      <x:c r="H1057" s="11" t="n">
        <x:v>5</x:v>
      </x:c>
      <x:c r="I1057" s="19" t="n">
        <x:v>0.1</x:v>
      </x:c>
      <x:c r="J1057" s="11" t="n">
        <x:v>0</x:v>
      </x:c>
      <x:c r="K1057" s="20" t="n">
        <x:v>1200</x:v>
      </x:c>
      <x:c r="L1057" s="20" t="n">
        <x:v>120</x:v>
      </x:c>
      <x:c r="M1057" s="20" t="n">
        <x:v>800</x:v>
      </x:c>
      <x:c r="N1057" s="20" t="n">
        <x:f>IF(J1057=1,0,K1057-L1057)</x:f>
        <x:v>1080</x:v>
      </x:c>
      <x:c r="O1057" s="20" t="n">
        <x:f>N1057-M1057</x:f>
        <x:v>280</x:v>
      </x:c>
    </x:row>
    <x:row r="1058" ht="22" customHeight="1">
      <x:c r="A1058" s="11" t="n">
        <x:v>1054</x:v>
      </x:c>
      <x:c r="B1058" s="11" t="n">
        <x:v>529</x:v>
      </x:c>
      <x:c r="C1058" s="18" t="n">
        <x:v>45470</x:v>
      </x:c>
      <x:c r="D1058" s="11" t="str">
        <x:v>2024-06</x:v>
      </x:c>
      <x:c r="E1058" s="11" t="str">
        <x:v>West</x:v>
      </x:c>
      <x:c r="F1058" s="11" t="str">
        <x:v>Furniture</x:v>
      </x:c>
      <x:c r="G1058" s="11" t="str">
        <x:v>Chair</x:v>
      </x:c>
      <x:c r="H1058" s="11" t="n">
        <x:v>3</x:v>
      </x:c>
      <x:c r="I1058" s="19" t="n">
        <x:v>0.15</x:v>
      </x:c>
      <x:c r="J1058" s="11" t="n">
        <x:v>0</x:v>
      </x:c>
      <x:c r="K1058" s="20" t="n">
        <x:v>510</x:v>
      </x:c>
      <x:c r="L1058" s="20" t="n">
        <x:v>76.5</x:v>
      </x:c>
      <x:c r="M1058" s="20" t="n">
        <x:v>330</x:v>
      </x:c>
      <x:c r="N1058" s="20" t="n">
        <x:f>IF(J1058=1,0,K1058-L1058)</x:f>
        <x:v>433.5</x:v>
      </x:c>
      <x:c r="O1058" s="20" t="n">
        <x:f>N1058-M1058</x:f>
        <x:v>103.5</x:v>
      </x:c>
    </x:row>
    <x:row r="1059" ht="22" customHeight="1">
      <x:c r="A1059" s="11" t="n">
        <x:v>1055</x:v>
      </x:c>
      <x:c r="B1059" s="11" t="n">
        <x:v>529</x:v>
      </x:c>
      <x:c r="C1059" s="18" t="n">
        <x:v>45470</x:v>
      </x:c>
      <x:c r="D1059" s="11" t="str">
        <x:v>2024-06</x:v>
      </x:c>
      <x:c r="E1059" s="11" t="str">
        <x:v>West</x:v>
      </x:c>
      <x:c r="F1059" s="11" t="str">
        <x:v>Technology</x:v>
      </x:c>
      <x:c r="G1059" s="11" t="str">
        <x:v>Keyboard</x:v>
      </x:c>
      <x:c r="H1059" s="11" t="n">
        <x:v>5</x:v>
      </x:c>
      <x:c r="I1059" s="19" t="n">
        <x:v>0</x:v>
      </x:c>
      <x:c r="J1059" s="11" t="n">
        <x:v>0</x:v>
      </x:c>
      <x:c r="K1059" s="20" t="n">
        <x:v>325</x:v>
      </x:c>
      <x:c r="L1059" s="20" t="n">
        <x:v>0</x:v>
      </x:c>
      <x:c r="M1059" s="20" t="n">
        <x:v>160</x:v>
      </x:c>
      <x:c r="N1059" s="20" t="n">
        <x:f>IF(J1059=1,0,K1059-L1059)</x:f>
        <x:v>325</x:v>
      </x:c>
      <x:c r="O1059" s="20" t="n">
        <x:f>N1059-M1059</x:f>
        <x:v>165</x:v>
      </x:c>
    </x:row>
    <x:row r="1060" ht="22" customHeight="1">
      <x:c r="A1060" s="11" t="n">
        <x:v>1056</x:v>
      </x:c>
      <x:c r="B1060" s="11" t="n">
        <x:v>529</x:v>
      </x:c>
      <x:c r="C1060" s="18" t="n">
        <x:v>45470</x:v>
      </x:c>
      <x:c r="D1060" s="11" t="str">
        <x:v>2024-06</x:v>
      </x:c>
      <x:c r="E1060" s="11" t="str">
        <x:v>West</x:v>
      </x:c>
      <x:c r="F1060" s="11" t="str">
        <x:v>Furniture</x:v>
      </x:c>
      <x:c r="G1060" s="11" t="str">
        <x:v>Desk</x:v>
      </x:c>
      <x:c r="H1060" s="11" t="n">
        <x:v>5</x:v>
      </x:c>
      <x:c r="I1060" s="19" t="n">
        <x:v>0</x:v>
      </x:c>
      <x:c r="J1060" s="11" t="n">
        <x:v>0</x:v>
      </x:c>
      <x:c r="K1060" s="20" t="n">
        <x:v>1400</x:v>
      </x:c>
      <x:c r="L1060" s="20" t="n">
        <x:v>0</x:v>
      </x:c>
      <x:c r="M1060" s="20" t="n">
        <x:v>950</x:v>
      </x:c>
      <x:c r="N1060" s="20" t="n">
        <x:f>IF(J1060=1,0,K1060-L1060)</x:f>
        <x:v>1400</x:v>
      </x:c>
      <x:c r="O1060" s="20" t="n">
        <x:f>N1060-M1060</x:f>
        <x:v>450</x:v>
      </x:c>
    </x:row>
    <x:row r="1061" ht="22" customHeight="1">
      <x:c r="A1061" s="11" t="n">
        <x:v>1057</x:v>
      </x:c>
      <x:c r="B1061" s="11" t="n">
        <x:v>530</x:v>
      </x:c>
      <x:c r="C1061" s="18" t="n">
        <x:v>45844</x:v>
      </x:c>
      <x:c r="D1061" s="11" t="str">
        <x:v>2025-07</x:v>
      </x:c>
      <x:c r="E1061" s="11" t="str">
        <x:v>East</x:v>
      </x:c>
      <x:c r="F1061" s="11" t="str">
        <x:v>Office Supplies</x:v>
      </x:c>
      <x:c r="G1061" s="11" t="str">
        <x:v>Storage box</x:v>
      </x:c>
      <x:c r="H1061" s="11" t="n">
        <x:v>3</x:v>
      </x:c>
      <x:c r="I1061" s="19" t="n">
        <x:v>0</x:v>
      </x:c>
      <x:c r="J1061" s="11" t="n">
        <x:v>0</x:v>
      </x:c>
      <x:c r="K1061" s="20" t="n">
        <x:v>78</x:v>
      </x:c>
      <x:c r="L1061" s="20" t="n">
        <x:v>0</x:v>
      </x:c>
      <x:c r="M1061" s="20" t="n">
        <x:v>36</x:v>
      </x:c>
      <x:c r="N1061" s="20" t="n">
        <x:f>IF(J1061=1,0,K1061-L1061)</x:f>
        <x:v>78</x:v>
      </x:c>
      <x:c r="O1061" s="20" t="n">
        <x:f>N1061-M1061</x:f>
        <x:v>42</x:v>
      </x:c>
    </x:row>
    <x:row r="1062" ht="22" customHeight="1">
      <x:c r="A1062" s="11" t="n">
        <x:v>1058</x:v>
      </x:c>
      <x:c r="B1062" s="11" t="n">
        <x:v>530</x:v>
      </x:c>
      <x:c r="C1062" s="18" t="n">
        <x:v>45844</x:v>
      </x:c>
      <x:c r="D1062" s="11" t="str">
        <x:v>2025-07</x:v>
      </x:c>
      <x:c r="E1062" s="11" t="str">
        <x:v>East</x:v>
      </x:c>
      <x:c r="F1062" s="11" t="str">
        <x:v>Furniture</x:v>
      </x:c>
      <x:c r="G1062" s="11" t="str">
        <x:v>Chair</x:v>
      </x:c>
      <x:c r="H1062" s="11" t="n">
        <x:v>2</x:v>
      </x:c>
      <x:c r="I1062" s="19" t="n">
        <x:v>0.35</x:v>
      </x:c>
      <x:c r="J1062" s="11" t="n">
        <x:v>0</x:v>
      </x:c>
      <x:c r="K1062" s="20" t="n">
        <x:v>340</x:v>
      </x:c>
      <x:c r="L1062" s="20" t="n">
        <x:v>119</x:v>
      </x:c>
      <x:c r="M1062" s="20" t="n">
        <x:v>220</x:v>
      </x:c>
      <x:c r="N1062" s="20" t="n">
        <x:f>IF(J1062=1,0,K1062-L1062)</x:f>
        <x:v>221</x:v>
      </x:c>
      <x:c r="O1062" s="20" t="n">
        <x:f>N1062-M1062</x:f>
        <x:v>1</x:v>
      </x:c>
    </x:row>
    <x:row r="1063" ht="22" customHeight="1">
      <x:c r="A1063" s="11" t="n">
        <x:v>1059</x:v>
      </x:c>
      <x:c r="B1063" s="11" t="n">
        <x:v>531</x:v>
      </x:c>
      <x:c r="C1063" s="18" t="n">
        <x:v>45455</x:v>
      </x:c>
      <x:c r="D1063" s="11" t="str">
        <x:v>2024-06</x:v>
      </x:c>
      <x:c r="E1063" s="11" t="str">
        <x:v>South</x:v>
      </x:c>
      <x:c r="F1063" s="11" t="str">
        <x:v>Office Supplies</x:v>
      </x:c>
      <x:c r="G1063" s="11" t="str">
        <x:v>Storage box</x:v>
      </x:c>
      <x:c r="H1063" s="11" t="n">
        <x:v>3</x:v>
      </x:c>
      <x:c r="I1063" s="19" t="n">
        <x:v>0.05</x:v>
      </x:c>
      <x:c r="J1063" s="11" t="n">
        <x:v>0</x:v>
      </x:c>
      <x:c r="K1063" s="20" t="n">
        <x:v>78</x:v>
      </x:c>
      <x:c r="L1063" s="20" t="n">
        <x:v>3.9</x:v>
      </x:c>
      <x:c r="M1063" s="20" t="n">
        <x:v>36</x:v>
      </x:c>
      <x:c r="N1063" s="20" t="n">
        <x:f>IF(J1063=1,0,K1063-L1063)</x:f>
        <x:v>74.1</x:v>
      </x:c>
      <x:c r="O1063" s="20" t="n">
        <x:f>N1063-M1063</x:f>
        <x:v>38.099999999999994</x:v>
      </x:c>
    </x:row>
    <x:row r="1064" ht="22" customHeight="1">
      <x:c r="A1064" s="11" t="n">
        <x:v>1060</x:v>
      </x:c>
      <x:c r="B1064" s="11" t="n">
        <x:v>532</x:v>
      </x:c>
      <x:c r="C1064" s="18" t="n">
        <x:v>45549</x:v>
      </x:c>
      <x:c r="D1064" s="11" t="str">
        <x:v>2024-09</x:v>
      </x:c>
      <x:c r="E1064" s="11" t="str">
        <x:v>West</x:v>
      </x:c>
      <x:c r="F1064" s="11" t="str">
        <x:v>Furniture</x:v>
      </x:c>
      <x:c r="G1064" s="11" t="str">
        <x:v>Desk</x:v>
      </x:c>
      <x:c r="H1064" s="11" t="n">
        <x:v>1</x:v>
      </x:c>
      <x:c r="I1064" s="19" t="n">
        <x:v>0</x:v>
      </x:c>
      <x:c r="J1064" s="11" t="n">
        <x:v>0</x:v>
      </x:c>
      <x:c r="K1064" s="20" t="n">
        <x:v>280</x:v>
      </x:c>
      <x:c r="L1064" s="20" t="n">
        <x:v>0</x:v>
      </x:c>
      <x:c r="M1064" s="20" t="n">
        <x:v>190</x:v>
      </x:c>
      <x:c r="N1064" s="20" t="n">
        <x:f>IF(J1064=1,0,K1064-L1064)</x:f>
        <x:v>280</x:v>
      </x:c>
      <x:c r="O1064" s="20" t="n">
        <x:f>N1064-M1064</x:f>
        <x:v>90</x:v>
      </x:c>
    </x:row>
    <x:row r="1065" ht="22" customHeight="1">
      <x:c r="A1065" s="11" t="n">
        <x:v>1061</x:v>
      </x:c>
      <x:c r="B1065" s="11" t="n">
        <x:v>533</x:v>
      </x:c>
      <x:c r="C1065" s="18" t="n">
        <x:v>45321</x:v>
      </x:c>
      <x:c r="D1065" s="11" t="str">
        <x:v>2024-01</x:v>
      </x:c>
      <x:c r="E1065" s="11" t="str">
        <x:v>Central</x:v>
      </x:c>
      <x:c r="F1065" s="11" t="str">
        <x:v>Furniture</x:v>
      </x:c>
      <x:c r="G1065" s="11" t="str">
        <x:v>Chair</x:v>
      </x:c>
      <x:c r="H1065" s="11" t="n">
        <x:v>4</x:v>
      </x:c>
      <x:c r="I1065" s="19" t="n">
        <x:v>0.15</x:v>
      </x:c>
      <x:c r="J1065" s="11" t="n">
        <x:v>0</x:v>
      </x:c>
      <x:c r="K1065" s="20" t="n">
        <x:v>680</x:v>
      </x:c>
      <x:c r="L1065" s="20" t="n">
        <x:v>102</x:v>
      </x:c>
      <x:c r="M1065" s="20" t="n">
        <x:v>440</x:v>
      </x:c>
      <x:c r="N1065" s="20" t="n">
        <x:f>IF(J1065=1,0,K1065-L1065)</x:f>
        <x:v>578</x:v>
      </x:c>
      <x:c r="O1065" s="20" t="n">
        <x:f>N1065-M1065</x:f>
        <x:v>138</x:v>
      </x:c>
    </x:row>
    <x:row r="1066" ht="22" customHeight="1">
      <x:c r="A1066" s="11" t="n">
        <x:v>1062</x:v>
      </x:c>
      <x:c r="B1066" s="11" t="n">
        <x:v>534</x:v>
      </x:c>
      <x:c r="C1066" s="18" t="n">
        <x:v>45985</x:v>
      </x:c>
      <x:c r="D1066" s="11" t="str">
        <x:v>2025-11</x:v>
      </x:c>
      <x:c r="E1066" s="11" t="str">
        <x:v>South</x:v>
      </x:c>
      <x:c r="F1066" s="11" t="str">
        <x:v>Technology</x:v>
      </x:c>
      <x:c r="G1066" s="11" t="str">
        <x:v>Monitor</x:v>
      </x:c>
      <x:c r="H1066" s="11" t="n">
        <x:v>2</x:v>
      </x:c>
      <x:c r="I1066" s="19" t="n">
        <x:v>0</x:v>
      </x:c>
      <x:c r="J1066" s="11" t="n">
        <x:v>0</x:v>
      </x:c>
      <x:c r="K1066" s="20" t="n">
        <x:v>480</x:v>
      </x:c>
      <x:c r="L1066" s="20" t="n">
        <x:v>0</x:v>
      </x:c>
      <x:c r="M1066" s="20" t="n">
        <x:v>320</x:v>
      </x:c>
      <x:c r="N1066" s="20" t="n">
        <x:f>IF(J1066=1,0,K1066-L1066)</x:f>
        <x:v>480</x:v>
      </x:c>
      <x:c r="O1066" s="20" t="n">
        <x:f>N1066-M1066</x:f>
        <x:v>160</x:v>
      </x:c>
    </x:row>
    <x:row r="1067" ht="22" customHeight="1">
      <x:c r="A1067" s="11" t="n">
        <x:v>1063</x:v>
      </x:c>
      <x:c r="B1067" s="11" t="n">
        <x:v>535</x:v>
      </x:c>
      <x:c r="C1067" s="18" t="n">
        <x:v>45714</x:v>
      </x:c>
      <x:c r="D1067" s="11" t="str">
        <x:v>2025-02</x:v>
      </x:c>
      <x:c r="E1067" s="11" t="str">
        <x:v>Central</x:v>
      </x:c>
      <x:c r="F1067" s="11" t="str">
        <x:v>Furniture</x:v>
      </x:c>
      <x:c r="G1067" s="11" t="str">
        <x:v>Desk</x:v>
      </x:c>
      <x:c r="H1067" s="11" t="n">
        <x:v>4</x:v>
      </x:c>
      <x:c r="I1067" s="19" t="n">
        <x:v>0.35</x:v>
      </x:c>
      <x:c r="J1067" s="11" t="n">
        <x:v>1</x:v>
      </x:c>
      <x:c r="K1067" s="20" t="n">
        <x:v>1120</x:v>
      </x:c>
      <x:c r="L1067" s="20" t="n">
        <x:v>392</x:v>
      </x:c>
      <x:c r="M1067" s="20" t="n">
        <x:v>0</x:v>
      </x:c>
      <x:c r="N1067" s="20" t="n">
        <x:f>IF(J1067=1,0,K1067-L1067)</x:f>
        <x:v>0</x:v>
      </x:c>
      <x:c r="O1067" s="20" t="n">
        <x:f>N1067-M1067</x:f>
        <x:v>0</x:v>
      </x:c>
    </x:row>
    <x:row r="1068" ht="22" customHeight="1">
      <x:c r="A1068" s="11" t="n">
        <x:v>1064</x:v>
      </x:c>
      <x:c r="B1068" s="11" t="n">
        <x:v>536</x:v>
      </x:c>
      <x:c r="C1068" s="18" t="n">
        <x:v>45738</x:v>
      </x:c>
      <x:c r="D1068" s="11" t="str">
        <x:v>2025-03</x:v>
      </x:c>
      <x:c r="E1068" s="11" t="str">
        <x:v>East</x:v>
      </x:c>
      <x:c r="F1068" s="11" t="str">
        <x:v>Technology</x:v>
      </x:c>
      <x:c r="G1068" s="11" t="str">
        <x:v>Keyboard</x:v>
      </x:c>
      <x:c r="H1068" s="11" t="n">
        <x:v>3</x:v>
      </x:c>
      <x:c r="I1068" s="19" t="n">
        <x:v>0</x:v>
      </x:c>
      <x:c r="J1068" s="11" t="n">
        <x:v>0</x:v>
      </x:c>
      <x:c r="K1068" s="20" t="n">
        <x:v>195</x:v>
      </x:c>
      <x:c r="L1068" s="20" t="n">
        <x:v>0</x:v>
      </x:c>
      <x:c r="M1068" s="20" t="n">
        <x:v>96</x:v>
      </x:c>
      <x:c r="N1068" s="20" t="n">
        <x:f>IF(J1068=1,0,K1068-L1068)</x:f>
        <x:v>195</x:v>
      </x:c>
      <x:c r="O1068" s="20" t="n">
        <x:f>N1068-M1068</x:f>
        <x:v>99</x:v>
      </x:c>
    </x:row>
    <x:row r="1069" ht="22" customHeight="1">
      <x:c r="A1069" s="11" t="n">
        <x:v>1065</x:v>
      </x:c>
      <x:c r="B1069" s="11" t="n">
        <x:v>536</x:v>
      </x:c>
      <x:c r="C1069" s="18" t="n">
        <x:v>45738</x:v>
      </x:c>
      <x:c r="D1069" s="11" t="str">
        <x:v>2025-03</x:v>
      </x:c>
      <x:c r="E1069" s="11" t="str">
        <x:v>East</x:v>
      </x:c>
      <x:c r="F1069" s="11" t="str">
        <x:v>Furniture</x:v>
      </x:c>
      <x:c r="G1069" s="11" t="str">
        <x:v>Chair</x:v>
      </x:c>
      <x:c r="H1069" s="11" t="n">
        <x:v>2</x:v>
      </x:c>
      <x:c r="I1069" s="19" t="n">
        <x:v>0.15</x:v>
      </x:c>
      <x:c r="J1069" s="11" t="n">
        <x:v>0</x:v>
      </x:c>
      <x:c r="K1069" s="20" t="n">
        <x:v>340</x:v>
      </x:c>
      <x:c r="L1069" s="20" t="n">
        <x:v>51</x:v>
      </x:c>
      <x:c r="M1069" s="20" t="n">
        <x:v>220</x:v>
      </x:c>
      <x:c r="N1069" s="20" t="n">
        <x:f>IF(J1069=1,0,K1069-L1069)</x:f>
        <x:v>289</x:v>
      </x:c>
      <x:c r="O1069" s="20" t="n">
        <x:f>N1069-M1069</x:f>
        <x:v>69</x:v>
      </x:c>
    </x:row>
    <x:row r="1070" ht="22" customHeight="1">
      <x:c r="A1070" s="11" t="n">
        <x:v>1066</x:v>
      </x:c>
      <x:c r="B1070" s="11" t="n">
        <x:v>536</x:v>
      </x:c>
      <x:c r="C1070" s="18" t="n">
        <x:v>45738</x:v>
      </x:c>
      <x:c r="D1070" s="11" t="str">
        <x:v>2025-03</x:v>
      </x:c>
      <x:c r="E1070" s="11" t="str">
        <x:v>East</x:v>
      </x:c>
      <x:c r="F1070" s="11" t="str">
        <x:v>Office Supplies</x:v>
      </x:c>
      <x:c r="G1070" s="11" t="str">
        <x:v>Storage box</x:v>
      </x:c>
      <x:c r="H1070" s="11" t="n">
        <x:v>2</x:v>
      </x:c>
      <x:c r="I1070" s="19" t="n">
        <x:v>0.05</x:v>
      </x:c>
      <x:c r="J1070" s="11" t="n">
        <x:v>0</x:v>
      </x:c>
      <x:c r="K1070" s="20" t="n">
        <x:v>52</x:v>
      </x:c>
      <x:c r="L1070" s="20" t="n">
        <x:v>2.6</x:v>
      </x:c>
      <x:c r="M1070" s="20" t="n">
        <x:v>24</x:v>
      </x:c>
      <x:c r="N1070" s="20" t="n">
        <x:f>IF(J1070=1,0,K1070-L1070)</x:f>
        <x:v>49.4</x:v>
      </x:c>
      <x:c r="O1070" s="20" t="n">
        <x:f>N1070-M1070</x:f>
        <x:v>25.4</x:v>
      </x:c>
    </x:row>
    <x:row r="1071" ht="22" customHeight="1">
      <x:c r="A1071" s="11" t="n">
        <x:v>1067</x:v>
      </x:c>
      <x:c r="B1071" s="11" t="n">
        <x:v>537</x:v>
      </x:c>
      <x:c r="C1071" s="18" t="n">
        <x:v>46000</x:v>
      </x:c>
      <x:c r="D1071" s="11" t="str">
        <x:v>2025-12</x:v>
      </x:c>
      <x:c r="E1071" s="11" t="str">
        <x:v>East</x:v>
      </x:c>
      <x:c r="F1071" s="11" t="str">
        <x:v>Furniture</x:v>
      </x:c>
      <x:c r="G1071" s="11" t="str">
        <x:v>Chair</x:v>
      </x:c>
      <x:c r="H1071" s="11" t="n">
        <x:v>4</x:v>
      </x:c>
      <x:c r="I1071" s="19" t="n">
        <x:v>0.35</x:v>
      </x:c>
      <x:c r="J1071" s="11" t="n">
        <x:v>0</x:v>
      </x:c>
      <x:c r="K1071" s="20" t="n">
        <x:v>680</x:v>
      </x:c>
      <x:c r="L1071" s="20" t="n">
        <x:v>238</x:v>
      </x:c>
      <x:c r="M1071" s="20" t="n">
        <x:v>440</x:v>
      </x:c>
      <x:c r="N1071" s="20" t="n">
        <x:f>IF(J1071=1,0,K1071-L1071)</x:f>
        <x:v>442</x:v>
      </x:c>
      <x:c r="O1071" s="20" t="n">
        <x:f>N1071-M1071</x:f>
        <x:v>2</x:v>
      </x:c>
    </x:row>
    <x:row r="1072" ht="22" customHeight="1">
      <x:c r="A1072" s="11" t="n">
        <x:v>1068</x:v>
      </x:c>
      <x:c r="B1072" s="11" t="n">
        <x:v>537</x:v>
      </x:c>
      <x:c r="C1072" s="18" t="n">
        <x:v>46000</x:v>
      </x:c>
      <x:c r="D1072" s="11" t="str">
        <x:v>2025-12</x:v>
      </x:c>
      <x:c r="E1072" s="11" t="str">
        <x:v>East</x:v>
      </x:c>
      <x:c r="F1072" s="11" t="str">
        <x:v>Furniture</x:v>
      </x:c>
      <x:c r="G1072" s="11" t="str">
        <x:v>Desk</x:v>
      </x:c>
      <x:c r="H1072" s="11" t="n">
        <x:v>3</x:v>
      </x:c>
      <x:c r="I1072" s="19" t="n">
        <x:v>0.05</x:v>
      </x:c>
      <x:c r="J1072" s="11" t="n">
        <x:v>0</x:v>
      </x:c>
      <x:c r="K1072" s="20" t="n">
        <x:v>840</x:v>
      </x:c>
      <x:c r="L1072" s="20" t="n">
        <x:v>42</x:v>
      </x:c>
      <x:c r="M1072" s="20" t="n">
        <x:v>570</x:v>
      </x:c>
      <x:c r="N1072" s="20" t="n">
        <x:f>IF(J1072=1,0,K1072-L1072)</x:f>
        <x:v>798</x:v>
      </x:c>
      <x:c r="O1072" s="20" t="n">
        <x:f>N1072-M1072</x:f>
        <x:v>228</x:v>
      </x:c>
    </x:row>
    <x:row r="1073" ht="22" customHeight="1">
      <x:c r="A1073" s="11" t="n">
        <x:v>1069</x:v>
      </x:c>
      <x:c r="B1073" s="11" t="n">
        <x:v>538</x:v>
      </x:c>
      <x:c r="C1073" s="18" t="n">
        <x:v>45910</x:v>
      </x:c>
      <x:c r="D1073" s="11" t="str">
        <x:v>2025-09</x:v>
      </x:c>
      <x:c r="E1073" s="11" t="str">
        <x:v>South</x:v>
      </x:c>
      <x:c r="F1073" s="11" t="str">
        <x:v>Office Supplies</x:v>
      </x:c>
      <x:c r="G1073" s="11" t="str">
        <x:v>Notebook pack</x:v>
      </x:c>
      <x:c r="H1073" s="11" t="n">
        <x:v>4</x:v>
      </x:c>
      <x:c r="I1073" s="19" t="n">
        <x:v>0.15</x:v>
      </x:c>
      <x:c r="J1073" s="11" t="n">
        <x:v>0</x:v>
      </x:c>
      <x:c r="K1073" s="20" t="n">
        <x:v>72</x:v>
      </x:c>
      <x:c r="L1073" s="20" t="n">
        <x:v>10.8</x:v>
      </x:c>
      <x:c r="M1073" s="20" t="n">
        <x:v>28</x:v>
      </x:c>
      <x:c r="N1073" s="20" t="n">
        <x:f>IF(J1073=1,0,K1073-L1073)</x:f>
        <x:v>61.2</x:v>
      </x:c>
      <x:c r="O1073" s="20" t="n">
        <x:f>N1073-M1073</x:f>
        <x:v>33.2</x:v>
      </x:c>
    </x:row>
    <x:row r="1074" ht="22" customHeight="1">
      <x:c r="A1074" s="11" t="n">
        <x:v>1070</x:v>
      </x:c>
      <x:c r="B1074" s="11" t="n">
        <x:v>538</x:v>
      </x:c>
      <x:c r="C1074" s="18" t="n">
        <x:v>45910</x:v>
      </x:c>
      <x:c r="D1074" s="11" t="str">
        <x:v>2025-09</x:v>
      </x:c>
      <x:c r="E1074" s="11" t="str">
        <x:v>South</x:v>
      </x:c>
      <x:c r="F1074" s="11" t="str">
        <x:v>Furniture</x:v>
      </x:c>
      <x:c r="G1074" s="11" t="str">
        <x:v>Chair</x:v>
      </x:c>
      <x:c r="H1074" s="11" t="n">
        <x:v>2</x:v>
      </x:c>
      <x:c r="I1074" s="19" t="n">
        <x:v>0.35</x:v>
      </x:c>
      <x:c r="J1074" s="11" t="n">
        <x:v>0</x:v>
      </x:c>
      <x:c r="K1074" s="20" t="n">
        <x:v>340</x:v>
      </x:c>
      <x:c r="L1074" s="20" t="n">
        <x:v>119</x:v>
      </x:c>
      <x:c r="M1074" s="20" t="n">
        <x:v>220</x:v>
      </x:c>
      <x:c r="N1074" s="20" t="n">
        <x:f>IF(J1074=1,0,K1074-L1074)</x:f>
        <x:v>221</x:v>
      </x:c>
      <x:c r="O1074" s="20" t="n">
        <x:f>N1074-M1074</x:f>
        <x:v>1</x:v>
      </x:c>
    </x:row>
    <x:row r="1075" ht="22" customHeight="1">
      <x:c r="A1075" s="11" t="n">
        <x:v>1071</x:v>
      </x:c>
      <x:c r="B1075" s="11" t="n">
        <x:v>538</x:v>
      </x:c>
      <x:c r="C1075" s="18" t="n">
        <x:v>45910</x:v>
      </x:c>
      <x:c r="D1075" s="11" t="str">
        <x:v>2025-09</x:v>
      </x:c>
      <x:c r="E1075" s="11" t="str">
        <x:v>South</x:v>
      </x:c>
      <x:c r="F1075" s="11" t="str">
        <x:v>Furniture</x:v>
      </x:c>
      <x:c r="G1075" s="11" t="str">
        <x:v>Desk</x:v>
      </x:c>
      <x:c r="H1075" s="11" t="n">
        <x:v>3</x:v>
      </x:c>
      <x:c r="I1075" s="19" t="n">
        <x:v>0</x:v>
      </x:c>
      <x:c r="J1075" s="11" t="n">
        <x:v>0</x:v>
      </x:c>
      <x:c r="K1075" s="20" t="n">
        <x:v>840</x:v>
      </x:c>
      <x:c r="L1075" s="20" t="n">
        <x:v>0</x:v>
      </x:c>
      <x:c r="M1075" s="20" t="n">
        <x:v>570</x:v>
      </x:c>
      <x:c r="N1075" s="20" t="n">
        <x:f>IF(J1075=1,0,K1075-L1075)</x:f>
        <x:v>840</x:v>
      </x:c>
      <x:c r="O1075" s="20" t="n">
        <x:f>N1075-M1075</x:f>
        <x:v>270</x:v>
      </x:c>
    </x:row>
    <x:row r="1076" ht="22" customHeight="1">
      <x:c r="A1076" s="11" t="n">
        <x:v>1072</x:v>
      </x:c>
      <x:c r="B1076" s="11" t="n">
        <x:v>539</x:v>
      </x:c>
      <x:c r="C1076" s="18" t="n">
        <x:v>45544</x:v>
      </x:c>
      <x:c r="D1076" s="11" t="str">
        <x:v>2024-09</x:v>
      </x:c>
      <x:c r="E1076" s="11" t="str">
        <x:v>Central</x:v>
      </x:c>
      <x:c r="F1076" s="11" t="str">
        <x:v>Office Supplies</x:v>
      </x:c>
      <x:c r="G1076" s="11" t="str">
        <x:v>Notebook pack</x:v>
      </x:c>
      <x:c r="H1076" s="11" t="n">
        <x:v>5</x:v>
      </x:c>
      <x:c r="I1076" s="19" t="n">
        <x:v>0</x:v>
      </x:c>
      <x:c r="J1076" s="11" t="n">
        <x:v>0</x:v>
      </x:c>
      <x:c r="K1076" s="20" t="n">
        <x:v>90</x:v>
      </x:c>
      <x:c r="L1076" s="20" t="n">
        <x:v>0</x:v>
      </x:c>
      <x:c r="M1076" s="20" t="n">
        <x:v>35</x:v>
      </x:c>
      <x:c r="N1076" s="20" t="n">
        <x:f>IF(J1076=1,0,K1076-L1076)</x:f>
        <x:v>90</x:v>
      </x:c>
      <x:c r="O1076" s="20" t="n">
        <x:f>N1076-M1076</x:f>
        <x:v>55</x:v>
      </x:c>
    </x:row>
    <x:row r="1077" ht="22" customHeight="1">
      <x:c r="A1077" s="11" t="n">
        <x:v>1073</x:v>
      </x:c>
      <x:c r="B1077" s="11" t="n">
        <x:v>539</x:v>
      </x:c>
      <x:c r="C1077" s="18" t="n">
        <x:v>45544</x:v>
      </x:c>
      <x:c r="D1077" s="11" t="str">
        <x:v>2024-09</x:v>
      </x:c>
      <x:c r="E1077" s="11" t="str">
        <x:v>Central</x:v>
      </x:c>
      <x:c r="F1077" s="11" t="str">
        <x:v>Furniture</x:v>
      </x:c>
      <x:c r="G1077" s="11" t="str">
        <x:v>Chair</x:v>
      </x:c>
      <x:c r="H1077" s="11" t="n">
        <x:v>1</x:v>
      </x:c>
      <x:c r="I1077" s="19" t="n">
        <x:v>0.25</x:v>
      </x:c>
      <x:c r="J1077" s="11" t="n">
        <x:v>0</x:v>
      </x:c>
      <x:c r="K1077" s="20" t="n">
        <x:v>170</x:v>
      </x:c>
      <x:c r="L1077" s="20" t="n">
        <x:v>42.5</x:v>
      </x:c>
      <x:c r="M1077" s="20" t="n">
        <x:v>110</x:v>
      </x:c>
      <x:c r="N1077" s="20" t="n">
        <x:f>IF(J1077=1,0,K1077-L1077)</x:f>
        <x:v>127.5</x:v>
      </x:c>
      <x:c r="O1077" s="20" t="n">
        <x:f>N1077-M1077</x:f>
        <x:v>17.5</x:v>
      </x:c>
    </x:row>
    <x:row r="1078" ht="22" customHeight="1">
      <x:c r="A1078" s="11" t="n">
        <x:v>1074</x:v>
      </x:c>
      <x:c r="B1078" s="11" t="n">
        <x:v>540</x:v>
      </x:c>
      <x:c r="C1078" s="18" t="n">
        <x:v>45333</x:v>
      </x:c>
      <x:c r="D1078" s="11" t="str">
        <x:v>2024-02</x:v>
      </x:c>
      <x:c r="E1078" s="11" t="str">
        <x:v>East</x:v>
      </x:c>
      <x:c r="F1078" s="11" t="str">
        <x:v>Office Supplies</x:v>
      </x:c>
      <x:c r="G1078" s="11" t="str">
        <x:v>Notebook pack</x:v>
      </x:c>
      <x:c r="H1078" s="11" t="n">
        <x:v>4</x:v>
      </x:c>
      <x:c r="I1078" s="19" t="n">
        <x:v>0</x:v>
      </x:c>
      <x:c r="J1078" s="11" t="n">
        <x:v>0</x:v>
      </x:c>
      <x:c r="K1078" s="20" t="n">
        <x:v>72</x:v>
      </x:c>
      <x:c r="L1078" s="20" t="n">
        <x:v>0</x:v>
      </x:c>
      <x:c r="M1078" s="20" t="n">
        <x:v>28</x:v>
      </x:c>
      <x:c r="N1078" s="20" t="n">
        <x:f>IF(J1078=1,0,K1078-L1078)</x:f>
        <x:v>72</x:v>
      </x:c>
      <x:c r="O1078" s="20" t="n">
        <x:f>N1078-M1078</x:f>
        <x:v>44</x:v>
      </x:c>
    </x:row>
    <x:row r="1079" ht="22" customHeight="1">
      <x:c r="A1079" s="11" t="n">
        <x:v>1075</x:v>
      </x:c>
      <x:c r="B1079" s="11" t="n">
        <x:v>540</x:v>
      </x:c>
      <x:c r="C1079" s="18" t="n">
        <x:v>45333</x:v>
      </x:c>
      <x:c r="D1079" s="11" t="str">
        <x:v>2024-02</x:v>
      </x:c>
      <x:c r="E1079" s="11" t="str">
        <x:v>East</x:v>
      </x:c>
      <x:c r="F1079" s="11" t="str">
        <x:v>Technology</x:v>
      </x:c>
      <x:c r="G1079" s="11" t="str">
        <x:v>Keyboard</x:v>
      </x:c>
      <x:c r="H1079" s="11" t="n">
        <x:v>2</x:v>
      </x:c>
      <x:c r="I1079" s="19" t="n">
        <x:v>0</x:v>
      </x:c>
      <x:c r="J1079" s="11" t="n">
        <x:v>0</x:v>
      </x:c>
      <x:c r="K1079" s="20" t="n">
        <x:v>130</x:v>
      </x:c>
      <x:c r="L1079" s="20" t="n">
        <x:v>0</x:v>
      </x:c>
      <x:c r="M1079" s="20" t="n">
        <x:v>64</x:v>
      </x:c>
      <x:c r="N1079" s="20" t="n">
        <x:f>IF(J1079=1,0,K1079-L1079)</x:f>
        <x:v>130</x:v>
      </x:c>
      <x:c r="O1079" s="20" t="n">
        <x:f>N1079-M1079</x:f>
        <x:v>66</x:v>
      </x:c>
    </x:row>
    <x:row r="1080" ht="22" customHeight="1">
      <x:c r="A1080" s="11" t="n">
        <x:v>1076</x:v>
      </x:c>
      <x:c r="B1080" s="11" t="n">
        <x:v>541</x:v>
      </x:c>
      <x:c r="C1080" s="18" t="n">
        <x:v>45304</x:v>
      </x:c>
      <x:c r="D1080" s="11" t="str">
        <x:v>2024-01</x:v>
      </x:c>
      <x:c r="E1080" s="11" t="str">
        <x:v>Central</x:v>
      </x:c>
      <x:c r="F1080" s="11" t="str">
        <x:v>Furniture</x:v>
      </x:c>
      <x:c r="G1080" s="11" t="str">
        <x:v>Chair</x:v>
      </x:c>
      <x:c r="H1080" s="11" t="n">
        <x:v>3</x:v>
      </x:c>
      <x:c r="I1080" s="19" t="n">
        <x:v>0.1</x:v>
      </x:c>
      <x:c r="J1080" s="11" t="n">
        <x:v>0</x:v>
      </x:c>
      <x:c r="K1080" s="20" t="n">
        <x:v>510</x:v>
      </x:c>
      <x:c r="L1080" s="20" t="n">
        <x:v>51</x:v>
      </x:c>
      <x:c r="M1080" s="20" t="n">
        <x:v>330</x:v>
      </x:c>
      <x:c r="N1080" s="20" t="n">
        <x:f>IF(J1080=1,0,K1080-L1080)</x:f>
        <x:v>459</x:v>
      </x:c>
      <x:c r="O1080" s="20" t="n">
        <x:f>N1080-M1080</x:f>
        <x:v>129</x:v>
      </x:c>
    </x:row>
    <x:row r="1081" ht="22" customHeight="1">
      <x:c r="A1081" s="11" t="n">
        <x:v>1077</x:v>
      </x:c>
      <x:c r="B1081" s="11" t="n">
        <x:v>542</x:v>
      </x:c>
      <x:c r="C1081" s="18" t="n">
        <x:v>45384</x:v>
      </x:c>
      <x:c r="D1081" s="11" t="str">
        <x:v>2024-04</x:v>
      </x:c>
      <x:c r="E1081" s="11" t="str">
        <x:v>South</x:v>
      </x:c>
      <x:c r="F1081" s="11" t="str">
        <x:v>Technology</x:v>
      </x:c>
      <x:c r="G1081" s="11" t="str">
        <x:v>Monitor</x:v>
      </x:c>
      <x:c r="H1081" s="11" t="n">
        <x:v>5</x:v>
      </x:c>
      <x:c r="I1081" s="19" t="n">
        <x:v>0.15</x:v>
      </x:c>
      <x:c r="J1081" s="11" t="n">
        <x:v>1</x:v>
      </x:c>
      <x:c r="K1081" s="20" t="n">
        <x:v>1200</x:v>
      </x:c>
      <x:c r="L1081" s="20" t="n">
        <x:v>180</x:v>
      </x:c>
      <x:c r="M1081" s="20" t="n">
        <x:v>0</x:v>
      </x:c>
      <x:c r="N1081" s="20" t="n">
        <x:f>IF(J1081=1,0,K1081-L1081)</x:f>
        <x:v>0</x:v>
      </x:c>
      <x:c r="O1081" s="20" t="n">
        <x:f>N1081-M1081</x:f>
        <x:v>0</x:v>
      </x:c>
    </x:row>
    <x:row r="1082" ht="22" customHeight="1">
      <x:c r="A1082" s="11" t="n">
        <x:v>1078</x:v>
      </x:c>
      <x:c r="B1082" s="11" t="n">
        <x:v>542</x:v>
      </x:c>
      <x:c r="C1082" s="18" t="n">
        <x:v>45384</x:v>
      </x:c>
      <x:c r="D1082" s="11" t="str">
        <x:v>2024-04</x:v>
      </x:c>
      <x:c r="E1082" s="11" t="str">
        <x:v>South</x:v>
      </x:c>
      <x:c r="F1082" s="11" t="str">
        <x:v>Furniture</x:v>
      </x:c>
      <x:c r="G1082" s="11" t="str">
        <x:v>Chair</x:v>
      </x:c>
      <x:c r="H1082" s="11" t="n">
        <x:v>4</x:v>
      </x:c>
      <x:c r="I1082" s="19" t="n">
        <x:v>0.35</x:v>
      </x:c>
      <x:c r="J1082" s="11" t="n">
        <x:v>0</x:v>
      </x:c>
      <x:c r="K1082" s="20" t="n">
        <x:v>680</x:v>
      </x:c>
      <x:c r="L1082" s="20" t="n">
        <x:v>238</x:v>
      </x:c>
      <x:c r="M1082" s="20" t="n">
        <x:v>440</x:v>
      </x:c>
      <x:c r="N1082" s="20" t="n">
        <x:f>IF(J1082=1,0,K1082-L1082)</x:f>
        <x:v>442</x:v>
      </x:c>
      <x:c r="O1082" s="20" t="n">
        <x:f>N1082-M1082</x:f>
        <x:v>2</x:v>
      </x:c>
    </x:row>
    <x:row r="1083" ht="22" customHeight="1">
      <x:c r="A1083" s="11" t="n">
        <x:v>1079</x:v>
      </x:c>
      <x:c r="B1083" s="11" t="n">
        <x:v>542</x:v>
      </x:c>
      <x:c r="C1083" s="18" t="n">
        <x:v>45384</x:v>
      </x:c>
      <x:c r="D1083" s="11" t="str">
        <x:v>2024-04</x:v>
      </x:c>
      <x:c r="E1083" s="11" t="str">
        <x:v>South</x:v>
      </x:c>
      <x:c r="F1083" s="11" t="str">
        <x:v>Technology</x:v>
      </x:c>
      <x:c r="G1083" s="11" t="str">
        <x:v>Keyboard</x:v>
      </x:c>
      <x:c r="H1083" s="11" t="n">
        <x:v>4</x:v>
      </x:c>
      <x:c r="I1083" s="19" t="n">
        <x:v>0</x:v>
      </x:c>
      <x:c r="J1083" s="11" t="n">
        <x:v>0</x:v>
      </x:c>
      <x:c r="K1083" s="20" t="n">
        <x:v>260</x:v>
      </x:c>
      <x:c r="L1083" s="20" t="n">
        <x:v>0</x:v>
      </x:c>
      <x:c r="M1083" s="20" t="n">
        <x:v>128</x:v>
      </x:c>
      <x:c r="N1083" s="20" t="n">
        <x:f>IF(J1083=1,0,K1083-L1083)</x:f>
        <x:v>260</x:v>
      </x:c>
      <x:c r="O1083" s="20" t="n">
        <x:f>N1083-M1083</x:f>
        <x:v>132</x:v>
      </x:c>
    </x:row>
    <x:row r="1084" ht="22" customHeight="1">
      <x:c r="A1084" s="11" t="n">
        <x:v>1080</x:v>
      </x:c>
      <x:c r="B1084" s="11" t="n">
        <x:v>543</x:v>
      </x:c>
      <x:c r="C1084" s="18" t="n">
        <x:v>45671</x:v>
      </x:c>
      <x:c r="D1084" s="11" t="str">
        <x:v>2025-01</x:v>
      </x:c>
      <x:c r="E1084" s="11" t="str">
        <x:v>West</x:v>
      </x:c>
      <x:c r="F1084" s="11" t="str">
        <x:v>Office Supplies</x:v>
      </x:c>
      <x:c r="G1084" s="11" t="str">
        <x:v>Storage box</x:v>
      </x:c>
      <x:c r="H1084" s="11" t="n">
        <x:v>4</x:v>
      </x:c>
      <x:c r="I1084" s="19" t="n">
        <x:v>0.05</x:v>
      </x:c>
      <x:c r="J1084" s="11" t="n">
        <x:v>0</x:v>
      </x:c>
      <x:c r="K1084" s="20" t="n">
        <x:v>104</x:v>
      </x:c>
      <x:c r="L1084" s="20" t="n">
        <x:v>5.2</x:v>
      </x:c>
      <x:c r="M1084" s="20" t="n">
        <x:v>48</x:v>
      </x:c>
      <x:c r="N1084" s="20" t="n">
        <x:f>IF(J1084=1,0,K1084-L1084)</x:f>
        <x:v>98.8</x:v>
      </x:c>
      <x:c r="O1084" s="20" t="n">
        <x:f>N1084-M1084</x:f>
        <x:v>50.8</x:v>
      </x:c>
    </x:row>
    <x:row r="1085" ht="22" customHeight="1">
      <x:c r="A1085" s="11" t="n">
        <x:v>1081</x:v>
      </x:c>
      <x:c r="B1085" s="11" t="n">
        <x:v>543</x:v>
      </x:c>
      <x:c r="C1085" s="18" t="n">
        <x:v>45671</x:v>
      </x:c>
      <x:c r="D1085" s="11" t="str">
        <x:v>2025-01</x:v>
      </x:c>
      <x:c r="E1085" s="11" t="str">
        <x:v>West</x:v>
      </x:c>
      <x:c r="F1085" s="11" t="str">
        <x:v>Furniture</x:v>
      </x:c>
      <x:c r="G1085" s="11" t="str">
        <x:v>Desk</x:v>
      </x:c>
      <x:c r="H1085" s="11" t="n">
        <x:v>3</x:v>
      </x:c>
      <x:c r="I1085" s="19" t="n">
        <x:v>0.25</x:v>
      </x:c>
      <x:c r="J1085" s="11" t="n">
        <x:v>0</x:v>
      </x:c>
      <x:c r="K1085" s="20" t="n">
        <x:v>840</x:v>
      </x:c>
      <x:c r="L1085" s="20" t="n">
        <x:v>210</x:v>
      </x:c>
      <x:c r="M1085" s="20" t="n">
        <x:v>570</x:v>
      </x:c>
      <x:c r="N1085" s="20" t="n">
        <x:f>IF(J1085=1,0,K1085-L1085)</x:f>
        <x:v>630</x:v>
      </x:c>
      <x:c r="O1085" s="20" t="n">
        <x:f>N1085-M1085</x:f>
        <x:v>60</x:v>
      </x:c>
    </x:row>
    <x:row r="1086" ht="22" customHeight="1">
      <x:c r="A1086" s="11" t="n">
        <x:v>1082</x:v>
      </x:c>
      <x:c r="B1086" s="11" t="n">
        <x:v>543</x:v>
      </x:c>
      <x:c r="C1086" s="18" t="n">
        <x:v>45671</x:v>
      </x:c>
      <x:c r="D1086" s="11" t="str">
        <x:v>2025-01</x:v>
      </x:c>
      <x:c r="E1086" s="11" t="str">
        <x:v>West</x:v>
      </x:c>
      <x:c r="F1086" s="11" t="str">
        <x:v>Office Supplies</x:v>
      </x:c>
      <x:c r="G1086" s="11" t="str">
        <x:v>Notebook pack</x:v>
      </x:c>
      <x:c r="H1086" s="11" t="n">
        <x:v>5</x:v>
      </x:c>
      <x:c r="I1086" s="19" t="n">
        <x:v>0.15</x:v>
      </x:c>
      <x:c r="J1086" s="11" t="n">
        <x:v>0</x:v>
      </x:c>
      <x:c r="K1086" s="20" t="n">
        <x:v>90</x:v>
      </x:c>
      <x:c r="L1086" s="20" t="n">
        <x:v>13.5</x:v>
      </x:c>
      <x:c r="M1086" s="20" t="n">
        <x:v>35</x:v>
      </x:c>
      <x:c r="N1086" s="20" t="n">
        <x:f>IF(J1086=1,0,K1086-L1086)</x:f>
        <x:v>76.5</x:v>
      </x:c>
      <x:c r="O1086" s="20" t="n">
        <x:f>N1086-M1086</x:f>
        <x:v>41.5</x:v>
      </x:c>
    </x:row>
    <x:row r="1087" ht="22" customHeight="1">
      <x:c r="A1087" s="11" t="n">
        <x:v>1083</x:v>
      </x:c>
      <x:c r="B1087" s="11" t="n">
        <x:v>544</x:v>
      </x:c>
      <x:c r="C1087" s="18" t="n">
        <x:v>45504</x:v>
      </x:c>
      <x:c r="D1087" s="11" t="str">
        <x:v>2024-07</x:v>
      </x:c>
      <x:c r="E1087" s="11" t="str">
        <x:v>East</x:v>
      </x:c>
      <x:c r="F1087" s="11" t="str">
        <x:v>Technology</x:v>
      </x:c>
      <x:c r="G1087" s="11" t="str">
        <x:v>Monitor</x:v>
      </x:c>
      <x:c r="H1087" s="11" t="n">
        <x:v>1</x:v>
      </x:c>
      <x:c r="I1087" s="19" t="n">
        <x:v>0</x:v>
      </x:c>
      <x:c r="J1087" s="11" t="n">
        <x:v>0</x:v>
      </x:c>
      <x:c r="K1087" s="20" t="n">
        <x:v>240</x:v>
      </x:c>
      <x:c r="L1087" s="20" t="n">
        <x:v>0</x:v>
      </x:c>
      <x:c r="M1087" s="20" t="n">
        <x:v>160</x:v>
      </x:c>
      <x:c r="N1087" s="20" t="n">
        <x:f>IF(J1087=1,0,K1087-L1087)</x:f>
        <x:v>240</x:v>
      </x:c>
      <x:c r="O1087" s="20" t="n">
        <x:f>N1087-M1087</x:f>
        <x:v>80</x:v>
      </x:c>
    </x:row>
    <x:row r="1088" ht="22" customHeight="1">
      <x:c r="A1088" s="11" t="n">
        <x:v>1084</x:v>
      </x:c>
      <x:c r="B1088" s="11" t="n">
        <x:v>544</x:v>
      </x:c>
      <x:c r="C1088" s="18" t="n">
        <x:v>45504</x:v>
      </x:c>
      <x:c r="D1088" s="11" t="str">
        <x:v>2024-07</x:v>
      </x:c>
      <x:c r="E1088" s="11" t="str">
        <x:v>East</x:v>
      </x:c>
      <x:c r="F1088" s="11" t="str">
        <x:v>Furniture</x:v>
      </x:c>
      <x:c r="G1088" s="11" t="str">
        <x:v>Desk</x:v>
      </x:c>
      <x:c r="H1088" s="11" t="n">
        <x:v>4</x:v>
      </x:c>
      <x:c r="I1088" s="19" t="n">
        <x:v>0</x:v>
      </x:c>
      <x:c r="J1088" s="11" t="n">
        <x:v>0</x:v>
      </x:c>
      <x:c r="K1088" s="20" t="n">
        <x:v>1120</x:v>
      </x:c>
      <x:c r="L1088" s="20" t="n">
        <x:v>0</x:v>
      </x:c>
      <x:c r="M1088" s="20" t="n">
        <x:v>760</x:v>
      </x:c>
      <x:c r="N1088" s="20" t="n">
        <x:f>IF(J1088=1,0,K1088-L1088)</x:f>
        <x:v>1120</x:v>
      </x:c>
      <x:c r="O1088" s="20" t="n">
        <x:f>N1088-M1088</x:f>
        <x:v>360</x:v>
      </x:c>
    </x:row>
    <x:row r="1089" ht="22" customHeight="1">
      <x:c r="A1089" s="11" t="n">
        <x:v>1085</x:v>
      </x:c>
      <x:c r="B1089" s="11" t="n">
        <x:v>544</x:v>
      </x:c>
      <x:c r="C1089" s="18" t="n">
        <x:v>45504</x:v>
      </x:c>
      <x:c r="D1089" s="11" t="str">
        <x:v>2024-07</x:v>
      </x:c>
      <x:c r="E1089" s="11" t="str">
        <x:v>East</x:v>
      </x:c>
      <x:c r="F1089" s="11" t="str">
        <x:v>Office Supplies</x:v>
      </x:c>
      <x:c r="G1089" s="11" t="str">
        <x:v>Storage box</x:v>
      </x:c>
      <x:c r="H1089" s="11" t="n">
        <x:v>2</x:v>
      </x:c>
      <x:c r="I1089" s="19" t="n">
        <x:v>0.15</x:v>
      </x:c>
      <x:c r="J1089" s="11" t="n">
        <x:v>0</x:v>
      </x:c>
      <x:c r="K1089" s="20" t="n">
        <x:v>52</x:v>
      </x:c>
      <x:c r="L1089" s="20" t="n">
        <x:v>7.8</x:v>
      </x:c>
      <x:c r="M1089" s="20" t="n">
        <x:v>24</x:v>
      </x:c>
      <x:c r="N1089" s="20" t="n">
        <x:f>IF(J1089=1,0,K1089-L1089)</x:f>
        <x:v>44.2</x:v>
      </x:c>
      <x:c r="O1089" s="20" t="n">
        <x:f>N1089-M1089</x:f>
        <x:v>20.200000000000003</x:v>
      </x:c>
    </x:row>
    <x:row r="1090" ht="22" customHeight="1">
      <x:c r="A1090" s="11" t="n">
        <x:v>1086</x:v>
      </x:c>
      <x:c r="B1090" s="11" t="n">
        <x:v>545</x:v>
      </x:c>
      <x:c r="C1090" s="18" t="n">
        <x:v>45866</x:v>
      </x:c>
      <x:c r="D1090" s="11" t="str">
        <x:v>2025-07</x:v>
      </x:c>
      <x:c r="E1090" s="11" t="str">
        <x:v>South</x:v>
      </x:c>
      <x:c r="F1090" s="11" t="str">
        <x:v>Technology</x:v>
      </x:c>
      <x:c r="G1090" s="11" t="str">
        <x:v>Monitor</x:v>
      </x:c>
      <x:c r="H1090" s="11" t="n">
        <x:v>2</x:v>
      </x:c>
      <x:c r="I1090" s="19" t="n">
        <x:v>0.15</x:v>
      </x:c>
      <x:c r="J1090" s="11" t="n">
        <x:v>0</x:v>
      </x:c>
      <x:c r="K1090" s="20" t="n">
        <x:v>480</x:v>
      </x:c>
      <x:c r="L1090" s="20" t="n">
        <x:v>72</x:v>
      </x:c>
      <x:c r="M1090" s="20" t="n">
        <x:v>320</x:v>
      </x:c>
      <x:c r="N1090" s="20" t="n">
        <x:f>IF(J1090=1,0,K1090-L1090)</x:f>
        <x:v>408</x:v>
      </x:c>
      <x:c r="O1090" s="20" t="n">
        <x:f>N1090-M1090</x:f>
        <x:v>88</x:v>
      </x:c>
    </x:row>
    <x:row r="1091" ht="22" customHeight="1">
      <x:c r="A1091" s="11" t="n">
        <x:v>1087</x:v>
      </x:c>
      <x:c r="B1091" s="11" t="n">
        <x:v>546</x:v>
      </x:c>
      <x:c r="C1091" s="18" t="n">
        <x:v>45781</x:v>
      </x:c>
      <x:c r="D1091" s="11" t="str">
        <x:v>2025-05</x:v>
      </x:c>
      <x:c r="E1091" s="11" t="str">
        <x:v>Central</x:v>
      </x:c>
      <x:c r="F1091" s="11" t="str">
        <x:v>Furniture</x:v>
      </x:c>
      <x:c r="G1091" s="11" t="str">
        <x:v>Chair</x:v>
      </x:c>
      <x:c r="H1091" s="11" t="n">
        <x:v>3</x:v>
      </x:c>
      <x:c r="I1091" s="19" t="n">
        <x:v>0.25</x:v>
      </x:c>
      <x:c r="J1091" s="11" t="n">
        <x:v>0</x:v>
      </x:c>
      <x:c r="K1091" s="20" t="n">
        <x:v>510</x:v>
      </x:c>
      <x:c r="L1091" s="20" t="n">
        <x:v>127.5</x:v>
      </x:c>
      <x:c r="M1091" s="20" t="n">
        <x:v>330</x:v>
      </x:c>
      <x:c r="N1091" s="20" t="n">
        <x:f>IF(J1091=1,0,K1091-L1091)</x:f>
        <x:v>382.5</x:v>
      </x:c>
      <x:c r="O1091" s="20" t="n">
        <x:f>N1091-M1091</x:f>
        <x:v>52.5</x:v>
      </x:c>
    </x:row>
    <x:row r="1092" ht="22" customHeight="1">
      <x:c r="A1092" s="11" t="n">
        <x:v>1088</x:v>
      </x:c>
      <x:c r="B1092" s="11" t="n">
        <x:v>546</x:v>
      </x:c>
      <x:c r="C1092" s="18" t="n">
        <x:v>45781</x:v>
      </x:c>
      <x:c r="D1092" s="11" t="str">
        <x:v>2025-05</x:v>
      </x:c>
      <x:c r="E1092" s="11" t="str">
        <x:v>Central</x:v>
      </x:c>
      <x:c r="F1092" s="11" t="str">
        <x:v>Technology</x:v>
      </x:c>
      <x:c r="G1092" s="11" t="str">
        <x:v>Monitor</x:v>
      </x:c>
      <x:c r="H1092" s="11" t="n">
        <x:v>1</x:v>
      </x:c>
      <x:c r="I1092" s="19" t="n">
        <x:v>0.05</x:v>
      </x:c>
      <x:c r="J1092" s="11" t="n">
        <x:v>0</x:v>
      </x:c>
      <x:c r="K1092" s="20" t="n">
        <x:v>240</x:v>
      </x:c>
      <x:c r="L1092" s="20" t="n">
        <x:v>12</x:v>
      </x:c>
      <x:c r="M1092" s="20" t="n">
        <x:v>160</x:v>
      </x:c>
      <x:c r="N1092" s="20" t="n">
        <x:f>IF(J1092=1,0,K1092-L1092)</x:f>
        <x:v>228</x:v>
      </x:c>
      <x:c r="O1092" s="20" t="n">
        <x:f>N1092-M1092</x:f>
        <x:v>68</x:v>
      </x:c>
    </x:row>
    <x:row r="1093" ht="22" customHeight="1">
      <x:c r="A1093" s="11" t="n">
        <x:v>1089</x:v>
      </x:c>
      <x:c r="B1093" s="11" t="n">
        <x:v>546</x:v>
      </x:c>
      <x:c r="C1093" s="18" t="n">
        <x:v>45781</x:v>
      </x:c>
      <x:c r="D1093" s="11" t="str">
        <x:v>2025-05</x:v>
      </x:c>
      <x:c r="E1093" s="11" t="str">
        <x:v>Central</x:v>
      </x:c>
      <x:c r="F1093" s="11" t="str">
        <x:v>Office Supplies</x:v>
      </x:c>
      <x:c r="G1093" s="11" t="str">
        <x:v>Notebook pack</x:v>
      </x:c>
      <x:c r="H1093" s="11" t="n">
        <x:v>4</x:v>
      </x:c>
      <x:c r="I1093" s="19" t="n">
        <x:v>0.15</x:v>
      </x:c>
      <x:c r="J1093" s="11" t="n">
        <x:v>0</x:v>
      </x:c>
      <x:c r="K1093" s="20" t="n">
        <x:v>72</x:v>
      </x:c>
      <x:c r="L1093" s="20" t="n">
        <x:v>10.8</x:v>
      </x:c>
      <x:c r="M1093" s="20" t="n">
        <x:v>28</x:v>
      </x:c>
      <x:c r="N1093" s="20" t="n">
        <x:f>IF(J1093=1,0,K1093-L1093)</x:f>
        <x:v>61.2</x:v>
      </x:c>
      <x:c r="O1093" s="20" t="n">
        <x:f>N1093-M1093</x:f>
        <x:v>33.2</x:v>
      </x:c>
    </x:row>
    <x:row r="1094" ht="22" customHeight="1">
      <x:c r="A1094" s="11" t="n">
        <x:v>1090</x:v>
      </x:c>
      <x:c r="B1094" s="11" t="n">
        <x:v>547</x:v>
      </x:c>
      <x:c r="C1094" s="18" t="n">
        <x:v>45417</x:v>
      </x:c>
      <x:c r="D1094" s="11" t="str">
        <x:v>2024-05</x:v>
      </x:c>
      <x:c r="E1094" s="11" t="str">
        <x:v>East</x:v>
      </x:c>
      <x:c r="F1094" s="11" t="str">
        <x:v>Office Supplies</x:v>
      </x:c>
      <x:c r="G1094" s="11" t="str">
        <x:v>Notebook pack</x:v>
      </x:c>
      <x:c r="H1094" s="11" t="n">
        <x:v>1</x:v>
      </x:c>
      <x:c r="I1094" s="19" t="n">
        <x:v>0</x:v>
      </x:c>
      <x:c r="J1094" s="11" t="n">
        <x:v>0</x:v>
      </x:c>
      <x:c r="K1094" s="20" t="n">
        <x:v>18</x:v>
      </x:c>
      <x:c r="L1094" s="20" t="n">
        <x:v>0</x:v>
      </x:c>
      <x:c r="M1094" s="20" t="n">
        <x:v>7</x:v>
      </x:c>
      <x:c r="N1094" s="20" t="n">
        <x:f>IF(J1094=1,0,K1094-L1094)</x:f>
        <x:v>18</x:v>
      </x:c>
      <x:c r="O1094" s="20" t="n">
        <x:f>N1094-M1094</x:f>
        <x:v>11</x:v>
      </x:c>
    </x:row>
    <x:row r="1095" ht="22" customHeight="1">
      <x:c r="A1095" s="11" t="n">
        <x:v>1091</x:v>
      </x:c>
      <x:c r="B1095" s="11" t="n">
        <x:v>547</x:v>
      </x:c>
      <x:c r="C1095" s="18" t="n">
        <x:v>45417</x:v>
      </x:c>
      <x:c r="D1095" s="11" t="str">
        <x:v>2024-05</x:v>
      </x:c>
      <x:c r="E1095" s="11" t="str">
        <x:v>East</x:v>
      </x:c>
      <x:c r="F1095" s="11" t="str">
        <x:v>Technology</x:v>
      </x:c>
      <x:c r="G1095" s="11" t="str">
        <x:v>Monitor</x:v>
      </x:c>
      <x:c r="H1095" s="11" t="n">
        <x:v>4</x:v>
      </x:c>
      <x:c r="I1095" s="19" t="n">
        <x:v>0</x:v>
      </x:c>
      <x:c r="J1095" s="11" t="n">
        <x:v>0</x:v>
      </x:c>
      <x:c r="K1095" s="20" t="n">
        <x:v>960</x:v>
      </x:c>
      <x:c r="L1095" s="20" t="n">
        <x:v>0</x:v>
      </x:c>
      <x:c r="M1095" s="20" t="n">
        <x:v>640</x:v>
      </x:c>
      <x:c r="N1095" s="20" t="n">
        <x:f>IF(J1095=1,0,K1095-L1095)</x:f>
        <x:v>960</x:v>
      </x:c>
      <x:c r="O1095" s="20" t="n">
        <x:f>N1095-M1095</x:f>
        <x:v>320</x:v>
      </x:c>
    </x:row>
    <x:row r="1096" ht="22" customHeight="1">
      <x:c r="A1096" s="11" t="n">
        <x:v>1092</x:v>
      </x:c>
      <x:c r="B1096" s="11" t="n">
        <x:v>548</x:v>
      </x:c>
      <x:c r="C1096" s="18" t="n">
        <x:v>45475</x:v>
      </x:c>
      <x:c r="D1096" s="11" t="str">
        <x:v>2024-07</x:v>
      </x:c>
      <x:c r="E1096" s="11" t="str">
        <x:v>South</x:v>
      </x:c>
      <x:c r="F1096" s="11" t="str">
        <x:v>Furniture</x:v>
      </x:c>
      <x:c r="G1096" s="11" t="str">
        <x:v>Chair</x:v>
      </x:c>
      <x:c r="H1096" s="11" t="n">
        <x:v>3</x:v>
      </x:c>
      <x:c r="I1096" s="19" t="n">
        <x:v>0</x:v>
      </x:c>
      <x:c r="J1096" s="11" t="n">
        <x:v>0</x:v>
      </x:c>
      <x:c r="K1096" s="20" t="n">
        <x:v>510</x:v>
      </x:c>
      <x:c r="L1096" s="20" t="n">
        <x:v>0</x:v>
      </x:c>
      <x:c r="M1096" s="20" t="n">
        <x:v>330</x:v>
      </x:c>
      <x:c r="N1096" s="20" t="n">
        <x:f>IF(J1096=1,0,K1096-L1096)</x:f>
        <x:v>510</x:v>
      </x:c>
      <x:c r="O1096" s="20" t="n">
        <x:f>N1096-M1096</x:f>
        <x:v>180</x:v>
      </x:c>
    </x:row>
    <x:row r="1097" ht="22" customHeight="1">
      <x:c r="A1097" s="11" t="n">
        <x:v>1093</x:v>
      </x:c>
      <x:c r="B1097" s="11" t="n">
        <x:v>549</x:v>
      </x:c>
      <x:c r="C1097" s="18" t="n">
        <x:v>45800</x:v>
      </x:c>
      <x:c r="D1097" s="11" t="str">
        <x:v>2025-05</x:v>
      </x:c>
      <x:c r="E1097" s="11" t="str">
        <x:v>Central</x:v>
      </x:c>
      <x:c r="F1097" s="11" t="str">
        <x:v>Office Supplies</x:v>
      </x:c>
      <x:c r="G1097" s="11" t="str">
        <x:v>Storage box</x:v>
      </x:c>
      <x:c r="H1097" s="11" t="n">
        <x:v>4</x:v>
      </x:c>
      <x:c r="I1097" s="19" t="n">
        <x:v>0.15</x:v>
      </x:c>
      <x:c r="J1097" s="11" t="n">
        <x:v>0</x:v>
      </x:c>
      <x:c r="K1097" s="20" t="n">
        <x:v>104</x:v>
      </x:c>
      <x:c r="L1097" s="20" t="n">
        <x:v>15.6</x:v>
      </x:c>
      <x:c r="M1097" s="20" t="n">
        <x:v>48</x:v>
      </x:c>
      <x:c r="N1097" s="20" t="n">
        <x:f>IF(J1097=1,0,K1097-L1097)</x:f>
        <x:v>88.4</x:v>
      </x:c>
      <x:c r="O1097" s="20" t="n">
        <x:f>N1097-M1097</x:f>
        <x:v>40.400000000000006</x:v>
      </x:c>
    </x:row>
    <x:row r="1098" ht="22" customHeight="1">
      <x:c r="A1098" s="11" t="n">
        <x:v>1094</x:v>
      </x:c>
      <x:c r="B1098" s="11" t="n">
        <x:v>549</x:v>
      </x:c>
      <x:c r="C1098" s="18" t="n">
        <x:v>45800</x:v>
      </x:c>
      <x:c r="D1098" s="11" t="str">
        <x:v>2025-05</x:v>
      </x:c>
      <x:c r="E1098" s="11" t="str">
        <x:v>Central</x:v>
      </x:c>
      <x:c r="F1098" s="11" t="str">
        <x:v>Furniture</x:v>
      </x:c>
      <x:c r="G1098" s="11" t="str">
        <x:v>Desk</x:v>
      </x:c>
      <x:c r="H1098" s="11" t="n">
        <x:v>4</x:v>
      </x:c>
      <x:c r="I1098" s="19" t="n">
        <x:v>0.15</x:v>
      </x:c>
      <x:c r="J1098" s="11" t="n">
        <x:v>0</x:v>
      </x:c>
      <x:c r="K1098" s="20" t="n">
        <x:v>1120</x:v>
      </x:c>
      <x:c r="L1098" s="20" t="n">
        <x:v>168</x:v>
      </x:c>
      <x:c r="M1098" s="20" t="n">
        <x:v>760</x:v>
      </x:c>
      <x:c r="N1098" s="20" t="n">
        <x:f>IF(J1098=1,0,K1098-L1098)</x:f>
        <x:v>952</x:v>
      </x:c>
      <x:c r="O1098" s="20" t="n">
        <x:f>N1098-M1098</x:f>
        <x:v>192</x:v>
      </x:c>
    </x:row>
    <x:row r="1099" ht="22" customHeight="1">
      <x:c r="A1099" s="11" t="n">
        <x:v>1095</x:v>
      </x:c>
      <x:c r="B1099" s="11" t="n">
        <x:v>549</x:v>
      </x:c>
      <x:c r="C1099" s="18" t="n">
        <x:v>45800</x:v>
      </x:c>
      <x:c r="D1099" s="11" t="str">
        <x:v>2025-05</x:v>
      </x:c>
      <x:c r="E1099" s="11" t="str">
        <x:v>Central</x:v>
      </x:c>
      <x:c r="F1099" s="11" t="str">
        <x:v>Technology</x:v>
      </x:c>
      <x:c r="G1099" s="11" t="str">
        <x:v>Monitor</x:v>
      </x:c>
      <x:c r="H1099" s="11" t="n">
        <x:v>1</x:v>
      </x:c>
      <x:c r="I1099" s="19" t="n">
        <x:v>0.05</x:v>
      </x:c>
      <x:c r="J1099" s="11" t="n">
        <x:v>0</x:v>
      </x:c>
      <x:c r="K1099" s="20" t="n">
        <x:v>240</x:v>
      </x:c>
      <x:c r="L1099" s="20" t="n">
        <x:v>12</x:v>
      </x:c>
      <x:c r="M1099" s="20" t="n">
        <x:v>160</x:v>
      </x:c>
      <x:c r="N1099" s="20" t="n">
        <x:f>IF(J1099=1,0,K1099-L1099)</x:f>
        <x:v>228</x:v>
      </x:c>
      <x:c r="O1099" s="20" t="n">
        <x:f>N1099-M1099</x:f>
        <x:v>68</x:v>
      </x:c>
    </x:row>
    <x:row r="1100" ht="22" customHeight="1">
      <x:c r="A1100" s="11" t="n">
        <x:v>1096</x:v>
      </x:c>
      <x:c r="B1100" s="11" t="n">
        <x:v>550</x:v>
      </x:c>
      <x:c r="C1100" s="18" t="n">
        <x:v>45314</x:v>
      </x:c>
      <x:c r="D1100" s="11" t="str">
        <x:v>2024-01</x:v>
      </x:c>
      <x:c r="E1100" s="11" t="str">
        <x:v>West</x:v>
      </x:c>
      <x:c r="F1100" s="11" t="str">
        <x:v>Office Supplies</x:v>
      </x:c>
      <x:c r="G1100" s="11" t="str">
        <x:v>Notebook pack</x:v>
      </x:c>
      <x:c r="H1100" s="11" t="n">
        <x:v>3</x:v>
      </x:c>
      <x:c r="I1100" s="19" t="n">
        <x:v>0.1</x:v>
      </x:c>
      <x:c r="J1100" s="11" t="n">
        <x:v>0</x:v>
      </x:c>
      <x:c r="K1100" s="20" t="n">
        <x:v>54</x:v>
      </x:c>
      <x:c r="L1100" s="20" t="n">
        <x:v>5.4</x:v>
      </x:c>
      <x:c r="M1100" s="20" t="n">
        <x:v>21</x:v>
      </x:c>
      <x:c r="N1100" s="20" t="n">
        <x:f>IF(J1100=1,0,K1100-L1100)</x:f>
        <x:v>48.6</x:v>
      </x:c>
      <x:c r="O1100" s="20" t="n">
        <x:f>N1100-M1100</x:f>
        <x:v>27.6</x:v>
      </x:c>
    </x:row>
    <x:row r="1101" ht="22" customHeight="1">
      <x:c r="A1101" s="11" t="n">
        <x:v>1097</x:v>
      </x:c>
      <x:c r="B1101" s="11" t="n">
        <x:v>550</x:v>
      </x:c>
      <x:c r="C1101" s="18" t="n">
        <x:v>45314</x:v>
      </x:c>
      <x:c r="D1101" s="11" t="str">
        <x:v>2024-01</x:v>
      </x:c>
      <x:c r="E1101" s="11" t="str">
        <x:v>West</x:v>
      </x:c>
      <x:c r="F1101" s="11" t="str">
        <x:v>Technology</x:v>
      </x:c>
      <x:c r="G1101" s="11" t="str">
        <x:v>Monitor</x:v>
      </x:c>
      <x:c r="H1101" s="11" t="n">
        <x:v>5</x:v>
      </x:c>
      <x:c r="I1101" s="19" t="n">
        <x:v>0.15</x:v>
      </x:c>
      <x:c r="J1101" s="11" t="n">
        <x:v>0</x:v>
      </x:c>
      <x:c r="K1101" s="20" t="n">
        <x:v>1200</x:v>
      </x:c>
      <x:c r="L1101" s="20" t="n">
        <x:v>180</x:v>
      </x:c>
      <x:c r="M1101" s="20" t="n">
        <x:v>800</x:v>
      </x:c>
      <x:c r="N1101" s="20" t="n">
        <x:f>IF(J1101=1,0,K1101-L1101)</x:f>
        <x:v>1020</x:v>
      </x:c>
      <x:c r="O1101" s="20" t="n">
        <x:f>N1101-M1101</x:f>
        <x:v>220</x:v>
      </x:c>
    </x:row>
    <x:row r="1102" ht="22" customHeight="1">
      <x:c r="A1102" s="11" t="n">
        <x:v>1098</x:v>
      </x:c>
      <x:c r="B1102" s="11" t="n">
        <x:v>551</x:v>
      </x:c>
      <x:c r="C1102" s="18" t="n">
        <x:v>45603</x:v>
      </x:c>
      <x:c r="D1102" s="11" t="str">
        <x:v>2024-11</x:v>
      </x:c>
      <x:c r="E1102" s="11" t="str">
        <x:v>East</x:v>
      </x:c>
      <x:c r="F1102" s="11" t="str">
        <x:v>Furniture</x:v>
      </x:c>
      <x:c r="G1102" s="11" t="str">
        <x:v>Chair</x:v>
      </x:c>
      <x:c r="H1102" s="11" t="n">
        <x:v>2</x:v>
      </x:c>
      <x:c r="I1102" s="19" t="n">
        <x:v>0.35</x:v>
      </x:c>
      <x:c r="J1102" s="11" t="n">
        <x:v>0</x:v>
      </x:c>
      <x:c r="K1102" s="20" t="n">
        <x:v>340</x:v>
      </x:c>
      <x:c r="L1102" s="20" t="n">
        <x:v>119</x:v>
      </x:c>
      <x:c r="M1102" s="20" t="n">
        <x:v>220</x:v>
      </x:c>
      <x:c r="N1102" s="20" t="n">
        <x:f>IF(J1102=1,0,K1102-L1102)</x:f>
        <x:v>221</x:v>
      </x:c>
      <x:c r="O1102" s="20" t="n">
        <x:f>N1102-M1102</x:f>
        <x:v>1</x:v>
      </x:c>
    </x:row>
    <x:row r="1103" ht="22" customHeight="1">
      <x:c r="A1103" s="11" t="n">
        <x:v>1099</x:v>
      </x:c>
      <x:c r="B1103" s="11" t="n">
        <x:v>551</x:v>
      </x:c>
      <x:c r="C1103" s="18" t="n">
        <x:v>45603</x:v>
      </x:c>
      <x:c r="D1103" s="11" t="str">
        <x:v>2024-11</x:v>
      </x:c>
      <x:c r="E1103" s="11" t="str">
        <x:v>East</x:v>
      </x:c>
      <x:c r="F1103" s="11" t="str">
        <x:v>Technology</x:v>
      </x:c>
      <x:c r="G1103" s="11" t="str">
        <x:v>Monitor</x:v>
      </x:c>
      <x:c r="H1103" s="11" t="n">
        <x:v>3</x:v>
      </x:c>
      <x:c r="I1103" s="19" t="n">
        <x:v>0</x:v>
      </x:c>
      <x:c r="J1103" s="11" t="n">
        <x:v>0</x:v>
      </x:c>
      <x:c r="K1103" s="20" t="n">
        <x:v>720</x:v>
      </x:c>
      <x:c r="L1103" s="20" t="n">
        <x:v>0</x:v>
      </x:c>
      <x:c r="M1103" s="20" t="n">
        <x:v>480</x:v>
      </x:c>
      <x:c r="N1103" s="20" t="n">
        <x:f>IF(J1103=1,0,K1103-L1103)</x:f>
        <x:v>720</x:v>
      </x:c>
      <x:c r="O1103" s="20" t="n">
        <x:f>N1103-M1103</x:f>
        <x:v>240</x:v>
      </x:c>
    </x:row>
    <x:row r="1104" ht="22" customHeight="1">
      <x:c r="A1104" s="11" t="n">
        <x:v>1100</x:v>
      </x:c>
      <x:c r="B1104" s="11" t="n">
        <x:v>552</x:v>
      </x:c>
      <x:c r="C1104" s="18" t="n">
        <x:v>45583</x:v>
      </x:c>
      <x:c r="D1104" s="11" t="str">
        <x:v>2024-10</x:v>
      </x:c>
      <x:c r="E1104" s="11" t="str">
        <x:v>East</x:v>
      </x:c>
      <x:c r="F1104" s="11" t="str">
        <x:v>Furniture</x:v>
      </x:c>
      <x:c r="G1104" s="11" t="str">
        <x:v>Chair</x:v>
      </x:c>
      <x:c r="H1104" s="11" t="n">
        <x:v>2</x:v>
      </x:c>
      <x:c r="I1104" s="19" t="n">
        <x:v>0</x:v>
      </x:c>
      <x:c r="J1104" s="11" t="n">
        <x:v>0</x:v>
      </x:c>
      <x:c r="K1104" s="20" t="n">
        <x:v>340</x:v>
      </x:c>
      <x:c r="L1104" s="20" t="n">
        <x:v>0</x:v>
      </x:c>
      <x:c r="M1104" s="20" t="n">
        <x:v>220</x:v>
      </x:c>
      <x:c r="N1104" s="20" t="n">
        <x:f>IF(J1104=1,0,K1104-L1104)</x:f>
        <x:v>340</x:v>
      </x:c>
      <x:c r="O1104" s="20" t="n">
        <x:f>N1104-M1104</x:f>
        <x:v>120</x:v>
      </x:c>
    </x:row>
    <x:row r="1105" ht="22" customHeight="1">
      <x:c r="A1105" s="11" t="n">
        <x:v>1101</x:v>
      </x:c>
      <x:c r="B1105" s="11" t="n">
        <x:v>552</x:v>
      </x:c>
      <x:c r="C1105" s="18" t="n">
        <x:v>45583</x:v>
      </x:c>
      <x:c r="D1105" s="11" t="str">
        <x:v>2024-10</x:v>
      </x:c>
      <x:c r="E1105" s="11" t="str">
        <x:v>East</x:v>
      </x:c>
      <x:c r="F1105" s="11" t="str">
        <x:v>Office Supplies</x:v>
      </x:c>
      <x:c r="G1105" s="11" t="str">
        <x:v>Notebook pack</x:v>
      </x:c>
      <x:c r="H1105" s="11" t="n">
        <x:v>2</x:v>
      </x:c>
      <x:c r="I1105" s="19" t="n">
        <x:v>0</x:v>
      </x:c>
      <x:c r="J1105" s="11" t="n">
        <x:v>0</x:v>
      </x:c>
      <x:c r="K1105" s="20" t="n">
        <x:v>36</x:v>
      </x:c>
      <x:c r="L1105" s="20" t="n">
        <x:v>0</x:v>
      </x:c>
      <x:c r="M1105" s="20" t="n">
        <x:v>14</x:v>
      </x:c>
      <x:c r="N1105" s="20" t="n">
        <x:f>IF(J1105=1,0,K1105-L1105)</x:f>
        <x:v>36</x:v>
      </x:c>
      <x:c r="O1105" s="20" t="n">
        <x:f>N1105-M1105</x:f>
        <x:v>22</x:v>
      </x:c>
    </x:row>
    <x:row r="1106" ht="22" customHeight="1">
      <x:c r="A1106" s="11" t="n">
        <x:v>1102</x:v>
      </x:c>
      <x:c r="B1106" s="11" t="n">
        <x:v>552</x:v>
      </x:c>
      <x:c r="C1106" s="18" t="n">
        <x:v>45583</x:v>
      </x:c>
      <x:c r="D1106" s="11" t="str">
        <x:v>2024-10</x:v>
      </x:c>
      <x:c r="E1106" s="11" t="str">
        <x:v>East</x:v>
      </x:c>
      <x:c r="F1106" s="11" t="str">
        <x:v>Technology</x:v>
      </x:c>
      <x:c r="G1106" s="11" t="str">
        <x:v>Monitor</x:v>
      </x:c>
      <x:c r="H1106" s="11" t="n">
        <x:v>1</x:v>
      </x:c>
      <x:c r="I1106" s="19" t="n">
        <x:v>0.05</x:v>
      </x:c>
      <x:c r="J1106" s="11" t="n">
        <x:v>0</x:v>
      </x:c>
      <x:c r="K1106" s="20" t="n">
        <x:v>240</x:v>
      </x:c>
      <x:c r="L1106" s="20" t="n">
        <x:v>12</x:v>
      </x:c>
      <x:c r="M1106" s="20" t="n">
        <x:v>160</x:v>
      </x:c>
      <x:c r="N1106" s="20" t="n">
        <x:f>IF(J1106=1,0,K1106-L1106)</x:f>
        <x:v>228</x:v>
      </x:c>
      <x:c r="O1106" s="20" t="n">
        <x:f>N1106-M1106</x:f>
        <x:v>68</x:v>
      </x:c>
    </x:row>
    <x:row r="1107" ht="22" customHeight="1">
      <x:c r="A1107" s="11" t="n">
        <x:v>1103</x:v>
      </x:c>
      <x:c r="B1107" s="11" t="n">
        <x:v>553</x:v>
      </x:c>
      <x:c r="C1107" s="18" t="n">
        <x:v>45743</x:v>
      </x:c>
      <x:c r="D1107" s="11" t="str">
        <x:v>2025-03</x:v>
      </x:c>
      <x:c r="E1107" s="11" t="str">
        <x:v>East</x:v>
      </x:c>
      <x:c r="F1107" s="11" t="str">
        <x:v>Furniture</x:v>
      </x:c>
      <x:c r="G1107" s="11" t="str">
        <x:v>Chair</x:v>
      </x:c>
      <x:c r="H1107" s="11" t="n">
        <x:v>5</x:v>
      </x:c>
      <x:c r="I1107" s="19" t="n">
        <x:v>0</x:v>
      </x:c>
      <x:c r="J1107" s="11" t="n">
        <x:v>0</x:v>
      </x:c>
      <x:c r="K1107" s="20" t="n">
        <x:v>850</x:v>
      </x:c>
      <x:c r="L1107" s="20" t="n">
        <x:v>0</x:v>
      </x:c>
      <x:c r="M1107" s="20" t="n">
        <x:v>550</x:v>
      </x:c>
      <x:c r="N1107" s="20" t="n">
        <x:f>IF(J1107=1,0,K1107-L1107)</x:f>
        <x:v>850</x:v>
      </x:c>
      <x:c r="O1107" s="20" t="n">
        <x:f>N1107-M1107</x:f>
        <x:v>300</x:v>
      </x:c>
    </x:row>
    <x:row r="1108" ht="22" customHeight="1">
      <x:c r="A1108" s="11" t="n">
        <x:v>1104</x:v>
      </x:c>
      <x:c r="B1108" s="11" t="n">
        <x:v>554</x:v>
      </x:c>
      <x:c r="C1108" s="18" t="n">
        <x:v>45644</x:v>
      </x:c>
      <x:c r="D1108" s="11" t="str">
        <x:v>2024-12</x:v>
      </x:c>
      <x:c r="E1108" s="11" t="str">
        <x:v>East</x:v>
      </x:c>
      <x:c r="F1108" s="11" t="str">
        <x:v>Office Supplies</x:v>
      </x:c>
      <x:c r="G1108" s="11" t="str">
        <x:v>Notebook pack</x:v>
      </x:c>
      <x:c r="H1108" s="11" t="n">
        <x:v>5</x:v>
      </x:c>
      <x:c r="I1108" s="19" t="n">
        <x:v>0.05</x:v>
      </x:c>
      <x:c r="J1108" s="11" t="n">
        <x:v>0</x:v>
      </x:c>
      <x:c r="K1108" s="20" t="n">
        <x:v>90</x:v>
      </x:c>
      <x:c r="L1108" s="20" t="n">
        <x:v>4.5</x:v>
      </x:c>
      <x:c r="M1108" s="20" t="n">
        <x:v>35</x:v>
      </x:c>
      <x:c r="N1108" s="20" t="n">
        <x:f>IF(J1108=1,0,K1108-L1108)</x:f>
        <x:v>85.5</x:v>
      </x:c>
      <x:c r="O1108" s="20" t="n">
        <x:f>N1108-M1108</x:f>
        <x:v>50.5</x:v>
      </x:c>
    </x:row>
    <x:row r="1109" ht="22" customHeight="1">
      <x:c r="A1109" s="11" t="n">
        <x:v>1105</x:v>
      </x:c>
      <x:c r="B1109" s="11" t="n">
        <x:v>554</x:v>
      </x:c>
      <x:c r="C1109" s="18" t="n">
        <x:v>45644</x:v>
      </x:c>
      <x:c r="D1109" s="11" t="str">
        <x:v>2024-12</x:v>
      </x:c>
      <x:c r="E1109" s="11" t="str">
        <x:v>East</x:v>
      </x:c>
      <x:c r="F1109" s="11" t="str">
        <x:v>Furniture</x:v>
      </x:c>
      <x:c r="G1109" s="11" t="str">
        <x:v>Chair</x:v>
      </x:c>
      <x:c r="H1109" s="11" t="n">
        <x:v>1</x:v>
      </x:c>
      <x:c r="I1109" s="19" t="n">
        <x:v>0.25</x:v>
      </x:c>
      <x:c r="J1109" s="11" t="n">
        <x:v>0</x:v>
      </x:c>
      <x:c r="K1109" s="20" t="n">
        <x:v>170</x:v>
      </x:c>
      <x:c r="L1109" s="20" t="n">
        <x:v>42.5</x:v>
      </x:c>
      <x:c r="M1109" s="20" t="n">
        <x:v>110</x:v>
      </x:c>
      <x:c r="N1109" s="20" t="n">
        <x:f>IF(J1109=1,0,K1109-L1109)</x:f>
        <x:v>127.5</x:v>
      </x:c>
      <x:c r="O1109" s="20" t="n">
        <x:f>N1109-M1109</x:f>
        <x:v>17.5</x:v>
      </x:c>
    </x:row>
    <x:row r="1110" ht="22" customHeight="1">
      <x:c r="A1110" s="11" t="n">
        <x:v>1106</x:v>
      </x:c>
      <x:c r="B1110" s="11" t="n">
        <x:v>555</x:v>
      </x:c>
      <x:c r="C1110" s="18" t="n">
        <x:v>45440</x:v>
      </x:c>
      <x:c r="D1110" s="11" t="str">
        <x:v>2024-05</x:v>
      </x:c>
      <x:c r="E1110" s="11" t="str">
        <x:v>East</x:v>
      </x:c>
      <x:c r="F1110" s="11" t="str">
        <x:v>Furniture</x:v>
      </x:c>
      <x:c r="G1110" s="11" t="str">
        <x:v>Desk</x:v>
      </x:c>
      <x:c r="H1110" s="11" t="n">
        <x:v>5</x:v>
      </x:c>
      <x:c r="I1110" s="19" t="n">
        <x:v>0.15</x:v>
      </x:c>
      <x:c r="J1110" s="11" t="n">
        <x:v>0</x:v>
      </x:c>
      <x:c r="K1110" s="20" t="n">
        <x:v>1400</x:v>
      </x:c>
      <x:c r="L1110" s="20" t="n">
        <x:v>210</x:v>
      </x:c>
      <x:c r="M1110" s="20" t="n">
        <x:v>950</x:v>
      </x:c>
      <x:c r="N1110" s="20" t="n">
        <x:f>IF(J1110=1,0,K1110-L1110)</x:f>
        <x:v>1190</x:v>
      </x:c>
      <x:c r="O1110" s="20" t="n">
        <x:f>N1110-M1110</x:f>
        <x:v>240</x:v>
      </x:c>
    </x:row>
    <x:row r="1111" ht="22" customHeight="1">
      <x:c r="A1111" s="11" t="n">
        <x:v>1107</x:v>
      </x:c>
      <x:c r="B1111" s="11" t="n">
        <x:v>556</x:v>
      </x:c>
      <x:c r="C1111" s="18" t="n">
        <x:v>45594</x:v>
      </x:c>
      <x:c r="D1111" s="11" t="str">
        <x:v>2024-10</x:v>
      </x:c>
      <x:c r="E1111" s="11" t="str">
        <x:v>South</x:v>
      </x:c>
      <x:c r="F1111" s="11" t="str">
        <x:v>Office Supplies</x:v>
      </x:c>
      <x:c r="G1111" s="11" t="str">
        <x:v>Storage box</x:v>
      </x:c>
      <x:c r="H1111" s="11" t="n">
        <x:v>3</x:v>
      </x:c>
      <x:c r="I1111" s="19" t="n">
        <x:v>0</x:v>
      </x:c>
      <x:c r="J1111" s="11" t="n">
        <x:v>0</x:v>
      </x:c>
      <x:c r="K1111" s="20" t="n">
        <x:v>78</x:v>
      </x:c>
      <x:c r="L1111" s="20" t="n">
        <x:v>0</x:v>
      </x:c>
      <x:c r="M1111" s="20" t="n">
        <x:v>36</x:v>
      </x:c>
      <x:c r="N1111" s="20" t="n">
        <x:f>IF(J1111=1,0,K1111-L1111)</x:f>
        <x:v>78</x:v>
      </x:c>
      <x:c r="O1111" s="20" t="n">
        <x:f>N1111-M1111</x:f>
        <x:v>42</x:v>
      </x:c>
    </x:row>
    <x:row r="1112" ht="22" customHeight="1">
      <x:c r="A1112" s="11" t="n">
        <x:v>1108</x:v>
      </x:c>
      <x:c r="B1112" s="11" t="n">
        <x:v>556</x:v>
      </x:c>
      <x:c r="C1112" s="18" t="n">
        <x:v>45594</x:v>
      </x:c>
      <x:c r="D1112" s="11" t="str">
        <x:v>2024-10</x:v>
      </x:c>
      <x:c r="E1112" s="11" t="str">
        <x:v>South</x:v>
      </x:c>
      <x:c r="F1112" s="11" t="str">
        <x:v>Furniture</x:v>
      </x:c>
      <x:c r="G1112" s="11" t="str">
        <x:v>Chair</x:v>
      </x:c>
      <x:c r="H1112" s="11" t="n">
        <x:v>1</x:v>
      </x:c>
      <x:c r="I1112" s="19" t="n">
        <x:v>0</x:v>
      </x:c>
      <x:c r="J1112" s="11" t="n">
        <x:v>0</x:v>
      </x:c>
      <x:c r="K1112" s="20" t="n">
        <x:v>170</x:v>
      </x:c>
      <x:c r="L1112" s="20" t="n">
        <x:v>0</x:v>
      </x:c>
      <x:c r="M1112" s="20" t="n">
        <x:v>110</x:v>
      </x:c>
      <x:c r="N1112" s="20" t="n">
        <x:f>IF(J1112=1,0,K1112-L1112)</x:f>
        <x:v>170</x:v>
      </x:c>
      <x:c r="O1112" s="20" t="n">
        <x:f>N1112-M1112</x:f>
        <x:v>60</x:v>
      </x:c>
    </x:row>
    <x:row r="1113" ht="22" customHeight="1">
      <x:c r="A1113" s="11" t="n">
        <x:v>1109</x:v>
      </x:c>
      <x:c r="B1113" s="11" t="n">
        <x:v>556</x:v>
      </x:c>
      <x:c r="C1113" s="18" t="n">
        <x:v>45594</x:v>
      </x:c>
      <x:c r="D1113" s="11" t="str">
        <x:v>2024-10</x:v>
      </x:c>
      <x:c r="E1113" s="11" t="str">
        <x:v>South</x:v>
      </x:c>
      <x:c r="F1113" s="11" t="str">
        <x:v>Technology</x:v>
      </x:c>
      <x:c r="G1113" s="11" t="str">
        <x:v>Keyboard</x:v>
      </x:c>
      <x:c r="H1113" s="11" t="n">
        <x:v>1</x:v>
      </x:c>
      <x:c r="I1113" s="19" t="n">
        <x:v>0.05</x:v>
      </x:c>
      <x:c r="J1113" s="11" t="n">
        <x:v>1</x:v>
      </x:c>
      <x:c r="K1113" s="20" t="n">
        <x:v>65</x:v>
      </x:c>
      <x:c r="L1113" s="20" t="n">
        <x:v>3.25</x:v>
      </x:c>
      <x:c r="M1113" s="20" t="n">
        <x:v>0</x:v>
      </x:c>
      <x:c r="N1113" s="20" t="n">
        <x:f>IF(J1113=1,0,K1113-L1113)</x:f>
        <x:v>0</x:v>
      </x:c>
      <x:c r="O1113" s="20" t="n">
        <x:f>N1113-M1113</x:f>
        <x:v>0</x:v>
      </x:c>
    </x:row>
    <x:row r="1114" ht="22" customHeight="1">
      <x:c r="A1114" s="11" t="n">
        <x:v>1110</x:v>
      </x:c>
      <x:c r="B1114" s="11" t="n">
        <x:v>557</x:v>
      </x:c>
      <x:c r="C1114" s="18" t="n">
        <x:v>45924</x:v>
      </x:c>
      <x:c r="D1114" s="11" t="str">
        <x:v>2025-09</x:v>
      </x:c>
      <x:c r="E1114" s="11" t="str">
        <x:v>East</x:v>
      </x:c>
      <x:c r="F1114" s="11" t="str">
        <x:v>Furniture</x:v>
      </x:c>
      <x:c r="G1114" s="11" t="str">
        <x:v>Desk</x:v>
      </x:c>
      <x:c r="H1114" s="11" t="n">
        <x:v>1</x:v>
      </x:c>
      <x:c r="I1114" s="19" t="n">
        <x:v>0.05</x:v>
      </x:c>
      <x:c r="J1114" s="11" t="n">
        <x:v>0</x:v>
      </x:c>
      <x:c r="K1114" s="20" t="n">
        <x:v>280</x:v>
      </x:c>
      <x:c r="L1114" s="20" t="n">
        <x:v>14</x:v>
      </x:c>
      <x:c r="M1114" s="20" t="n">
        <x:v>190</x:v>
      </x:c>
      <x:c r="N1114" s="20" t="n">
        <x:f>IF(J1114=1,0,K1114-L1114)</x:f>
        <x:v>266</x:v>
      </x:c>
      <x:c r="O1114" s="20" t="n">
        <x:f>N1114-M1114</x:f>
        <x:v>76</x:v>
      </x:c>
    </x:row>
    <x:row r="1115" ht="22" customHeight="1">
      <x:c r="A1115" s="11" t="n">
        <x:v>1111</x:v>
      </x:c>
      <x:c r="B1115" s="11" t="n">
        <x:v>557</x:v>
      </x:c>
      <x:c r="C1115" s="18" t="n">
        <x:v>45924</x:v>
      </x:c>
      <x:c r="D1115" s="11" t="str">
        <x:v>2025-09</x:v>
      </x:c>
      <x:c r="E1115" s="11" t="str">
        <x:v>East</x:v>
      </x:c>
      <x:c r="F1115" s="11" t="str">
        <x:v>Technology</x:v>
      </x:c>
      <x:c r="G1115" s="11" t="str">
        <x:v>Monitor</x:v>
      </x:c>
      <x:c r="H1115" s="11" t="n">
        <x:v>2</x:v>
      </x:c>
      <x:c r="I1115" s="19" t="n">
        <x:v>0.05</x:v>
      </x:c>
      <x:c r="J1115" s="11" t="n">
        <x:v>0</x:v>
      </x:c>
      <x:c r="K1115" s="20" t="n">
        <x:v>480</x:v>
      </x:c>
      <x:c r="L1115" s="20" t="n">
        <x:v>24</x:v>
      </x:c>
      <x:c r="M1115" s="20" t="n">
        <x:v>320</x:v>
      </x:c>
      <x:c r="N1115" s="20" t="n">
        <x:f>IF(J1115=1,0,K1115-L1115)</x:f>
        <x:v>456</x:v>
      </x:c>
      <x:c r="O1115" s="20" t="n">
        <x:f>N1115-M1115</x:f>
        <x:v>136</x:v>
      </x:c>
    </x:row>
    <x:row r="1116" ht="22" customHeight="1">
      <x:c r="A1116" s="11" t="n">
        <x:v>1112</x:v>
      </x:c>
      <x:c r="B1116" s="11" t="n">
        <x:v>558</x:v>
      </x:c>
      <x:c r="C1116" s="18" t="n">
        <x:v>45377</x:v>
      </x:c>
      <x:c r="D1116" s="11" t="str">
        <x:v>2024-03</x:v>
      </x:c>
      <x:c r="E1116" s="11" t="str">
        <x:v>Central</x:v>
      </x:c>
      <x:c r="F1116" s="11" t="str">
        <x:v>Office Supplies</x:v>
      </x:c>
      <x:c r="G1116" s="11" t="str">
        <x:v>Storage box</x:v>
      </x:c>
      <x:c r="H1116" s="11" t="n">
        <x:v>2</x:v>
      </x:c>
      <x:c r="I1116" s="19" t="n">
        <x:v>0.1</x:v>
      </x:c>
      <x:c r="J1116" s="11" t="n">
        <x:v>0</x:v>
      </x:c>
      <x:c r="K1116" s="20" t="n">
        <x:v>52</x:v>
      </x:c>
      <x:c r="L1116" s="20" t="n">
        <x:v>5.2</x:v>
      </x:c>
      <x:c r="M1116" s="20" t="n">
        <x:v>24</x:v>
      </x:c>
      <x:c r="N1116" s="20" t="n">
        <x:f>IF(J1116=1,0,K1116-L1116)</x:f>
        <x:v>46.8</x:v>
      </x:c>
      <x:c r="O1116" s="20" t="n">
        <x:f>N1116-M1116</x:f>
        <x:v>22.799999999999997</x:v>
      </x:c>
    </x:row>
    <x:row r="1117" ht="22" customHeight="1">
      <x:c r="A1117" s="11" t="n">
        <x:v>1113</x:v>
      </x:c>
      <x:c r="B1117" s="11" t="n">
        <x:v>558</x:v>
      </x:c>
      <x:c r="C1117" s="18" t="n">
        <x:v>45377</x:v>
      </x:c>
      <x:c r="D1117" s="11" t="str">
        <x:v>2024-03</x:v>
      </x:c>
      <x:c r="E1117" s="11" t="str">
        <x:v>Central</x:v>
      </x:c>
      <x:c r="F1117" s="11" t="str">
        <x:v>Furniture</x:v>
      </x:c>
      <x:c r="G1117" s="11" t="str">
        <x:v>Desk</x:v>
      </x:c>
      <x:c r="H1117" s="11" t="n">
        <x:v>5</x:v>
      </x:c>
      <x:c r="I1117" s="19" t="n">
        <x:v>0</x:v>
      </x:c>
      <x:c r="J1117" s="11" t="n">
        <x:v>0</x:v>
      </x:c>
      <x:c r="K1117" s="20" t="n">
        <x:v>1400</x:v>
      </x:c>
      <x:c r="L1117" s="20" t="n">
        <x:v>0</x:v>
      </x:c>
      <x:c r="M1117" s="20" t="n">
        <x:v>950</x:v>
      </x:c>
      <x:c r="N1117" s="20" t="n">
        <x:f>IF(J1117=1,0,K1117-L1117)</x:f>
        <x:v>1400</x:v>
      </x:c>
      <x:c r="O1117" s="20" t="n">
        <x:f>N1117-M1117</x:f>
        <x:v>450</x:v>
      </x:c>
    </x:row>
    <x:row r="1118" ht="22" customHeight="1">
      <x:c r="A1118" s="11" t="n">
        <x:v>1114</x:v>
      </x:c>
      <x:c r="B1118" s="11" t="n">
        <x:v>558</x:v>
      </x:c>
      <x:c r="C1118" s="18" t="n">
        <x:v>45377</x:v>
      </x:c>
      <x:c r="D1118" s="11" t="str">
        <x:v>2024-03</x:v>
      </x:c>
      <x:c r="E1118" s="11" t="str">
        <x:v>Central</x:v>
      </x:c>
      <x:c r="F1118" s="11" t="str">
        <x:v>Technology</x:v>
      </x:c>
      <x:c r="G1118" s="11" t="str">
        <x:v>Keyboard</x:v>
      </x:c>
      <x:c r="H1118" s="11" t="n">
        <x:v>3</x:v>
      </x:c>
      <x:c r="I1118" s="19" t="n">
        <x:v>0.1</x:v>
      </x:c>
      <x:c r="J1118" s="11" t="n">
        <x:v>0</x:v>
      </x:c>
      <x:c r="K1118" s="20" t="n">
        <x:v>195</x:v>
      </x:c>
      <x:c r="L1118" s="20" t="n">
        <x:v>19.5</x:v>
      </x:c>
      <x:c r="M1118" s="20" t="n">
        <x:v>96</x:v>
      </x:c>
      <x:c r="N1118" s="20" t="n">
        <x:f>IF(J1118=1,0,K1118-L1118)</x:f>
        <x:v>175.5</x:v>
      </x:c>
      <x:c r="O1118" s="20" t="n">
        <x:f>N1118-M1118</x:f>
        <x:v>79.5</x:v>
      </x:c>
    </x:row>
    <x:row r="1119" ht="22" customHeight="1">
      <x:c r="A1119" s="11" t="n">
        <x:v>1115</x:v>
      </x:c>
      <x:c r="B1119" s="11" t="n">
        <x:v>559</x:v>
      </x:c>
      <x:c r="C1119" s="18" t="n">
        <x:v>45729</x:v>
      </x:c>
      <x:c r="D1119" s="11" t="str">
        <x:v>2025-03</x:v>
      </x:c>
      <x:c r="E1119" s="11" t="str">
        <x:v>West</x:v>
      </x:c>
      <x:c r="F1119" s="11" t="str">
        <x:v>Furniture</x:v>
      </x:c>
      <x:c r="G1119" s="11" t="str">
        <x:v>Desk</x:v>
      </x:c>
      <x:c r="H1119" s="11" t="n">
        <x:v>3</x:v>
      </x:c>
      <x:c r="I1119" s="19" t="n">
        <x:v>0.15</x:v>
      </x:c>
      <x:c r="J1119" s="11" t="n">
        <x:v>0</x:v>
      </x:c>
      <x:c r="K1119" s="20" t="n">
        <x:v>840</x:v>
      </x:c>
      <x:c r="L1119" s="20" t="n">
        <x:v>126</x:v>
      </x:c>
      <x:c r="M1119" s="20" t="n">
        <x:v>570</x:v>
      </x:c>
      <x:c r="N1119" s="20" t="n">
        <x:f>IF(J1119=1,0,K1119-L1119)</x:f>
        <x:v>714</x:v>
      </x:c>
      <x:c r="O1119" s="20" t="n">
        <x:f>N1119-M1119</x:f>
        <x:v>144</x:v>
      </x:c>
    </x:row>
    <x:row r="1120" ht="22" customHeight="1">
      <x:c r="A1120" s="11" t="n">
        <x:v>1116</x:v>
      </x:c>
      <x:c r="B1120" s="11" t="n">
        <x:v>559</x:v>
      </x:c>
      <x:c r="C1120" s="18" t="n">
        <x:v>45729</x:v>
      </x:c>
      <x:c r="D1120" s="11" t="str">
        <x:v>2025-03</x:v>
      </x:c>
      <x:c r="E1120" s="11" t="str">
        <x:v>West</x:v>
      </x:c>
      <x:c r="F1120" s="11" t="str">
        <x:v>Technology</x:v>
      </x:c>
      <x:c r="G1120" s="11" t="str">
        <x:v>Monitor</x:v>
      </x:c>
      <x:c r="H1120" s="11" t="n">
        <x:v>4</x:v>
      </x:c>
      <x:c r="I1120" s="19" t="n">
        <x:v>0.15</x:v>
      </x:c>
      <x:c r="J1120" s="11" t="n">
        <x:v>0</x:v>
      </x:c>
      <x:c r="K1120" s="20" t="n">
        <x:v>960</x:v>
      </x:c>
      <x:c r="L1120" s="20" t="n">
        <x:v>144</x:v>
      </x:c>
      <x:c r="M1120" s="20" t="n">
        <x:v>640</x:v>
      </x:c>
      <x:c r="N1120" s="20" t="n">
        <x:f>IF(J1120=1,0,K1120-L1120)</x:f>
        <x:v>816</x:v>
      </x:c>
      <x:c r="O1120" s="20" t="n">
        <x:f>N1120-M1120</x:f>
        <x:v>176</x:v>
      </x:c>
    </x:row>
    <x:row r="1121" ht="22" customHeight="1">
      <x:c r="A1121" s="11" t="n">
        <x:v>1117</x:v>
      </x:c>
      <x:c r="B1121" s="11" t="n">
        <x:v>560</x:v>
      </x:c>
      <x:c r="C1121" s="18" t="n">
        <x:v>45746</x:v>
      </x:c>
      <x:c r="D1121" s="11" t="str">
        <x:v>2025-03</x:v>
      </x:c>
      <x:c r="E1121" s="11" t="str">
        <x:v>Central</x:v>
      </x:c>
      <x:c r="F1121" s="11" t="str">
        <x:v>Technology</x:v>
      </x:c>
      <x:c r="G1121" s="11" t="str">
        <x:v>Monitor</x:v>
      </x:c>
      <x:c r="H1121" s="11" t="n">
        <x:v>4</x:v>
      </x:c>
      <x:c r="I1121" s="19" t="n">
        <x:v>0.1</x:v>
      </x:c>
      <x:c r="J1121" s="11" t="n">
        <x:v>0</x:v>
      </x:c>
      <x:c r="K1121" s="20" t="n">
        <x:v>960</x:v>
      </x:c>
      <x:c r="L1121" s="20" t="n">
        <x:v>96</x:v>
      </x:c>
      <x:c r="M1121" s="20" t="n">
        <x:v>640</x:v>
      </x:c>
      <x:c r="N1121" s="20" t="n">
        <x:f>IF(J1121=1,0,K1121-L1121)</x:f>
        <x:v>864</x:v>
      </x:c>
      <x:c r="O1121" s="20" t="n">
        <x:f>N1121-M1121</x:f>
        <x:v>224</x:v>
      </x:c>
    </x:row>
    <x:row r="1122" ht="22" customHeight="1">
      <x:c r="A1122" s="11" t="n">
        <x:v>1118</x:v>
      </x:c>
      <x:c r="B1122" s="11" t="n">
        <x:v>560</x:v>
      </x:c>
      <x:c r="C1122" s="18" t="n">
        <x:v>45746</x:v>
      </x:c>
      <x:c r="D1122" s="11" t="str">
        <x:v>2025-03</x:v>
      </x:c>
      <x:c r="E1122" s="11" t="str">
        <x:v>Central</x:v>
      </x:c>
      <x:c r="F1122" s="11" t="str">
        <x:v>Furniture</x:v>
      </x:c>
      <x:c r="G1122" s="11" t="str">
        <x:v>Chair</x:v>
      </x:c>
      <x:c r="H1122" s="11" t="n">
        <x:v>5</x:v>
      </x:c>
      <x:c r="I1122" s="19" t="n">
        <x:v>0</x:v>
      </x:c>
      <x:c r="J1122" s="11" t="n">
        <x:v>0</x:v>
      </x:c>
      <x:c r="K1122" s="20" t="n">
        <x:v>850</x:v>
      </x:c>
      <x:c r="L1122" s="20" t="n">
        <x:v>0</x:v>
      </x:c>
      <x:c r="M1122" s="20" t="n">
        <x:v>550</x:v>
      </x:c>
      <x:c r="N1122" s="20" t="n">
        <x:f>IF(J1122=1,0,K1122-L1122)</x:f>
        <x:v>850</x:v>
      </x:c>
      <x:c r="O1122" s="20" t="n">
        <x:f>N1122-M1122</x:f>
        <x:v>300</x:v>
      </x:c>
    </x:row>
    <x:row r="1123" ht="22" customHeight="1">
      <x:c r="A1123" s="11" t="n">
        <x:v>1119</x:v>
      </x:c>
      <x:c r="B1123" s="11" t="n">
        <x:v>561</x:v>
      </x:c>
      <x:c r="C1123" s="18" t="n">
        <x:v>45602</x:v>
      </x:c>
      <x:c r="D1123" s="11" t="str">
        <x:v>2024-11</x:v>
      </x:c>
      <x:c r="E1123" s="11" t="str">
        <x:v>South</x:v>
      </x:c>
      <x:c r="F1123" s="11" t="str">
        <x:v>Office Supplies</x:v>
      </x:c>
      <x:c r="G1123" s="11" t="str">
        <x:v>Notebook pack</x:v>
      </x:c>
      <x:c r="H1123" s="11" t="n">
        <x:v>4</x:v>
      </x:c>
      <x:c r="I1123" s="19" t="n">
        <x:v>0</x:v>
      </x:c>
      <x:c r="J1123" s="11" t="n">
        <x:v>1</x:v>
      </x:c>
      <x:c r="K1123" s="20" t="n">
        <x:v>72</x:v>
      </x:c>
      <x:c r="L1123" s="20" t="n">
        <x:v>0</x:v>
      </x:c>
      <x:c r="M1123" s="20" t="n">
        <x:v>0</x:v>
      </x:c>
      <x:c r="N1123" s="20" t="n">
        <x:f>IF(J1123=1,0,K1123-L1123)</x:f>
        <x:v>0</x:v>
      </x:c>
      <x:c r="O1123" s="20" t="n">
        <x:f>N1123-M1123</x:f>
        <x:v>0</x:v>
      </x:c>
    </x:row>
    <x:row r="1124" ht="22" customHeight="1">
      <x:c r="A1124" s="11" t="n">
        <x:v>1120</x:v>
      </x:c>
      <x:c r="B1124" s="11" t="n">
        <x:v>562</x:v>
      </x:c>
      <x:c r="C1124" s="18" t="n">
        <x:v>45946</x:v>
      </x:c>
      <x:c r="D1124" s="11" t="str">
        <x:v>2025-10</x:v>
      </x:c>
      <x:c r="E1124" s="11" t="str">
        <x:v>West</x:v>
      </x:c>
      <x:c r="F1124" s="11" t="str">
        <x:v>Office Supplies</x:v>
      </x:c>
      <x:c r="G1124" s="11" t="str">
        <x:v>Notebook pack</x:v>
      </x:c>
      <x:c r="H1124" s="11" t="n">
        <x:v>4</x:v>
      </x:c>
      <x:c r="I1124" s="19" t="n">
        <x:v>0.15</x:v>
      </x:c>
      <x:c r="J1124" s="11" t="n">
        <x:v>0</x:v>
      </x:c>
      <x:c r="K1124" s="20" t="n">
        <x:v>72</x:v>
      </x:c>
      <x:c r="L1124" s="20" t="n">
        <x:v>10.8</x:v>
      </x:c>
      <x:c r="M1124" s="20" t="n">
        <x:v>28</x:v>
      </x:c>
      <x:c r="N1124" s="20" t="n">
        <x:f>IF(J1124=1,0,K1124-L1124)</x:f>
        <x:v>61.2</x:v>
      </x:c>
      <x:c r="O1124" s="20" t="n">
        <x:f>N1124-M1124</x:f>
        <x:v>33.2</x:v>
      </x:c>
    </x:row>
    <x:row r="1125" ht="22" customHeight="1">
      <x:c r="A1125" s="11" t="n">
        <x:v>1121</x:v>
      </x:c>
      <x:c r="B1125" s="11" t="n">
        <x:v>563</x:v>
      </x:c>
      <x:c r="C1125" s="18" t="n">
        <x:v>45432</x:v>
      </x:c>
      <x:c r="D1125" s="11" t="str">
        <x:v>2024-05</x:v>
      </x:c>
      <x:c r="E1125" s="11" t="str">
        <x:v>Central</x:v>
      </x:c>
      <x:c r="F1125" s="11" t="str">
        <x:v>Technology</x:v>
      </x:c>
      <x:c r="G1125" s="11" t="str">
        <x:v>Monitor</x:v>
      </x:c>
      <x:c r="H1125" s="11" t="n">
        <x:v>4</x:v>
      </x:c>
      <x:c r="I1125" s="19" t="n">
        <x:v>0</x:v>
      </x:c>
      <x:c r="J1125" s="11" t="n">
        <x:v>0</x:v>
      </x:c>
      <x:c r="K1125" s="20" t="n">
        <x:v>960</x:v>
      </x:c>
      <x:c r="L1125" s="20" t="n">
        <x:v>0</x:v>
      </x:c>
      <x:c r="M1125" s="20" t="n">
        <x:v>640</x:v>
      </x:c>
      <x:c r="N1125" s="20" t="n">
        <x:f>IF(J1125=1,0,K1125-L1125)</x:f>
        <x:v>960</x:v>
      </x:c>
      <x:c r="O1125" s="20" t="n">
        <x:f>N1125-M1125</x:f>
        <x:v>320</x:v>
      </x:c>
    </x:row>
    <x:row r="1126" ht="22" customHeight="1">
      <x:c r="A1126" s="11" t="n">
        <x:v>1122</x:v>
      </x:c>
      <x:c r="B1126" s="11" t="n">
        <x:v>563</x:v>
      </x:c>
      <x:c r="C1126" s="18" t="n">
        <x:v>45432</x:v>
      </x:c>
      <x:c r="D1126" s="11" t="str">
        <x:v>2024-05</x:v>
      </x:c>
      <x:c r="E1126" s="11" t="str">
        <x:v>Central</x:v>
      </x:c>
      <x:c r="F1126" s="11" t="str">
        <x:v>Office Supplies</x:v>
      </x:c>
      <x:c r="G1126" s="11" t="str">
        <x:v>Notebook pack</x:v>
      </x:c>
      <x:c r="H1126" s="11" t="n">
        <x:v>3</x:v>
      </x:c>
      <x:c r="I1126" s="19" t="n">
        <x:v>0.15</x:v>
      </x:c>
      <x:c r="J1126" s="11" t="n">
        <x:v>0</x:v>
      </x:c>
      <x:c r="K1126" s="20" t="n">
        <x:v>54</x:v>
      </x:c>
      <x:c r="L1126" s="20" t="n">
        <x:v>8.1</x:v>
      </x:c>
      <x:c r="M1126" s="20" t="n">
        <x:v>21</x:v>
      </x:c>
      <x:c r="N1126" s="20" t="n">
        <x:f>IF(J1126=1,0,K1126-L1126)</x:f>
        <x:v>45.9</x:v>
      </x:c>
      <x:c r="O1126" s="20" t="n">
        <x:f>N1126-M1126</x:f>
        <x:v>24.9</x:v>
      </x:c>
    </x:row>
    <x:row r="1127" ht="22" customHeight="1">
      <x:c r="A1127" s="11" t="n">
        <x:v>1123</x:v>
      </x:c>
      <x:c r="B1127" s="11" t="n">
        <x:v>564</x:v>
      </x:c>
      <x:c r="C1127" s="18" t="n">
        <x:v>45864</x:v>
      </x:c>
      <x:c r="D1127" s="11" t="str">
        <x:v>2025-07</x:v>
      </x:c>
      <x:c r="E1127" s="11" t="str">
        <x:v>Central</x:v>
      </x:c>
      <x:c r="F1127" s="11" t="str">
        <x:v>Furniture</x:v>
      </x:c>
      <x:c r="G1127" s="11" t="str">
        <x:v>Desk</x:v>
      </x:c>
      <x:c r="H1127" s="11" t="n">
        <x:v>1</x:v>
      </x:c>
      <x:c r="I1127" s="19" t="n">
        <x:v>0</x:v>
      </x:c>
      <x:c r="J1127" s="11" t="n">
        <x:v>0</x:v>
      </x:c>
      <x:c r="K1127" s="20" t="n">
        <x:v>280</x:v>
      </x:c>
      <x:c r="L1127" s="20" t="n">
        <x:v>0</x:v>
      </x:c>
      <x:c r="M1127" s="20" t="n">
        <x:v>190</x:v>
      </x:c>
      <x:c r="N1127" s="20" t="n">
        <x:f>IF(J1127=1,0,K1127-L1127)</x:f>
        <x:v>280</x:v>
      </x:c>
      <x:c r="O1127" s="20" t="n">
        <x:f>N1127-M1127</x:f>
        <x:v>90</x:v>
      </x:c>
    </x:row>
    <x:row r="1128" ht="22" customHeight="1">
      <x:c r="A1128" s="11" t="n">
        <x:v>1124</x:v>
      </x:c>
      <x:c r="B1128" s="11" t="n">
        <x:v>565</x:v>
      </x:c>
      <x:c r="C1128" s="18" t="n">
        <x:v>45947</x:v>
      </x:c>
      <x:c r="D1128" s="11" t="str">
        <x:v>2025-10</x:v>
      </x:c>
      <x:c r="E1128" s="11" t="str">
        <x:v>Central</x:v>
      </x:c>
      <x:c r="F1128" s="11" t="str">
        <x:v>Office Supplies</x:v>
      </x:c>
      <x:c r="G1128" s="11" t="str">
        <x:v>Storage box</x:v>
      </x:c>
      <x:c r="H1128" s="11" t="n">
        <x:v>3</x:v>
      </x:c>
      <x:c r="I1128" s="19" t="n">
        <x:v>0.1</x:v>
      </x:c>
      <x:c r="J1128" s="11" t="n">
        <x:v>0</x:v>
      </x:c>
      <x:c r="K1128" s="20" t="n">
        <x:v>78</x:v>
      </x:c>
      <x:c r="L1128" s="20" t="n">
        <x:v>7.8</x:v>
      </x:c>
      <x:c r="M1128" s="20" t="n">
        <x:v>36</x:v>
      </x:c>
      <x:c r="N1128" s="20" t="n">
        <x:f>IF(J1128=1,0,K1128-L1128)</x:f>
        <x:v>70.2</x:v>
      </x:c>
      <x:c r="O1128" s="20" t="n">
        <x:f>N1128-M1128</x:f>
        <x:v>34.2</x:v>
      </x:c>
    </x:row>
    <x:row r="1129" ht="22" customHeight="1">
      <x:c r="A1129" s="11" t="n">
        <x:v>1125</x:v>
      </x:c>
      <x:c r="B1129" s="11" t="n">
        <x:v>566</x:v>
      </x:c>
      <x:c r="C1129" s="18" t="n">
        <x:v>45996</x:v>
      </x:c>
      <x:c r="D1129" s="11" t="str">
        <x:v>2025-12</x:v>
      </x:c>
      <x:c r="E1129" s="11" t="str">
        <x:v>South</x:v>
      </x:c>
      <x:c r="F1129" s="11" t="str">
        <x:v>Furniture</x:v>
      </x:c>
      <x:c r="G1129" s="11" t="str">
        <x:v>Desk</x:v>
      </x:c>
      <x:c r="H1129" s="11" t="n">
        <x:v>3</x:v>
      </x:c>
      <x:c r="I1129" s="19" t="n">
        <x:v>0.35</x:v>
      </x:c>
      <x:c r="J1129" s="11" t="n">
        <x:v>0</x:v>
      </x:c>
      <x:c r="K1129" s="20" t="n">
        <x:v>840</x:v>
      </x:c>
      <x:c r="L1129" s="20" t="n">
        <x:v>294</x:v>
      </x:c>
      <x:c r="M1129" s="20" t="n">
        <x:v>570</x:v>
      </x:c>
      <x:c r="N1129" s="20" t="n">
        <x:f>IF(J1129=1,0,K1129-L1129)</x:f>
        <x:v>546</x:v>
      </x:c>
      <x:c r="O1129" s="20" t="n">
        <x:f>N1129-M1129</x:f>
        <x:v>-24</x:v>
      </x:c>
    </x:row>
    <x:row r="1130" ht="22" customHeight="1">
      <x:c r="A1130" s="11" t="n">
        <x:v>1126</x:v>
      </x:c>
      <x:c r="B1130" s="11" t="n">
        <x:v>567</x:v>
      </x:c>
      <x:c r="C1130" s="18" t="n">
        <x:v>45360</x:v>
      </x:c>
      <x:c r="D1130" s="11" t="str">
        <x:v>2024-03</x:v>
      </x:c>
      <x:c r="E1130" s="11" t="str">
        <x:v>West</x:v>
      </x:c>
      <x:c r="F1130" s="11" t="str">
        <x:v>Technology</x:v>
      </x:c>
      <x:c r="G1130" s="11" t="str">
        <x:v>Keyboard</x:v>
      </x:c>
      <x:c r="H1130" s="11" t="n">
        <x:v>3</x:v>
      </x:c>
      <x:c r="I1130" s="19" t="n">
        <x:v>0.1</x:v>
      </x:c>
      <x:c r="J1130" s="11" t="n">
        <x:v>0</x:v>
      </x:c>
      <x:c r="K1130" s="20" t="n">
        <x:v>195</x:v>
      </x:c>
      <x:c r="L1130" s="20" t="n">
        <x:v>19.5</x:v>
      </x:c>
      <x:c r="M1130" s="20" t="n">
        <x:v>96</x:v>
      </x:c>
      <x:c r="N1130" s="20" t="n">
        <x:f>IF(J1130=1,0,K1130-L1130)</x:f>
        <x:v>175.5</x:v>
      </x:c>
      <x:c r="O1130" s="20" t="n">
        <x:f>N1130-M1130</x:f>
        <x:v>79.5</x:v>
      </x:c>
    </x:row>
    <x:row r="1131" ht="22" customHeight="1">
      <x:c r="A1131" s="11" t="n">
        <x:v>1127</x:v>
      </x:c>
      <x:c r="B1131" s="11" t="n">
        <x:v>567</x:v>
      </x:c>
      <x:c r="C1131" s="18" t="n">
        <x:v>45360</x:v>
      </x:c>
      <x:c r="D1131" s="11" t="str">
        <x:v>2024-03</x:v>
      </x:c>
      <x:c r="E1131" s="11" t="str">
        <x:v>West</x:v>
      </x:c>
      <x:c r="F1131" s="11" t="str">
        <x:v>Office Supplies</x:v>
      </x:c>
      <x:c r="G1131" s="11" t="str">
        <x:v>Notebook pack</x:v>
      </x:c>
      <x:c r="H1131" s="11" t="n">
        <x:v>1</x:v>
      </x:c>
      <x:c r="I1131" s="19" t="n">
        <x:v>0.05</x:v>
      </x:c>
      <x:c r="J1131" s="11" t="n">
        <x:v>0</x:v>
      </x:c>
      <x:c r="K1131" s="20" t="n">
        <x:v>18</x:v>
      </x:c>
      <x:c r="L1131" s="20" t="n">
        <x:v>0.9</x:v>
      </x:c>
      <x:c r="M1131" s="20" t="n">
        <x:v>7</x:v>
      </x:c>
      <x:c r="N1131" s="20" t="n">
        <x:f>IF(J1131=1,0,K1131-L1131)</x:f>
        <x:v>17.1</x:v>
      </x:c>
      <x:c r="O1131" s="20" t="n">
        <x:f>N1131-M1131</x:f>
        <x:v>10.100000000000001</x:v>
      </x:c>
    </x:row>
    <x:row r="1132" ht="22" customHeight="1">
      <x:c r="A1132" s="11" t="n">
        <x:v>1128</x:v>
      </x:c>
      <x:c r="B1132" s="11" t="n">
        <x:v>567</x:v>
      </x:c>
      <x:c r="C1132" s="18" t="n">
        <x:v>45360</x:v>
      </x:c>
      <x:c r="D1132" s="11" t="str">
        <x:v>2024-03</x:v>
      </x:c>
      <x:c r="E1132" s="11" t="str">
        <x:v>West</x:v>
      </x:c>
      <x:c r="F1132" s="11" t="str">
        <x:v>Office Supplies</x:v>
      </x:c>
      <x:c r="G1132" s="11" t="str">
        <x:v>Storage box</x:v>
      </x:c>
      <x:c r="H1132" s="11" t="n">
        <x:v>5</x:v>
      </x:c>
      <x:c r="I1132" s="19" t="n">
        <x:v>0</x:v>
      </x:c>
      <x:c r="J1132" s="11" t="n">
        <x:v>0</x:v>
      </x:c>
      <x:c r="K1132" s="20" t="n">
        <x:v>130</x:v>
      </x:c>
      <x:c r="L1132" s="20" t="n">
        <x:v>0</x:v>
      </x:c>
      <x:c r="M1132" s="20" t="n">
        <x:v>60</x:v>
      </x:c>
      <x:c r="N1132" s="20" t="n">
        <x:f>IF(J1132=1,0,K1132-L1132)</x:f>
        <x:v>130</x:v>
      </x:c>
      <x:c r="O1132" s="20" t="n">
        <x:f>N1132-M1132</x:f>
        <x:v>70</x:v>
      </x:c>
    </x:row>
    <x:row r="1133" ht="22" customHeight="1">
      <x:c r="A1133" s="11" t="n">
        <x:v>1129</x:v>
      </x:c>
      <x:c r="B1133" s="11" t="n">
        <x:v>568</x:v>
      </x:c>
      <x:c r="C1133" s="18" t="n">
        <x:v>45458</x:v>
      </x:c>
      <x:c r="D1133" s="11" t="str">
        <x:v>2024-06</x:v>
      </x:c>
      <x:c r="E1133" s="11" t="str">
        <x:v>South</x:v>
      </x:c>
      <x:c r="F1133" s="11" t="str">
        <x:v>Technology</x:v>
      </x:c>
      <x:c r="G1133" s="11" t="str">
        <x:v>Monitor</x:v>
      </x:c>
      <x:c r="H1133" s="11" t="n">
        <x:v>4</x:v>
      </x:c>
      <x:c r="I1133" s="19" t="n">
        <x:v>0</x:v>
      </x:c>
      <x:c r="J1133" s="11" t="n">
        <x:v>0</x:v>
      </x:c>
      <x:c r="K1133" s="20" t="n">
        <x:v>960</x:v>
      </x:c>
      <x:c r="L1133" s="20" t="n">
        <x:v>0</x:v>
      </x:c>
      <x:c r="M1133" s="20" t="n">
        <x:v>640</x:v>
      </x:c>
      <x:c r="N1133" s="20" t="n">
        <x:f>IF(J1133=1,0,K1133-L1133)</x:f>
        <x:v>960</x:v>
      </x:c>
      <x:c r="O1133" s="20" t="n">
        <x:f>N1133-M1133</x:f>
        <x:v>320</x:v>
      </x:c>
    </x:row>
    <x:row r="1134" ht="22" customHeight="1">
      <x:c r="A1134" s="11" t="n">
        <x:v>1130</x:v>
      </x:c>
      <x:c r="B1134" s="11" t="n">
        <x:v>569</x:v>
      </x:c>
      <x:c r="C1134" s="18" t="n">
        <x:v>45346</x:v>
      </x:c>
      <x:c r="D1134" s="11" t="str">
        <x:v>2024-02</x:v>
      </x:c>
      <x:c r="E1134" s="11" t="str">
        <x:v>West</x:v>
      </x:c>
      <x:c r="F1134" s="11" t="str">
        <x:v>Office Supplies</x:v>
      </x:c>
      <x:c r="G1134" s="11" t="str">
        <x:v>Storage box</x:v>
      </x:c>
      <x:c r="H1134" s="11" t="n">
        <x:v>1</x:v>
      </x:c>
      <x:c r="I1134" s="19" t="n">
        <x:v>0.05</x:v>
      </x:c>
      <x:c r="J1134" s="11" t="n">
        <x:v>0</x:v>
      </x:c>
      <x:c r="K1134" s="20" t="n">
        <x:v>26</x:v>
      </x:c>
      <x:c r="L1134" s="20" t="n">
        <x:v>1.3</x:v>
      </x:c>
      <x:c r="M1134" s="20" t="n">
        <x:v>12</x:v>
      </x:c>
      <x:c r="N1134" s="20" t="n">
        <x:f>IF(J1134=1,0,K1134-L1134)</x:f>
        <x:v>24.7</x:v>
      </x:c>
      <x:c r="O1134" s="20" t="n">
        <x:f>N1134-M1134</x:f>
        <x:v>12.7</x:v>
      </x:c>
    </x:row>
    <x:row r="1135" ht="22" customHeight="1">
      <x:c r="A1135" s="11" t="n">
        <x:v>1131</x:v>
      </x:c>
      <x:c r="B1135" s="11" t="n">
        <x:v>569</x:v>
      </x:c>
      <x:c r="C1135" s="18" t="n">
        <x:v>45346</x:v>
      </x:c>
      <x:c r="D1135" s="11" t="str">
        <x:v>2024-02</x:v>
      </x:c>
      <x:c r="E1135" s="11" t="str">
        <x:v>West</x:v>
      </x:c>
      <x:c r="F1135" s="11" t="str">
        <x:v>Technology</x:v>
      </x:c>
      <x:c r="G1135" s="11" t="str">
        <x:v>Monitor</x:v>
      </x:c>
      <x:c r="H1135" s="11" t="n">
        <x:v>1</x:v>
      </x:c>
      <x:c r="I1135" s="19" t="n">
        <x:v>0.15</x:v>
      </x:c>
      <x:c r="J1135" s="11" t="n">
        <x:v>0</x:v>
      </x:c>
      <x:c r="K1135" s="20" t="n">
        <x:v>240</x:v>
      </x:c>
      <x:c r="L1135" s="20" t="n">
        <x:v>36</x:v>
      </x:c>
      <x:c r="M1135" s="20" t="n">
        <x:v>160</x:v>
      </x:c>
      <x:c r="N1135" s="20" t="n">
        <x:f>IF(J1135=1,0,K1135-L1135)</x:f>
        <x:v>204</x:v>
      </x:c>
      <x:c r="O1135" s="20" t="n">
        <x:f>N1135-M1135</x:f>
        <x:v>44</x:v>
      </x:c>
    </x:row>
    <x:row r="1136" ht="22" customHeight="1">
      <x:c r="A1136" s="11" t="n">
        <x:v>1132</x:v>
      </x:c>
      <x:c r="B1136" s="11" t="n">
        <x:v>570</x:v>
      </x:c>
      <x:c r="C1136" s="18" t="n">
        <x:v>45935</x:v>
      </x:c>
      <x:c r="D1136" s="11" t="str">
        <x:v>2025-10</x:v>
      </x:c>
      <x:c r="E1136" s="11" t="str">
        <x:v>East</x:v>
      </x:c>
      <x:c r="F1136" s="11" t="str">
        <x:v>Furniture</x:v>
      </x:c>
      <x:c r="G1136" s="11" t="str">
        <x:v>Chair</x:v>
      </x:c>
      <x:c r="H1136" s="11" t="n">
        <x:v>3</x:v>
      </x:c>
      <x:c r="I1136" s="19" t="n">
        <x:v>0.1</x:v>
      </x:c>
      <x:c r="J1136" s="11" t="n">
        <x:v>0</x:v>
      </x:c>
      <x:c r="K1136" s="20" t="n">
        <x:v>510</x:v>
      </x:c>
      <x:c r="L1136" s="20" t="n">
        <x:v>51</x:v>
      </x:c>
      <x:c r="M1136" s="20" t="n">
        <x:v>330</x:v>
      </x:c>
      <x:c r="N1136" s="20" t="n">
        <x:f>IF(J1136=1,0,K1136-L1136)</x:f>
        <x:v>459</x:v>
      </x:c>
      <x:c r="O1136" s="20" t="n">
        <x:f>N1136-M1136</x:f>
        <x:v>129</x:v>
      </x:c>
    </x:row>
    <x:row r="1137" ht="22" customHeight="1">
      <x:c r="A1137" s="11" t="n">
        <x:v>1133</x:v>
      </x:c>
      <x:c r="B1137" s="11" t="n">
        <x:v>570</x:v>
      </x:c>
      <x:c r="C1137" s="18" t="n">
        <x:v>45935</x:v>
      </x:c>
      <x:c r="D1137" s="11" t="str">
        <x:v>2025-10</x:v>
      </x:c>
      <x:c r="E1137" s="11" t="str">
        <x:v>East</x:v>
      </x:c>
      <x:c r="F1137" s="11" t="str">
        <x:v>Office Supplies</x:v>
      </x:c>
      <x:c r="G1137" s="11" t="str">
        <x:v>Notebook pack</x:v>
      </x:c>
      <x:c r="H1137" s="11" t="n">
        <x:v>3</x:v>
      </x:c>
      <x:c r="I1137" s="19" t="n">
        <x:v>0</x:v>
      </x:c>
      <x:c r="J1137" s="11" t="n">
        <x:v>0</x:v>
      </x:c>
      <x:c r="K1137" s="20" t="n">
        <x:v>54</x:v>
      </x:c>
      <x:c r="L1137" s="20" t="n">
        <x:v>0</x:v>
      </x:c>
      <x:c r="M1137" s="20" t="n">
        <x:v>21</x:v>
      </x:c>
      <x:c r="N1137" s="20" t="n">
        <x:f>IF(J1137=1,0,K1137-L1137)</x:f>
        <x:v>54</x:v>
      </x:c>
      <x:c r="O1137" s="20" t="n">
        <x:f>N1137-M1137</x:f>
        <x:v>33</x:v>
      </x:c>
    </x:row>
    <x:row r="1138" ht="22" customHeight="1">
      <x:c r="A1138" s="11" t="n">
        <x:v>1134</x:v>
      </x:c>
      <x:c r="B1138" s="11" t="n">
        <x:v>570</x:v>
      </x:c>
      <x:c r="C1138" s="18" t="n">
        <x:v>45935</x:v>
      </x:c>
      <x:c r="D1138" s="11" t="str">
        <x:v>2025-10</x:v>
      </x:c>
      <x:c r="E1138" s="11" t="str">
        <x:v>East</x:v>
      </x:c>
      <x:c r="F1138" s="11" t="str">
        <x:v>Technology</x:v>
      </x:c>
      <x:c r="G1138" s="11" t="str">
        <x:v>Monitor</x:v>
      </x:c>
      <x:c r="H1138" s="11" t="n">
        <x:v>3</x:v>
      </x:c>
      <x:c r="I1138" s="19" t="n">
        <x:v>0</x:v>
      </x:c>
      <x:c r="J1138" s="11" t="n">
        <x:v>1</x:v>
      </x:c>
      <x:c r="K1138" s="20" t="n">
        <x:v>720</x:v>
      </x:c>
      <x:c r="L1138" s="20" t="n">
        <x:v>0</x:v>
      </x:c>
      <x:c r="M1138" s="20" t="n">
        <x:v>0</x:v>
      </x:c>
      <x:c r="N1138" s="20" t="n">
        <x:f>IF(J1138=1,0,K1138-L1138)</x:f>
        <x:v>0</x:v>
      </x:c>
      <x:c r="O1138" s="20" t="n">
        <x:f>N1138-M1138</x:f>
        <x:v>0</x:v>
      </x:c>
    </x:row>
    <x:row r="1139" ht="22" customHeight="1">
      <x:c r="A1139" s="11" t="n">
        <x:v>1135</x:v>
      </x:c>
      <x:c r="B1139" s="11" t="n">
        <x:v>571</x:v>
      </x:c>
      <x:c r="C1139" s="18" t="n">
        <x:v>45822</x:v>
      </x:c>
      <x:c r="D1139" s="11" t="str">
        <x:v>2025-06</x:v>
      </x:c>
      <x:c r="E1139" s="11" t="str">
        <x:v>South</x:v>
      </x:c>
      <x:c r="F1139" s="11" t="str">
        <x:v>Technology</x:v>
      </x:c>
      <x:c r="G1139" s="11" t="str">
        <x:v>Keyboard</x:v>
      </x:c>
      <x:c r="H1139" s="11" t="n">
        <x:v>2</x:v>
      </x:c>
      <x:c r="I1139" s="19" t="n">
        <x:v>0</x:v>
      </x:c>
      <x:c r="J1139" s="11" t="n">
        <x:v>0</x:v>
      </x:c>
      <x:c r="K1139" s="20" t="n">
        <x:v>130</x:v>
      </x:c>
      <x:c r="L1139" s="20" t="n">
        <x:v>0</x:v>
      </x:c>
      <x:c r="M1139" s="20" t="n">
        <x:v>64</x:v>
      </x:c>
      <x:c r="N1139" s="20" t="n">
        <x:f>IF(J1139=1,0,K1139-L1139)</x:f>
        <x:v>130</x:v>
      </x:c>
      <x:c r="O1139" s="20" t="n">
        <x:f>N1139-M1139</x:f>
        <x:v>66</x:v>
      </x:c>
    </x:row>
    <x:row r="1140" ht="22" customHeight="1">
      <x:c r="A1140" s="11" t="n">
        <x:v>1136</x:v>
      </x:c>
      <x:c r="B1140" s="11" t="n">
        <x:v>571</x:v>
      </x:c>
      <x:c r="C1140" s="18" t="n">
        <x:v>45822</x:v>
      </x:c>
      <x:c r="D1140" s="11" t="str">
        <x:v>2025-06</x:v>
      </x:c>
      <x:c r="E1140" s="11" t="str">
        <x:v>South</x:v>
      </x:c>
      <x:c r="F1140" s="11" t="str">
        <x:v>Technology</x:v>
      </x:c>
      <x:c r="G1140" s="11" t="str">
        <x:v>Monitor</x:v>
      </x:c>
      <x:c r="H1140" s="11" t="n">
        <x:v>5</x:v>
      </x:c>
      <x:c r="I1140" s="19" t="n">
        <x:v>0</x:v>
      </x:c>
      <x:c r="J1140" s="11" t="n">
        <x:v>0</x:v>
      </x:c>
      <x:c r="K1140" s="20" t="n">
        <x:v>1200</x:v>
      </x:c>
      <x:c r="L1140" s="20" t="n">
        <x:v>0</x:v>
      </x:c>
      <x:c r="M1140" s="20" t="n">
        <x:v>800</x:v>
      </x:c>
      <x:c r="N1140" s="20" t="n">
        <x:f>IF(J1140=1,0,K1140-L1140)</x:f>
        <x:v>1200</x:v>
      </x:c>
      <x:c r="O1140" s="20" t="n">
        <x:f>N1140-M1140</x:f>
        <x:v>400</x:v>
      </x:c>
    </x:row>
    <x:row r="1141" ht="22" customHeight="1">
      <x:c r="A1141" s="11" t="n">
        <x:v>1137</x:v>
      </x:c>
      <x:c r="B1141" s="11" t="n">
        <x:v>572</x:v>
      </x:c>
      <x:c r="C1141" s="18" t="n">
        <x:v>45864</x:v>
      </x:c>
      <x:c r="D1141" s="11" t="str">
        <x:v>2025-07</x:v>
      </x:c>
      <x:c r="E1141" s="11" t="str">
        <x:v>East</x:v>
      </x:c>
      <x:c r="F1141" s="11" t="str">
        <x:v>Technology</x:v>
      </x:c>
      <x:c r="G1141" s="11" t="str">
        <x:v>Keyboard</x:v>
      </x:c>
      <x:c r="H1141" s="11" t="n">
        <x:v>1</x:v>
      </x:c>
      <x:c r="I1141" s="19" t="n">
        <x:v>0</x:v>
      </x:c>
      <x:c r="J1141" s="11" t="n">
        <x:v>0</x:v>
      </x:c>
      <x:c r="K1141" s="20" t="n">
        <x:v>65</x:v>
      </x:c>
      <x:c r="L1141" s="20" t="n">
        <x:v>0</x:v>
      </x:c>
      <x:c r="M1141" s="20" t="n">
        <x:v>32</x:v>
      </x:c>
      <x:c r="N1141" s="20" t="n">
        <x:f>IF(J1141=1,0,K1141-L1141)</x:f>
        <x:v>65</x:v>
      </x:c>
      <x:c r="O1141" s="20" t="n">
        <x:f>N1141-M1141</x:f>
        <x:v>33</x:v>
      </x:c>
    </x:row>
    <x:row r="1142" ht="22" customHeight="1">
      <x:c r="A1142" s="11" t="n">
        <x:v>1138</x:v>
      </x:c>
      <x:c r="B1142" s="11" t="n">
        <x:v>572</x:v>
      </x:c>
      <x:c r="C1142" s="18" t="n">
        <x:v>45864</x:v>
      </x:c>
      <x:c r="D1142" s="11" t="str">
        <x:v>2025-07</x:v>
      </x:c>
      <x:c r="E1142" s="11" t="str">
        <x:v>East</x:v>
      </x:c>
      <x:c r="F1142" s="11" t="str">
        <x:v>Furniture</x:v>
      </x:c>
      <x:c r="G1142" s="11" t="str">
        <x:v>Desk</x:v>
      </x:c>
      <x:c r="H1142" s="11" t="n">
        <x:v>4</x:v>
      </x:c>
      <x:c r="I1142" s="19" t="n">
        <x:v>0.15</x:v>
      </x:c>
      <x:c r="J1142" s="11" t="n">
        <x:v>0</x:v>
      </x:c>
      <x:c r="K1142" s="20" t="n">
        <x:v>1120</x:v>
      </x:c>
      <x:c r="L1142" s="20" t="n">
        <x:v>168</x:v>
      </x:c>
      <x:c r="M1142" s="20" t="n">
        <x:v>760</x:v>
      </x:c>
      <x:c r="N1142" s="20" t="n">
        <x:f>IF(J1142=1,0,K1142-L1142)</x:f>
        <x:v>952</x:v>
      </x:c>
      <x:c r="O1142" s="20" t="n">
        <x:f>N1142-M1142</x:f>
        <x:v>192</x:v>
      </x:c>
    </x:row>
    <x:row r="1143" ht="22" customHeight="1">
      <x:c r="A1143" s="11" t="n">
        <x:v>1139</x:v>
      </x:c>
      <x:c r="B1143" s="11" t="n">
        <x:v>573</x:v>
      </x:c>
      <x:c r="C1143" s="18" t="n">
        <x:v>45663</x:v>
      </x:c>
      <x:c r="D1143" s="11" t="str">
        <x:v>2025-01</x:v>
      </x:c>
      <x:c r="E1143" s="11" t="str">
        <x:v>East</x:v>
      </x:c>
      <x:c r="F1143" s="11" t="str">
        <x:v>Office Supplies</x:v>
      </x:c>
      <x:c r="G1143" s="11" t="str">
        <x:v>Notebook pack</x:v>
      </x:c>
      <x:c r="H1143" s="11" t="n">
        <x:v>3</x:v>
      </x:c>
      <x:c r="I1143" s="19" t="n">
        <x:v>0</x:v>
      </x:c>
      <x:c r="J1143" s="11" t="n">
        <x:v>0</x:v>
      </x:c>
      <x:c r="K1143" s="20" t="n">
        <x:v>54</x:v>
      </x:c>
      <x:c r="L1143" s="20" t="n">
        <x:v>0</x:v>
      </x:c>
      <x:c r="M1143" s="20" t="n">
        <x:v>21</x:v>
      </x:c>
      <x:c r="N1143" s="20" t="n">
        <x:f>IF(J1143=1,0,K1143-L1143)</x:f>
        <x:v>54</x:v>
      </x:c>
      <x:c r="O1143" s="20" t="n">
        <x:f>N1143-M1143</x:f>
        <x:v>33</x:v>
      </x:c>
    </x:row>
    <x:row r="1144" ht="22" customHeight="1">
      <x:c r="A1144" s="11" t="n">
        <x:v>1140</x:v>
      </x:c>
      <x:c r="B1144" s="11" t="n">
        <x:v>573</x:v>
      </x:c>
      <x:c r="C1144" s="18" t="n">
        <x:v>45663</x:v>
      </x:c>
      <x:c r="D1144" s="11" t="str">
        <x:v>2025-01</x:v>
      </x:c>
      <x:c r="E1144" s="11" t="str">
        <x:v>East</x:v>
      </x:c>
      <x:c r="F1144" s="11" t="str">
        <x:v>Technology</x:v>
      </x:c>
      <x:c r="G1144" s="11" t="str">
        <x:v>Monitor</x:v>
      </x:c>
      <x:c r="H1144" s="11" t="n">
        <x:v>1</x:v>
      </x:c>
      <x:c r="I1144" s="19" t="n">
        <x:v>0</x:v>
      </x:c>
      <x:c r="J1144" s="11" t="n">
        <x:v>0</x:v>
      </x:c>
      <x:c r="K1144" s="20" t="n">
        <x:v>240</x:v>
      </x:c>
      <x:c r="L1144" s="20" t="n">
        <x:v>0</x:v>
      </x:c>
      <x:c r="M1144" s="20" t="n">
        <x:v>160</x:v>
      </x:c>
      <x:c r="N1144" s="20" t="n">
        <x:f>IF(J1144=1,0,K1144-L1144)</x:f>
        <x:v>240</x:v>
      </x:c>
      <x:c r="O1144" s="20" t="n">
        <x:f>N1144-M1144</x:f>
        <x:v>80</x:v>
      </x:c>
    </x:row>
    <x:row r="1145" ht="22" customHeight="1">
      <x:c r="A1145" s="11" t="n">
        <x:v>1141</x:v>
      </x:c>
      <x:c r="B1145" s="11" t="n">
        <x:v>573</x:v>
      </x:c>
      <x:c r="C1145" s="18" t="n">
        <x:v>45663</x:v>
      </x:c>
      <x:c r="D1145" s="11" t="str">
        <x:v>2025-01</x:v>
      </x:c>
      <x:c r="E1145" s="11" t="str">
        <x:v>East</x:v>
      </x:c>
      <x:c r="F1145" s="11" t="str">
        <x:v>Furniture</x:v>
      </x:c>
      <x:c r="G1145" s="11" t="str">
        <x:v>Chair</x:v>
      </x:c>
      <x:c r="H1145" s="11" t="n">
        <x:v>2</x:v>
      </x:c>
      <x:c r="I1145" s="19" t="n">
        <x:v>0.05</x:v>
      </x:c>
      <x:c r="J1145" s="11" t="n">
        <x:v>0</x:v>
      </x:c>
      <x:c r="K1145" s="20" t="n">
        <x:v>340</x:v>
      </x:c>
      <x:c r="L1145" s="20" t="n">
        <x:v>17</x:v>
      </x:c>
      <x:c r="M1145" s="20" t="n">
        <x:v>220</x:v>
      </x:c>
      <x:c r="N1145" s="20" t="n">
        <x:f>IF(J1145=1,0,K1145-L1145)</x:f>
        <x:v>323</x:v>
      </x:c>
      <x:c r="O1145" s="20" t="n">
        <x:f>N1145-M1145</x:f>
        <x:v>103</x:v>
      </x:c>
    </x:row>
    <x:row r="1146" ht="22" customHeight="1">
      <x:c r="A1146" s="11" t="n">
        <x:v>1142</x:v>
      </x:c>
      <x:c r="B1146" s="11" t="n">
        <x:v>574</x:v>
      </x:c>
      <x:c r="C1146" s="18" t="n">
        <x:v>45506</x:v>
      </x:c>
      <x:c r="D1146" s="11" t="str">
        <x:v>2024-08</x:v>
      </x:c>
      <x:c r="E1146" s="11" t="str">
        <x:v>West</x:v>
      </x:c>
      <x:c r="F1146" s="11" t="str">
        <x:v>Office Supplies</x:v>
      </x:c>
      <x:c r="G1146" s="11" t="str">
        <x:v>Storage box</x:v>
      </x:c>
      <x:c r="H1146" s="11" t="n">
        <x:v>1</x:v>
      </x:c>
      <x:c r="I1146" s="19" t="n">
        <x:v>0</x:v>
      </x:c>
      <x:c r="J1146" s="11" t="n">
        <x:v>0</x:v>
      </x:c>
      <x:c r="K1146" s="20" t="n">
        <x:v>26</x:v>
      </x:c>
      <x:c r="L1146" s="20" t="n">
        <x:v>0</x:v>
      </x:c>
      <x:c r="M1146" s="20" t="n">
        <x:v>12</x:v>
      </x:c>
      <x:c r="N1146" s="20" t="n">
        <x:f>IF(J1146=1,0,K1146-L1146)</x:f>
        <x:v>26</x:v>
      </x:c>
      <x:c r="O1146" s="20" t="n">
        <x:f>N1146-M1146</x:f>
        <x:v>14</x:v>
      </x:c>
    </x:row>
    <x:row r="1147" ht="22" customHeight="1">
      <x:c r="A1147" s="11" t="n">
        <x:v>1143</x:v>
      </x:c>
      <x:c r="B1147" s="11" t="n">
        <x:v>574</x:v>
      </x:c>
      <x:c r="C1147" s="18" t="n">
        <x:v>45506</x:v>
      </x:c>
      <x:c r="D1147" s="11" t="str">
        <x:v>2024-08</x:v>
      </x:c>
      <x:c r="E1147" s="11" t="str">
        <x:v>West</x:v>
      </x:c>
      <x:c r="F1147" s="11" t="str">
        <x:v>Furniture</x:v>
      </x:c>
      <x:c r="G1147" s="11" t="str">
        <x:v>Desk</x:v>
      </x:c>
      <x:c r="H1147" s="11" t="n">
        <x:v>4</x:v>
      </x:c>
      <x:c r="I1147" s="19" t="n">
        <x:v>0</x:v>
      </x:c>
      <x:c r="J1147" s="11" t="n">
        <x:v>0</x:v>
      </x:c>
      <x:c r="K1147" s="20" t="n">
        <x:v>1120</x:v>
      </x:c>
      <x:c r="L1147" s="20" t="n">
        <x:v>0</x:v>
      </x:c>
      <x:c r="M1147" s="20" t="n">
        <x:v>760</x:v>
      </x:c>
      <x:c r="N1147" s="20" t="n">
        <x:f>IF(J1147=1,0,K1147-L1147)</x:f>
        <x:v>1120</x:v>
      </x:c>
      <x:c r="O1147" s="20" t="n">
        <x:f>N1147-M1147</x:f>
        <x:v>360</x:v>
      </x:c>
    </x:row>
    <x:row r="1148" ht="22" customHeight="1">
      <x:c r="A1148" s="11" t="n">
        <x:v>1144</x:v>
      </x:c>
      <x:c r="B1148" s="11" t="n">
        <x:v>575</x:v>
      </x:c>
      <x:c r="C1148" s="18" t="n">
        <x:v>45325</x:v>
      </x:c>
      <x:c r="D1148" s="11" t="str">
        <x:v>2024-02</x:v>
      </x:c>
      <x:c r="E1148" s="11" t="str">
        <x:v>Central</x:v>
      </x:c>
      <x:c r="F1148" s="11" t="str">
        <x:v>Furniture</x:v>
      </x:c>
      <x:c r="G1148" s="11" t="str">
        <x:v>Desk</x:v>
      </x:c>
      <x:c r="H1148" s="11" t="n">
        <x:v>1</x:v>
      </x:c>
      <x:c r="I1148" s="19" t="n">
        <x:v>0</x:v>
      </x:c>
      <x:c r="J1148" s="11" t="n">
        <x:v>0</x:v>
      </x:c>
      <x:c r="K1148" s="20" t="n">
        <x:v>280</x:v>
      </x:c>
      <x:c r="L1148" s="20" t="n">
        <x:v>0</x:v>
      </x:c>
      <x:c r="M1148" s="20" t="n">
        <x:v>190</x:v>
      </x:c>
      <x:c r="N1148" s="20" t="n">
        <x:f>IF(J1148=1,0,K1148-L1148)</x:f>
        <x:v>280</x:v>
      </x:c>
      <x:c r="O1148" s="20" t="n">
        <x:f>N1148-M1148</x:f>
        <x:v>90</x:v>
      </x:c>
    </x:row>
    <x:row r="1149" ht="22" customHeight="1">
      <x:c r="A1149" s="11" t="n">
        <x:v>1145</x:v>
      </x:c>
      <x:c r="B1149" s="11" t="n">
        <x:v>575</x:v>
      </x:c>
      <x:c r="C1149" s="18" t="n">
        <x:v>45325</x:v>
      </x:c>
      <x:c r="D1149" s="11" t="str">
        <x:v>2024-02</x:v>
      </x:c>
      <x:c r="E1149" s="11" t="str">
        <x:v>Central</x:v>
      </x:c>
      <x:c r="F1149" s="11" t="str">
        <x:v>Technology</x:v>
      </x:c>
      <x:c r="G1149" s="11" t="str">
        <x:v>Monitor</x:v>
      </x:c>
      <x:c r="H1149" s="11" t="n">
        <x:v>1</x:v>
      </x:c>
      <x:c r="I1149" s="19" t="n">
        <x:v>0</x:v>
      </x:c>
      <x:c r="J1149" s="11" t="n">
        <x:v>0</x:v>
      </x:c>
      <x:c r="K1149" s="20" t="n">
        <x:v>240</x:v>
      </x:c>
      <x:c r="L1149" s="20" t="n">
        <x:v>0</x:v>
      </x:c>
      <x:c r="M1149" s="20" t="n">
        <x:v>160</x:v>
      </x:c>
      <x:c r="N1149" s="20" t="n">
        <x:f>IF(J1149=1,0,K1149-L1149)</x:f>
        <x:v>240</x:v>
      </x:c>
      <x:c r="O1149" s="20" t="n">
        <x:f>N1149-M1149</x:f>
        <x:v>80</x:v>
      </x:c>
    </x:row>
    <x:row r="1150" ht="22" customHeight="1">
      <x:c r="A1150" s="11" t="n">
        <x:v>1146</x:v>
      </x:c>
      <x:c r="B1150" s="11" t="n">
        <x:v>576</x:v>
      </x:c>
      <x:c r="C1150" s="18" t="n">
        <x:v>45908</x:v>
      </x:c>
      <x:c r="D1150" s="11" t="str">
        <x:v>2025-09</x:v>
      </x:c>
      <x:c r="E1150" s="11" t="str">
        <x:v>East</x:v>
      </x:c>
      <x:c r="F1150" s="11" t="str">
        <x:v>Office Supplies</x:v>
      </x:c>
      <x:c r="G1150" s="11" t="str">
        <x:v>Storage box</x:v>
      </x:c>
      <x:c r="H1150" s="11" t="n">
        <x:v>3</x:v>
      </x:c>
      <x:c r="I1150" s="19" t="n">
        <x:v>0</x:v>
      </x:c>
      <x:c r="J1150" s="11" t="n">
        <x:v>0</x:v>
      </x:c>
      <x:c r="K1150" s="20" t="n">
        <x:v>78</x:v>
      </x:c>
      <x:c r="L1150" s="20" t="n">
        <x:v>0</x:v>
      </x:c>
      <x:c r="M1150" s="20" t="n">
        <x:v>36</x:v>
      </x:c>
      <x:c r="N1150" s="20" t="n">
        <x:f>IF(J1150=1,0,K1150-L1150)</x:f>
        <x:v>78</x:v>
      </x:c>
      <x:c r="O1150" s="20" t="n">
        <x:f>N1150-M1150</x:f>
        <x:v>42</x:v>
      </x:c>
    </x:row>
    <x:row r="1151" ht="22" customHeight="1">
      <x:c r="A1151" s="11" t="n">
        <x:v>1147</x:v>
      </x:c>
      <x:c r="B1151" s="11" t="n">
        <x:v>577</x:v>
      </x:c>
      <x:c r="C1151" s="18" t="n">
        <x:v>45576</x:v>
      </x:c>
      <x:c r="D1151" s="11" t="str">
        <x:v>2024-10</x:v>
      </x:c>
      <x:c r="E1151" s="11" t="str">
        <x:v>South</x:v>
      </x:c>
      <x:c r="F1151" s="11" t="str">
        <x:v>Furniture</x:v>
      </x:c>
      <x:c r="G1151" s="11" t="str">
        <x:v>Chair</x:v>
      </x:c>
      <x:c r="H1151" s="11" t="n">
        <x:v>5</x:v>
      </x:c>
      <x:c r="I1151" s="19" t="n">
        <x:v>0.05</x:v>
      </x:c>
      <x:c r="J1151" s="11" t="n">
        <x:v>0</x:v>
      </x:c>
      <x:c r="K1151" s="20" t="n">
        <x:v>850</x:v>
      </x:c>
      <x:c r="L1151" s="20" t="n">
        <x:v>42.5</x:v>
      </x:c>
      <x:c r="M1151" s="20" t="n">
        <x:v>550</x:v>
      </x:c>
      <x:c r="N1151" s="20" t="n">
        <x:f>IF(J1151=1,0,K1151-L1151)</x:f>
        <x:v>807.5</x:v>
      </x:c>
      <x:c r="O1151" s="20" t="n">
        <x:f>N1151-M1151</x:f>
        <x:v>257.5</x:v>
      </x:c>
    </x:row>
    <x:row r="1152" ht="22" customHeight="1">
      <x:c r="A1152" s="11" t="n">
        <x:v>1148</x:v>
      </x:c>
      <x:c r="B1152" s="11" t="n">
        <x:v>577</x:v>
      </x:c>
      <x:c r="C1152" s="18" t="n">
        <x:v>45576</x:v>
      </x:c>
      <x:c r="D1152" s="11" t="str">
        <x:v>2024-10</x:v>
      </x:c>
      <x:c r="E1152" s="11" t="str">
        <x:v>South</x:v>
      </x:c>
      <x:c r="F1152" s="11" t="str">
        <x:v>Office Supplies</x:v>
      </x:c>
      <x:c r="G1152" s="11" t="str">
        <x:v>Notebook pack</x:v>
      </x:c>
      <x:c r="H1152" s="11" t="n">
        <x:v>1</x:v>
      </x:c>
      <x:c r="I1152" s="19" t="n">
        <x:v>0</x:v>
      </x:c>
      <x:c r="J1152" s="11" t="n">
        <x:v>0</x:v>
      </x:c>
      <x:c r="K1152" s="20" t="n">
        <x:v>18</x:v>
      </x:c>
      <x:c r="L1152" s="20" t="n">
        <x:v>0</x:v>
      </x:c>
      <x:c r="M1152" s="20" t="n">
        <x:v>7</x:v>
      </x:c>
      <x:c r="N1152" s="20" t="n">
        <x:f>IF(J1152=1,0,K1152-L1152)</x:f>
        <x:v>18</x:v>
      </x:c>
      <x:c r="O1152" s="20" t="n">
        <x:f>N1152-M1152</x:f>
        <x:v>11</x:v>
      </x:c>
    </x:row>
    <x:row r="1153" ht="22" customHeight="1">
      <x:c r="A1153" s="11" t="n">
        <x:v>1149</x:v>
      </x:c>
      <x:c r="B1153" s="11" t="n">
        <x:v>578</x:v>
      </x:c>
      <x:c r="C1153" s="18" t="n">
        <x:v>45306</x:v>
      </x:c>
      <x:c r="D1153" s="11" t="str">
        <x:v>2024-01</x:v>
      </x:c>
      <x:c r="E1153" s="11" t="str">
        <x:v>East</x:v>
      </x:c>
      <x:c r="F1153" s="11" t="str">
        <x:v>Furniture</x:v>
      </x:c>
      <x:c r="G1153" s="11" t="str">
        <x:v>Chair</x:v>
      </x:c>
      <x:c r="H1153" s="11" t="n">
        <x:v>5</x:v>
      </x:c>
      <x:c r="I1153" s="19" t="n">
        <x:v>0</x:v>
      </x:c>
      <x:c r="J1153" s="11" t="n">
        <x:v>0</x:v>
      </x:c>
      <x:c r="K1153" s="20" t="n">
        <x:v>850</x:v>
      </x:c>
      <x:c r="L1153" s="20" t="n">
        <x:v>0</x:v>
      </x:c>
      <x:c r="M1153" s="20" t="n">
        <x:v>550</x:v>
      </x:c>
      <x:c r="N1153" s="20" t="n">
        <x:f>IF(J1153=1,0,K1153-L1153)</x:f>
        <x:v>850</x:v>
      </x:c>
      <x:c r="O1153" s="20" t="n">
        <x:f>N1153-M1153</x:f>
        <x:v>300</x:v>
      </x:c>
    </x:row>
    <x:row r="1154" ht="22" customHeight="1">
      <x:c r="A1154" s="11" t="n">
        <x:v>1150</x:v>
      </x:c>
      <x:c r="B1154" s="11" t="n">
        <x:v>578</x:v>
      </x:c>
      <x:c r="C1154" s="18" t="n">
        <x:v>45306</x:v>
      </x:c>
      <x:c r="D1154" s="11" t="str">
        <x:v>2024-01</x:v>
      </x:c>
      <x:c r="E1154" s="11" t="str">
        <x:v>East</x:v>
      </x:c>
      <x:c r="F1154" s="11" t="str">
        <x:v>Technology</x:v>
      </x:c>
      <x:c r="G1154" s="11" t="str">
        <x:v>Monitor</x:v>
      </x:c>
      <x:c r="H1154" s="11" t="n">
        <x:v>1</x:v>
      </x:c>
      <x:c r="I1154" s="19" t="n">
        <x:v>0</x:v>
      </x:c>
      <x:c r="J1154" s="11" t="n">
        <x:v>0</x:v>
      </x:c>
      <x:c r="K1154" s="20" t="n">
        <x:v>240</x:v>
      </x:c>
      <x:c r="L1154" s="20" t="n">
        <x:v>0</x:v>
      </x:c>
      <x:c r="M1154" s="20" t="n">
        <x:v>160</x:v>
      </x:c>
      <x:c r="N1154" s="20" t="n">
        <x:f>IF(J1154=1,0,K1154-L1154)</x:f>
        <x:v>240</x:v>
      </x:c>
      <x:c r="O1154" s="20" t="n">
        <x:f>N1154-M1154</x:f>
        <x:v>80</x:v>
      </x:c>
    </x:row>
    <x:row r="1155" ht="22" customHeight="1">
      <x:c r="A1155" s="11" t="n">
        <x:v>1151</x:v>
      </x:c>
      <x:c r="B1155" s="11" t="n">
        <x:v>578</x:v>
      </x:c>
      <x:c r="C1155" s="18" t="n">
        <x:v>45306</x:v>
      </x:c>
      <x:c r="D1155" s="11" t="str">
        <x:v>2024-01</x:v>
      </x:c>
      <x:c r="E1155" s="11" t="str">
        <x:v>East</x:v>
      </x:c>
      <x:c r="F1155" s="11" t="str">
        <x:v>Office Supplies</x:v>
      </x:c>
      <x:c r="G1155" s="11" t="str">
        <x:v>Storage box</x:v>
      </x:c>
      <x:c r="H1155" s="11" t="n">
        <x:v>4</x:v>
      </x:c>
      <x:c r="I1155" s="19" t="n">
        <x:v>0.05</x:v>
      </x:c>
      <x:c r="J1155" s="11" t="n">
        <x:v>0</x:v>
      </x:c>
      <x:c r="K1155" s="20" t="n">
        <x:v>104</x:v>
      </x:c>
      <x:c r="L1155" s="20" t="n">
        <x:v>5.2</x:v>
      </x:c>
      <x:c r="M1155" s="20" t="n">
        <x:v>48</x:v>
      </x:c>
      <x:c r="N1155" s="20" t="n">
        <x:f>IF(J1155=1,0,K1155-L1155)</x:f>
        <x:v>98.8</x:v>
      </x:c>
      <x:c r="O1155" s="20" t="n">
        <x:f>N1155-M1155</x:f>
        <x:v>50.8</x:v>
      </x:c>
    </x:row>
    <x:row r="1156" ht="22" customHeight="1">
      <x:c r="A1156" s="11" t="n">
        <x:v>1152</x:v>
      </x:c>
      <x:c r="B1156" s="11" t="n">
        <x:v>579</x:v>
      </x:c>
      <x:c r="C1156" s="18" t="n">
        <x:v>45481</x:v>
      </x:c>
      <x:c r="D1156" s="11" t="str">
        <x:v>2024-07</x:v>
      </x:c>
      <x:c r="E1156" s="11" t="str">
        <x:v>East</x:v>
      </x:c>
      <x:c r="F1156" s="11" t="str">
        <x:v>Technology</x:v>
      </x:c>
      <x:c r="G1156" s="11" t="str">
        <x:v>Monitor</x:v>
      </x:c>
      <x:c r="H1156" s="11" t="n">
        <x:v>4</x:v>
      </x:c>
      <x:c r="I1156" s="19" t="n">
        <x:v>0.1</x:v>
      </x:c>
      <x:c r="J1156" s="11" t="n">
        <x:v>0</x:v>
      </x:c>
      <x:c r="K1156" s="20" t="n">
        <x:v>960</x:v>
      </x:c>
      <x:c r="L1156" s="20" t="n">
        <x:v>96</x:v>
      </x:c>
      <x:c r="M1156" s="20" t="n">
        <x:v>640</x:v>
      </x:c>
      <x:c r="N1156" s="20" t="n">
        <x:f>IF(J1156=1,0,K1156-L1156)</x:f>
        <x:v>864</x:v>
      </x:c>
      <x:c r="O1156" s="20" t="n">
        <x:f>N1156-M1156</x:f>
        <x:v>224</x:v>
      </x:c>
    </x:row>
    <x:row r="1157" ht="22" customHeight="1">
      <x:c r="A1157" s="11" t="n">
        <x:v>1153</x:v>
      </x:c>
      <x:c r="B1157" s="11" t="n">
        <x:v>580</x:v>
      </x:c>
      <x:c r="C1157" s="18" t="n">
        <x:v>45525</x:v>
      </x:c>
      <x:c r="D1157" s="11" t="str">
        <x:v>2024-08</x:v>
      </x:c>
      <x:c r="E1157" s="11" t="str">
        <x:v>West</x:v>
      </x:c>
      <x:c r="F1157" s="11" t="str">
        <x:v>Furniture</x:v>
      </x:c>
      <x:c r="G1157" s="11" t="str">
        <x:v>Desk</x:v>
      </x:c>
      <x:c r="H1157" s="11" t="n">
        <x:v>1</x:v>
      </x:c>
      <x:c r="I1157" s="19" t="n">
        <x:v>0</x:v>
      </x:c>
      <x:c r="J1157" s="11" t="n">
        <x:v>0</x:v>
      </x:c>
      <x:c r="K1157" s="20" t="n">
        <x:v>280</x:v>
      </x:c>
      <x:c r="L1157" s="20" t="n">
        <x:v>0</x:v>
      </x:c>
      <x:c r="M1157" s="20" t="n">
        <x:v>190</x:v>
      </x:c>
      <x:c r="N1157" s="20" t="n">
        <x:f>IF(J1157=1,0,K1157-L1157)</x:f>
        <x:v>280</x:v>
      </x:c>
      <x:c r="O1157" s="20" t="n">
        <x:f>N1157-M1157</x:f>
        <x:v>90</x:v>
      </x:c>
    </x:row>
    <x:row r="1158" ht="22" customHeight="1">
      <x:c r="A1158" s="11" t="n">
        <x:v>1154</x:v>
      </x:c>
      <x:c r="B1158" s="11" t="n">
        <x:v>580</x:v>
      </x:c>
      <x:c r="C1158" s="18" t="n">
        <x:v>45525</x:v>
      </x:c>
      <x:c r="D1158" s="11" t="str">
        <x:v>2024-08</x:v>
      </x:c>
      <x:c r="E1158" s="11" t="str">
        <x:v>West</x:v>
      </x:c>
      <x:c r="F1158" s="11" t="str">
        <x:v>Technology</x:v>
      </x:c>
      <x:c r="G1158" s="11" t="str">
        <x:v>Keyboard</x:v>
      </x:c>
      <x:c r="H1158" s="11" t="n">
        <x:v>3</x:v>
      </x:c>
      <x:c r="I1158" s="19" t="n">
        <x:v>0.05</x:v>
      </x:c>
      <x:c r="J1158" s="11" t="n">
        <x:v>0</x:v>
      </x:c>
      <x:c r="K1158" s="20" t="n">
        <x:v>195</x:v>
      </x:c>
      <x:c r="L1158" s="20" t="n">
        <x:v>9.75</x:v>
      </x:c>
      <x:c r="M1158" s="20" t="n">
        <x:v>96</x:v>
      </x:c>
      <x:c r="N1158" s="20" t="n">
        <x:f>IF(J1158=1,0,K1158-L1158)</x:f>
        <x:v>185.25</x:v>
      </x:c>
      <x:c r="O1158" s="20" t="n">
        <x:f>N1158-M1158</x:f>
        <x:v>89.25</x:v>
      </x:c>
    </x:row>
    <x:row r="1159" ht="22" customHeight="1">
      <x:c r="A1159" s="11" t="n">
        <x:v>1155</x:v>
      </x:c>
      <x:c r="B1159" s="11" t="n">
        <x:v>581</x:v>
      </x:c>
      <x:c r="C1159" s="18" t="n">
        <x:v>45333</x:v>
      </x:c>
      <x:c r="D1159" s="11" t="str">
        <x:v>2024-02</x:v>
      </x:c>
      <x:c r="E1159" s="11" t="str">
        <x:v>West</x:v>
      </x:c>
      <x:c r="F1159" s="11" t="str">
        <x:v>Furniture</x:v>
      </x:c>
      <x:c r="G1159" s="11" t="str">
        <x:v>Desk</x:v>
      </x:c>
      <x:c r="H1159" s="11" t="n">
        <x:v>3</x:v>
      </x:c>
      <x:c r="I1159" s="19" t="n">
        <x:v>0.35</x:v>
      </x:c>
      <x:c r="J1159" s="11" t="n">
        <x:v>0</x:v>
      </x:c>
      <x:c r="K1159" s="20" t="n">
        <x:v>840</x:v>
      </x:c>
      <x:c r="L1159" s="20" t="n">
        <x:v>294</x:v>
      </x:c>
      <x:c r="M1159" s="20" t="n">
        <x:v>570</x:v>
      </x:c>
      <x:c r="N1159" s="20" t="n">
        <x:f>IF(J1159=1,0,K1159-L1159)</x:f>
        <x:v>546</x:v>
      </x:c>
      <x:c r="O1159" s="20" t="n">
        <x:f>N1159-M1159</x:f>
        <x:v>-24</x:v>
      </x:c>
    </x:row>
    <x:row r="1160" ht="22" customHeight="1">
      <x:c r="A1160" s="11" t="n">
        <x:v>1156</x:v>
      </x:c>
      <x:c r="B1160" s="11" t="n">
        <x:v>581</x:v>
      </x:c>
      <x:c r="C1160" s="18" t="n">
        <x:v>45333</x:v>
      </x:c>
      <x:c r="D1160" s="11" t="str">
        <x:v>2024-02</x:v>
      </x:c>
      <x:c r="E1160" s="11" t="str">
        <x:v>West</x:v>
      </x:c>
      <x:c r="F1160" s="11" t="str">
        <x:v>Technology</x:v>
      </x:c>
      <x:c r="G1160" s="11" t="str">
        <x:v>Keyboard</x:v>
      </x:c>
      <x:c r="H1160" s="11" t="n">
        <x:v>3</x:v>
      </x:c>
      <x:c r="I1160" s="19" t="n">
        <x:v>0.1</x:v>
      </x:c>
      <x:c r="J1160" s="11" t="n">
        <x:v>0</x:v>
      </x:c>
      <x:c r="K1160" s="20" t="n">
        <x:v>195</x:v>
      </x:c>
      <x:c r="L1160" s="20" t="n">
        <x:v>19.5</x:v>
      </x:c>
      <x:c r="M1160" s="20" t="n">
        <x:v>96</x:v>
      </x:c>
      <x:c r="N1160" s="20" t="n">
        <x:f>IF(J1160=1,0,K1160-L1160)</x:f>
        <x:v>175.5</x:v>
      </x:c>
      <x:c r="O1160" s="20" t="n">
        <x:f>N1160-M1160</x:f>
        <x:v>79.5</x:v>
      </x:c>
    </x:row>
    <x:row r="1161" ht="22" customHeight="1">
      <x:c r="A1161" s="11" t="n">
        <x:v>1157</x:v>
      </x:c>
      <x:c r="B1161" s="11" t="n">
        <x:v>582</x:v>
      </x:c>
      <x:c r="C1161" s="18" t="n">
        <x:v>45709</x:v>
      </x:c>
      <x:c r="D1161" s="11" t="str">
        <x:v>2025-02</x:v>
      </x:c>
      <x:c r="E1161" s="11" t="str">
        <x:v>East</x:v>
      </x:c>
      <x:c r="F1161" s="11" t="str">
        <x:v>Furniture</x:v>
      </x:c>
      <x:c r="G1161" s="11" t="str">
        <x:v>Desk</x:v>
      </x:c>
      <x:c r="H1161" s="11" t="n">
        <x:v>4</x:v>
      </x:c>
      <x:c r="I1161" s="19" t="n">
        <x:v>0.15</x:v>
      </x:c>
      <x:c r="J1161" s="11" t="n">
        <x:v>0</x:v>
      </x:c>
      <x:c r="K1161" s="20" t="n">
        <x:v>1120</x:v>
      </x:c>
      <x:c r="L1161" s="20" t="n">
        <x:v>168</x:v>
      </x:c>
      <x:c r="M1161" s="20" t="n">
        <x:v>760</x:v>
      </x:c>
      <x:c r="N1161" s="20" t="n">
        <x:f>IF(J1161=1,0,K1161-L1161)</x:f>
        <x:v>952</x:v>
      </x:c>
      <x:c r="O1161" s="20" t="n">
        <x:f>N1161-M1161</x:f>
        <x:v>192</x:v>
      </x:c>
    </x:row>
    <x:row r="1162" ht="22" customHeight="1">
      <x:c r="A1162" s="11" t="n">
        <x:v>1158</x:v>
      </x:c>
      <x:c r="B1162" s="11" t="n">
        <x:v>583</x:v>
      </x:c>
      <x:c r="C1162" s="18" t="n">
        <x:v>45982</x:v>
      </x:c>
      <x:c r="D1162" s="11" t="str">
        <x:v>2025-11</x:v>
      </x:c>
      <x:c r="E1162" s="11" t="str">
        <x:v>West</x:v>
      </x:c>
      <x:c r="F1162" s="11" t="str">
        <x:v>Technology</x:v>
      </x:c>
      <x:c r="G1162" s="11" t="str">
        <x:v>Keyboard</x:v>
      </x:c>
      <x:c r="H1162" s="11" t="n">
        <x:v>1</x:v>
      </x:c>
      <x:c r="I1162" s="19" t="n">
        <x:v>0</x:v>
      </x:c>
      <x:c r="J1162" s="11" t="n">
        <x:v>0</x:v>
      </x:c>
      <x:c r="K1162" s="20" t="n">
        <x:v>65</x:v>
      </x:c>
      <x:c r="L1162" s="20" t="n">
        <x:v>0</x:v>
      </x:c>
      <x:c r="M1162" s="20" t="n">
        <x:v>32</x:v>
      </x:c>
      <x:c r="N1162" s="20" t="n">
        <x:f>IF(J1162=1,0,K1162-L1162)</x:f>
        <x:v>65</x:v>
      </x:c>
      <x:c r="O1162" s="20" t="n">
        <x:f>N1162-M1162</x:f>
        <x:v>33</x:v>
      </x:c>
    </x:row>
    <x:row r="1163" ht="22" customHeight="1">
      <x:c r="A1163" s="11" t="n">
        <x:v>1159</x:v>
      </x:c>
      <x:c r="B1163" s="11" t="n">
        <x:v>583</x:v>
      </x:c>
      <x:c r="C1163" s="18" t="n">
        <x:v>45982</x:v>
      </x:c>
      <x:c r="D1163" s="11" t="str">
        <x:v>2025-11</x:v>
      </x:c>
      <x:c r="E1163" s="11" t="str">
        <x:v>West</x:v>
      </x:c>
      <x:c r="F1163" s="11" t="str">
        <x:v>Office Supplies</x:v>
      </x:c>
      <x:c r="G1163" s="11" t="str">
        <x:v>Notebook pack</x:v>
      </x:c>
      <x:c r="H1163" s="11" t="n">
        <x:v>4</x:v>
      </x:c>
      <x:c r="I1163" s="19" t="n">
        <x:v>0.15</x:v>
      </x:c>
      <x:c r="J1163" s="11" t="n">
        <x:v>0</x:v>
      </x:c>
      <x:c r="K1163" s="20" t="n">
        <x:v>72</x:v>
      </x:c>
      <x:c r="L1163" s="20" t="n">
        <x:v>10.8</x:v>
      </x:c>
      <x:c r="M1163" s="20" t="n">
        <x:v>28</x:v>
      </x:c>
      <x:c r="N1163" s="20" t="n">
        <x:f>IF(J1163=1,0,K1163-L1163)</x:f>
        <x:v>61.2</x:v>
      </x:c>
      <x:c r="O1163" s="20" t="n">
        <x:f>N1163-M1163</x:f>
        <x:v>33.2</x:v>
      </x:c>
    </x:row>
    <x:row r="1164" ht="22" customHeight="1">
      <x:c r="A1164" s="11" t="n">
        <x:v>1160</x:v>
      </x:c>
      <x:c r="B1164" s="11" t="n">
        <x:v>584</x:v>
      </x:c>
      <x:c r="C1164" s="18" t="n">
        <x:v>45464</x:v>
      </x:c>
      <x:c r="D1164" s="11" t="str">
        <x:v>2024-06</x:v>
      </x:c>
      <x:c r="E1164" s="11" t="str">
        <x:v>Central</x:v>
      </x:c>
      <x:c r="F1164" s="11" t="str">
        <x:v>Technology</x:v>
      </x:c>
      <x:c r="G1164" s="11" t="str">
        <x:v>Monitor</x:v>
      </x:c>
      <x:c r="H1164" s="11" t="n">
        <x:v>2</x:v>
      </x:c>
      <x:c r="I1164" s="19" t="n">
        <x:v>0.15</x:v>
      </x:c>
      <x:c r="J1164" s="11" t="n">
        <x:v>0</x:v>
      </x:c>
      <x:c r="K1164" s="20" t="n">
        <x:v>480</x:v>
      </x:c>
      <x:c r="L1164" s="20" t="n">
        <x:v>72</x:v>
      </x:c>
      <x:c r="M1164" s="20" t="n">
        <x:v>320</x:v>
      </x:c>
      <x:c r="N1164" s="20" t="n">
        <x:f>IF(J1164=1,0,K1164-L1164)</x:f>
        <x:v>408</x:v>
      </x:c>
      <x:c r="O1164" s="20" t="n">
        <x:f>N1164-M1164</x:f>
        <x:v>88</x:v>
      </x:c>
    </x:row>
    <x:row r="1165" ht="22" customHeight="1">
      <x:c r="A1165" s="11" t="n">
        <x:v>1161</x:v>
      </x:c>
      <x:c r="B1165" s="11" t="n">
        <x:v>585</x:v>
      </x:c>
      <x:c r="C1165" s="18" t="n">
        <x:v>45705</x:v>
      </x:c>
      <x:c r="D1165" s="11" t="str">
        <x:v>2025-02</x:v>
      </x:c>
      <x:c r="E1165" s="11" t="str">
        <x:v>West</x:v>
      </x:c>
      <x:c r="F1165" s="11" t="str">
        <x:v>Office Supplies</x:v>
      </x:c>
      <x:c r="G1165" s="11" t="str">
        <x:v>Storage box</x:v>
      </x:c>
      <x:c r="H1165" s="11" t="n">
        <x:v>3</x:v>
      </x:c>
      <x:c r="I1165" s="19" t="n">
        <x:v>0.15</x:v>
      </x:c>
      <x:c r="J1165" s="11" t="n">
        <x:v>0</x:v>
      </x:c>
      <x:c r="K1165" s="20" t="n">
        <x:v>78</x:v>
      </x:c>
      <x:c r="L1165" s="20" t="n">
        <x:v>11.7</x:v>
      </x:c>
      <x:c r="M1165" s="20" t="n">
        <x:v>36</x:v>
      </x:c>
      <x:c r="N1165" s="20" t="n">
        <x:f>IF(J1165=1,0,K1165-L1165)</x:f>
        <x:v>66.3</x:v>
      </x:c>
      <x:c r="O1165" s="20" t="n">
        <x:f>N1165-M1165</x:f>
        <x:v>30.299999999999997</x:v>
      </x:c>
    </x:row>
    <x:row r="1166" ht="22" customHeight="1">
      <x:c r="A1166" s="11" t="n">
        <x:v>1162</x:v>
      </x:c>
      <x:c r="B1166" s="11" t="n">
        <x:v>585</x:v>
      </x:c>
      <x:c r="C1166" s="18" t="n">
        <x:v>45705</x:v>
      </x:c>
      <x:c r="D1166" s="11" t="str">
        <x:v>2025-02</x:v>
      </x:c>
      <x:c r="E1166" s="11" t="str">
        <x:v>West</x:v>
      </x:c>
      <x:c r="F1166" s="11" t="str">
        <x:v>Technology</x:v>
      </x:c>
      <x:c r="G1166" s="11" t="str">
        <x:v>Keyboard</x:v>
      </x:c>
      <x:c r="H1166" s="11" t="n">
        <x:v>4</x:v>
      </x:c>
      <x:c r="I1166" s="19" t="n">
        <x:v>0.05</x:v>
      </x:c>
      <x:c r="J1166" s="11" t="n">
        <x:v>0</x:v>
      </x:c>
      <x:c r="K1166" s="20" t="n">
        <x:v>260</x:v>
      </x:c>
      <x:c r="L1166" s="20" t="n">
        <x:v>13</x:v>
      </x:c>
      <x:c r="M1166" s="20" t="n">
        <x:v>128</x:v>
      </x:c>
      <x:c r="N1166" s="20" t="n">
        <x:f>IF(J1166=1,0,K1166-L1166)</x:f>
        <x:v>247</x:v>
      </x:c>
      <x:c r="O1166" s="20" t="n">
        <x:f>N1166-M1166</x:f>
        <x:v>119</x:v>
      </x:c>
    </x:row>
    <x:row r="1167" ht="22" customHeight="1">
      <x:c r="A1167" s="11" t="n">
        <x:v>1163</x:v>
      </x:c>
      <x:c r="B1167" s="11" t="n">
        <x:v>586</x:v>
      </x:c>
      <x:c r="C1167" s="18" t="n">
        <x:v>45909</x:v>
      </x:c>
      <x:c r="D1167" s="11" t="str">
        <x:v>2025-09</x:v>
      </x:c>
      <x:c r="E1167" s="11" t="str">
        <x:v>South</x:v>
      </x:c>
      <x:c r="F1167" s="11" t="str">
        <x:v>Technology</x:v>
      </x:c>
      <x:c r="G1167" s="11" t="str">
        <x:v>Monitor</x:v>
      </x:c>
      <x:c r="H1167" s="11" t="n">
        <x:v>1</x:v>
      </x:c>
      <x:c r="I1167" s="19" t="n">
        <x:v>0</x:v>
      </x:c>
      <x:c r="J1167" s="11" t="n">
        <x:v>0</x:v>
      </x:c>
      <x:c r="K1167" s="20" t="n">
        <x:v>240</x:v>
      </x:c>
      <x:c r="L1167" s="20" t="n">
        <x:v>0</x:v>
      </x:c>
      <x:c r="M1167" s="20" t="n">
        <x:v>160</x:v>
      </x:c>
      <x:c r="N1167" s="20" t="n">
        <x:f>IF(J1167=1,0,K1167-L1167)</x:f>
        <x:v>240</x:v>
      </x:c>
      <x:c r="O1167" s="20" t="n">
        <x:f>N1167-M1167</x:f>
        <x:v>80</x:v>
      </x:c>
    </x:row>
    <x:row r="1168" ht="22" customHeight="1">
      <x:c r="A1168" s="11" t="n">
        <x:v>1164</x:v>
      </x:c>
      <x:c r="B1168" s="11" t="n">
        <x:v>586</x:v>
      </x:c>
      <x:c r="C1168" s="18" t="n">
        <x:v>45909</x:v>
      </x:c>
      <x:c r="D1168" s="11" t="str">
        <x:v>2025-09</x:v>
      </x:c>
      <x:c r="E1168" s="11" t="str">
        <x:v>South</x:v>
      </x:c>
      <x:c r="F1168" s="11" t="str">
        <x:v>Furniture</x:v>
      </x:c>
      <x:c r="G1168" s="11" t="str">
        <x:v>Chair</x:v>
      </x:c>
      <x:c r="H1168" s="11" t="n">
        <x:v>4</x:v>
      </x:c>
      <x:c r="I1168" s="19" t="n">
        <x:v>0.05</x:v>
      </x:c>
      <x:c r="J1168" s="11" t="n">
        <x:v>0</x:v>
      </x:c>
      <x:c r="K1168" s="20" t="n">
        <x:v>680</x:v>
      </x:c>
      <x:c r="L1168" s="20" t="n">
        <x:v>34</x:v>
      </x:c>
      <x:c r="M1168" s="20" t="n">
        <x:v>440</x:v>
      </x:c>
      <x:c r="N1168" s="20" t="n">
        <x:f>IF(J1168=1,0,K1168-L1168)</x:f>
        <x:v>646</x:v>
      </x:c>
      <x:c r="O1168" s="20" t="n">
        <x:f>N1168-M1168</x:f>
        <x:v>206</x:v>
      </x:c>
    </x:row>
    <x:row r="1169" ht="22" customHeight="1">
      <x:c r="A1169" s="11" t="n">
        <x:v>1165</x:v>
      </x:c>
      <x:c r="B1169" s="11" t="n">
        <x:v>586</x:v>
      </x:c>
      <x:c r="C1169" s="18" t="n">
        <x:v>45909</x:v>
      </x:c>
      <x:c r="D1169" s="11" t="str">
        <x:v>2025-09</x:v>
      </x:c>
      <x:c r="E1169" s="11" t="str">
        <x:v>South</x:v>
      </x:c>
      <x:c r="F1169" s="11" t="str">
        <x:v>Technology</x:v>
      </x:c>
      <x:c r="G1169" s="11" t="str">
        <x:v>Keyboard</x:v>
      </x:c>
      <x:c r="H1169" s="11" t="n">
        <x:v>2</x:v>
      </x:c>
      <x:c r="I1169" s="19" t="n">
        <x:v>0</x:v>
      </x:c>
      <x:c r="J1169" s="11" t="n">
        <x:v>0</x:v>
      </x:c>
      <x:c r="K1169" s="20" t="n">
        <x:v>130</x:v>
      </x:c>
      <x:c r="L1169" s="20" t="n">
        <x:v>0</x:v>
      </x:c>
      <x:c r="M1169" s="20" t="n">
        <x:v>64</x:v>
      </x:c>
      <x:c r="N1169" s="20" t="n">
        <x:f>IF(J1169=1,0,K1169-L1169)</x:f>
        <x:v>130</x:v>
      </x:c>
      <x:c r="O1169" s="20" t="n">
        <x:f>N1169-M1169</x:f>
        <x:v>66</x:v>
      </x:c>
    </x:row>
    <x:row r="1170" ht="22" customHeight="1">
      <x:c r="A1170" s="11" t="n">
        <x:v>1166</x:v>
      </x:c>
      <x:c r="B1170" s="11" t="n">
        <x:v>587</x:v>
      </x:c>
      <x:c r="C1170" s="18" t="n">
        <x:v>45346</x:v>
      </x:c>
      <x:c r="D1170" s="11" t="str">
        <x:v>2024-02</x:v>
      </x:c>
      <x:c r="E1170" s="11" t="str">
        <x:v>Central</x:v>
      </x:c>
      <x:c r="F1170" s="11" t="str">
        <x:v>Furniture</x:v>
      </x:c>
      <x:c r="G1170" s="11" t="str">
        <x:v>Desk</x:v>
      </x:c>
      <x:c r="H1170" s="11" t="n">
        <x:v>5</x:v>
      </x:c>
      <x:c r="I1170" s="19" t="n">
        <x:v>0.15</x:v>
      </x:c>
      <x:c r="J1170" s="11" t="n">
        <x:v>0</x:v>
      </x:c>
      <x:c r="K1170" s="20" t="n">
        <x:v>1400</x:v>
      </x:c>
      <x:c r="L1170" s="20" t="n">
        <x:v>210</x:v>
      </x:c>
      <x:c r="M1170" s="20" t="n">
        <x:v>950</x:v>
      </x:c>
      <x:c r="N1170" s="20" t="n">
        <x:f>IF(J1170=1,0,K1170-L1170)</x:f>
        <x:v>1190</x:v>
      </x:c>
      <x:c r="O1170" s="20" t="n">
        <x:f>N1170-M1170</x:f>
        <x:v>240</x:v>
      </x:c>
    </x:row>
    <x:row r="1171" ht="22" customHeight="1">
      <x:c r="A1171" s="11" t="n">
        <x:v>1167</x:v>
      </x:c>
      <x:c r="B1171" s="11" t="n">
        <x:v>587</x:v>
      </x:c>
      <x:c r="C1171" s="18" t="n">
        <x:v>45346</x:v>
      </x:c>
      <x:c r="D1171" s="11" t="str">
        <x:v>2024-02</x:v>
      </x:c>
      <x:c r="E1171" s="11" t="str">
        <x:v>Central</x:v>
      </x:c>
      <x:c r="F1171" s="11" t="str">
        <x:v>Furniture</x:v>
      </x:c>
      <x:c r="G1171" s="11" t="str">
        <x:v>Chair</x:v>
      </x:c>
      <x:c r="H1171" s="11" t="n">
        <x:v>5</x:v>
      </x:c>
      <x:c r="I1171" s="19" t="n">
        <x:v>0</x:v>
      </x:c>
      <x:c r="J1171" s="11" t="n">
        <x:v>0</x:v>
      </x:c>
      <x:c r="K1171" s="20" t="n">
        <x:v>850</x:v>
      </x:c>
      <x:c r="L1171" s="20" t="n">
        <x:v>0</x:v>
      </x:c>
      <x:c r="M1171" s="20" t="n">
        <x:v>550</x:v>
      </x:c>
      <x:c r="N1171" s="20" t="n">
        <x:f>IF(J1171=1,0,K1171-L1171)</x:f>
        <x:v>850</x:v>
      </x:c>
      <x:c r="O1171" s="20" t="n">
        <x:f>N1171-M1171</x:f>
        <x:v>300</x:v>
      </x:c>
    </x:row>
    <x:row r="1172" ht="22" customHeight="1">
      <x:c r="A1172" s="11" t="n">
        <x:v>1168</x:v>
      </x:c>
      <x:c r="B1172" s="11" t="n">
        <x:v>587</x:v>
      </x:c>
      <x:c r="C1172" s="18" t="n">
        <x:v>45346</x:v>
      </x:c>
      <x:c r="D1172" s="11" t="str">
        <x:v>2024-02</x:v>
      </x:c>
      <x:c r="E1172" s="11" t="str">
        <x:v>Central</x:v>
      </x:c>
      <x:c r="F1172" s="11" t="str">
        <x:v>Technology</x:v>
      </x:c>
      <x:c r="G1172" s="11" t="str">
        <x:v>Keyboard</x:v>
      </x:c>
      <x:c r="H1172" s="11" t="n">
        <x:v>5</x:v>
      </x:c>
      <x:c r="I1172" s="19" t="n">
        <x:v>0.1</x:v>
      </x:c>
      <x:c r="J1172" s="11" t="n">
        <x:v>0</x:v>
      </x:c>
      <x:c r="K1172" s="20" t="n">
        <x:v>325</x:v>
      </x:c>
      <x:c r="L1172" s="20" t="n">
        <x:v>32.5</x:v>
      </x:c>
      <x:c r="M1172" s="20" t="n">
        <x:v>160</x:v>
      </x:c>
      <x:c r="N1172" s="20" t="n">
        <x:f>IF(J1172=1,0,K1172-L1172)</x:f>
        <x:v>292.5</x:v>
      </x:c>
      <x:c r="O1172" s="20" t="n">
        <x:f>N1172-M1172</x:f>
        <x:v>132.5</x:v>
      </x:c>
    </x:row>
    <x:row r="1173" ht="22" customHeight="1">
      <x:c r="A1173" s="11" t="n">
        <x:v>1169</x:v>
      </x:c>
      <x:c r="B1173" s="11" t="n">
        <x:v>588</x:v>
      </x:c>
      <x:c r="C1173" s="18" t="n">
        <x:v>45498</x:v>
      </x:c>
      <x:c r="D1173" s="11" t="str">
        <x:v>2024-07</x:v>
      </x:c>
      <x:c r="E1173" s="11" t="str">
        <x:v>West</x:v>
      </x:c>
      <x:c r="F1173" s="11" t="str">
        <x:v>Office Supplies</x:v>
      </x:c>
      <x:c r="G1173" s="11" t="str">
        <x:v>Notebook pack</x:v>
      </x:c>
      <x:c r="H1173" s="11" t="n">
        <x:v>5</x:v>
      </x:c>
      <x:c r="I1173" s="19" t="n">
        <x:v>0.05</x:v>
      </x:c>
      <x:c r="J1173" s="11" t="n">
        <x:v>0</x:v>
      </x:c>
      <x:c r="K1173" s="20" t="n">
        <x:v>90</x:v>
      </x:c>
      <x:c r="L1173" s="20" t="n">
        <x:v>4.5</x:v>
      </x:c>
      <x:c r="M1173" s="20" t="n">
        <x:v>35</x:v>
      </x:c>
      <x:c r="N1173" s="20" t="n">
        <x:f>IF(J1173=1,0,K1173-L1173)</x:f>
        <x:v>85.5</x:v>
      </x:c>
      <x:c r="O1173" s="20" t="n">
        <x:f>N1173-M1173</x:f>
        <x:v>50.5</x:v>
      </x:c>
    </x:row>
    <x:row r="1174" ht="22" customHeight="1">
      <x:c r="A1174" s="11" t="n">
        <x:v>1170</x:v>
      </x:c>
      <x:c r="B1174" s="11" t="n">
        <x:v>588</x:v>
      </x:c>
      <x:c r="C1174" s="18" t="n">
        <x:v>45498</x:v>
      </x:c>
      <x:c r="D1174" s="11" t="str">
        <x:v>2024-07</x:v>
      </x:c>
      <x:c r="E1174" s="11" t="str">
        <x:v>West</x:v>
      </x:c>
      <x:c r="F1174" s="11" t="str">
        <x:v>Technology</x:v>
      </x:c>
      <x:c r="G1174" s="11" t="str">
        <x:v>Monitor</x:v>
      </x:c>
      <x:c r="H1174" s="11" t="n">
        <x:v>5</x:v>
      </x:c>
      <x:c r="I1174" s="19" t="n">
        <x:v>0.15</x:v>
      </x:c>
      <x:c r="J1174" s="11" t="n">
        <x:v>1</x:v>
      </x:c>
      <x:c r="K1174" s="20" t="n">
        <x:v>1200</x:v>
      </x:c>
      <x:c r="L1174" s="20" t="n">
        <x:v>180</x:v>
      </x:c>
      <x:c r="M1174" s="20" t="n">
        <x:v>0</x:v>
      </x:c>
      <x:c r="N1174" s="20" t="n">
        <x:f>IF(J1174=1,0,K1174-L1174)</x:f>
        <x:v>0</x:v>
      </x:c>
      <x:c r="O1174" s="20" t="n">
        <x:f>N1174-M1174</x:f>
        <x:v>0</x:v>
      </x:c>
    </x:row>
    <x:row r="1175" ht="22" customHeight="1">
      <x:c r="A1175" s="11" t="n">
        <x:v>1171</x:v>
      </x:c>
      <x:c r="B1175" s="11" t="n">
        <x:v>589</x:v>
      </x:c>
      <x:c r="C1175" s="18" t="n">
        <x:v>45324</x:v>
      </x:c>
      <x:c r="D1175" s="11" t="str">
        <x:v>2024-02</x:v>
      </x:c>
      <x:c r="E1175" s="11" t="str">
        <x:v>West</x:v>
      </x:c>
      <x:c r="F1175" s="11" t="str">
        <x:v>Technology</x:v>
      </x:c>
      <x:c r="G1175" s="11" t="str">
        <x:v>Keyboard</x:v>
      </x:c>
      <x:c r="H1175" s="11" t="n">
        <x:v>4</x:v>
      </x:c>
      <x:c r="I1175" s="19" t="n">
        <x:v>0.1</x:v>
      </x:c>
      <x:c r="J1175" s="11" t="n">
        <x:v>0</x:v>
      </x:c>
      <x:c r="K1175" s="20" t="n">
        <x:v>260</x:v>
      </x:c>
      <x:c r="L1175" s="20" t="n">
        <x:v>26</x:v>
      </x:c>
      <x:c r="M1175" s="20" t="n">
        <x:v>128</x:v>
      </x:c>
      <x:c r="N1175" s="20" t="n">
        <x:f>IF(J1175=1,0,K1175-L1175)</x:f>
        <x:v>234</x:v>
      </x:c>
      <x:c r="O1175" s="20" t="n">
        <x:f>N1175-M1175</x:f>
        <x:v>106</x:v>
      </x:c>
    </x:row>
    <x:row r="1176" ht="22" customHeight="1">
      <x:c r="A1176" s="11" t="n">
        <x:v>1172</x:v>
      </x:c>
      <x:c r="B1176" s="11" t="n">
        <x:v>589</x:v>
      </x:c>
      <x:c r="C1176" s="18" t="n">
        <x:v>45324</x:v>
      </x:c>
      <x:c r="D1176" s="11" t="str">
        <x:v>2024-02</x:v>
      </x:c>
      <x:c r="E1176" s="11" t="str">
        <x:v>West</x:v>
      </x:c>
      <x:c r="F1176" s="11" t="str">
        <x:v>Technology</x:v>
      </x:c>
      <x:c r="G1176" s="11" t="str">
        <x:v>Monitor</x:v>
      </x:c>
      <x:c r="H1176" s="11" t="n">
        <x:v>1</x:v>
      </x:c>
      <x:c r="I1176" s="19" t="n">
        <x:v>0</x:v>
      </x:c>
      <x:c r="J1176" s="11" t="n">
        <x:v>0</x:v>
      </x:c>
      <x:c r="K1176" s="20" t="n">
        <x:v>240</x:v>
      </x:c>
      <x:c r="L1176" s="20" t="n">
        <x:v>0</x:v>
      </x:c>
      <x:c r="M1176" s="20" t="n">
        <x:v>160</x:v>
      </x:c>
      <x:c r="N1176" s="20" t="n">
        <x:f>IF(J1176=1,0,K1176-L1176)</x:f>
        <x:v>240</x:v>
      </x:c>
      <x:c r="O1176" s="20" t="n">
        <x:f>N1176-M1176</x:f>
        <x:v>80</x:v>
      </x:c>
    </x:row>
    <x:row r="1177" ht="22" customHeight="1">
      <x:c r="A1177" s="11" t="n">
        <x:v>1173</x:v>
      </x:c>
      <x:c r="B1177" s="11" t="n">
        <x:v>590</x:v>
      </x:c>
      <x:c r="C1177" s="18" t="n">
        <x:v>45602</x:v>
      </x:c>
      <x:c r="D1177" s="11" t="str">
        <x:v>2024-11</x:v>
      </x:c>
      <x:c r="E1177" s="11" t="str">
        <x:v>South</x:v>
      </x:c>
      <x:c r="F1177" s="11" t="str">
        <x:v>Technology</x:v>
      </x:c>
      <x:c r="G1177" s="11" t="str">
        <x:v>Keyboard</x:v>
      </x:c>
      <x:c r="H1177" s="11" t="n">
        <x:v>3</x:v>
      </x:c>
      <x:c r="I1177" s="19" t="n">
        <x:v>0.1</x:v>
      </x:c>
      <x:c r="J1177" s="11" t="n">
        <x:v>0</x:v>
      </x:c>
      <x:c r="K1177" s="20" t="n">
        <x:v>195</x:v>
      </x:c>
      <x:c r="L1177" s="20" t="n">
        <x:v>19.5</x:v>
      </x:c>
      <x:c r="M1177" s="20" t="n">
        <x:v>96</x:v>
      </x:c>
      <x:c r="N1177" s="20" t="n">
        <x:f>IF(J1177=1,0,K1177-L1177)</x:f>
        <x:v>175.5</x:v>
      </x:c>
      <x:c r="O1177" s="20" t="n">
        <x:f>N1177-M1177</x:f>
        <x:v>79.5</x:v>
      </x:c>
    </x:row>
    <x:row r="1178" ht="22" customHeight="1">
      <x:c r="A1178" s="11" t="n">
        <x:v>1174</x:v>
      </x:c>
      <x:c r="B1178" s="11" t="n">
        <x:v>590</x:v>
      </x:c>
      <x:c r="C1178" s="18" t="n">
        <x:v>45602</x:v>
      </x:c>
      <x:c r="D1178" s="11" t="str">
        <x:v>2024-11</x:v>
      </x:c>
      <x:c r="E1178" s="11" t="str">
        <x:v>South</x:v>
      </x:c>
      <x:c r="F1178" s="11" t="str">
        <x:v>Furniture</x:v>
      </x:c>
      <x:c r="G1178" s="11" t="str">
        <x:v>Chair</x:v>
      </x:c>
      <x:c r="H1178" s="11" t="n">
        <x:v>1</x:v>
      </x:c>
      <x:c r="I1178" s="19" t="n">
        <x:v>0.35</x:v>
      </x:c>
      <x:c r="J1178" s="11" t="n">
        <x:v>0</x:v>
      </x:c>
      <x:c r="K1178" s="20" t="n">
        <x:v>170</x:v>
      </x:c>
      <x:c r="L1178" s="20" t="n">
        <x:v>59.5</x:v>
      </x:c>
      <x:c r="M1178" s="20" t="n">
        <x:v>110</x:v>
      </x:c>
      <x:c r="N1178" s="20" t="n">
        <x:f>IF(J1178=1,0,K1178-L1178)</x:f>
        <x:v>110.5</x:v>
      </x:c>
      <x:c r="O1178" s="20" t="n">
        <x:f>N1178-M1178</x:f>
        <x:v>0.5</x:v>
      </x:c>
    </x:row>
    <x:row r="1179" ht="22" customHeight="1">
      <x:c r="A1179" s="11" t="n">
        <x:v>1175</x:v>
      </x:c>
      <x:c r="B1179" s="11" t="n">
        <x:v>591</x:v>
      </x:c>
      <x:c r="C1179" s="18" t="n">
        <x:v>45993</x:v>
      </x:c>
      <x:c r="D1179" s="11" t="str">
        <x:v>2025-12</x:v>
      </x:c>
      <x:c r="E1179" s="11" t="str">
        <x:v>East</x:v>
      </x:c>
      <x:c r="F1179" s="11" t="str">
        <x:v>Office Supplies</x:v>
      </x:c>
      <x:c r="G1179" s="11" t="str">
        <x:v>Notebook pack</x:v>
      </x:c>
      <x:c r="H1179" s="11" t="n">
        <x:v>5</x:v>
      </x:c>
      <x:c r="I1179" s="19" t="n">
        <x:v>0</x:v>
      </x:c>
      <x:c r="J1179" s="11" t="n">
        <x:v>0</x:v>
      </x:c>
      <x:c r="K1179" s="20" t="n">
        <x:v>90</x:v>
      </x:c>
      <x:c r="L1179" s="20" t="n">
        <x:v>0</x:v>
      </x:c>
      <x:c r="M1179" s="20" t="n">
        <x:v>35</x:v>
      </x:c>
      <x:c r="N1179" s="20" t="n">
        <x:f>IF(J1179=1,0,K1179-L1179)</x:f>
        <x:v>90</x:v>
      </x:c>
      <x:c r="O1179" s="20" t="n">
        <x:f>N1179-M1179</x:f>
        <x:v>55</x:v>
      </x:c>
    </x:row>
    <x:row r="1180" ht="22" customHeight="1">
      <x:c r="A1180" s="11" t="n">
        <x:v>1176</x:v>
      </x:c>
      <x:c r="B1180" s="11" t="n">
        <x:v>591</x:v>
      </x:c>
      <x:c r="C1180" s="18" t="n">
        <x:v>45993</x:v>
      </x:c>
      <x:c r="D1180" s="11" t="str">
        <x:v>2025-12</x:v>
      </x:c>
      <x:c r="E1180" s="11" t="str">
        <x:v>East</x:v>
      </x:c>
      <x:c r="F1180" s="11" t="str">
        <x:v>Furniture</x:v>
      </x:c>
      <x:c r="G1180" s="11" t="str">
        <x:v>Chair</x:v>
      </x:c>
      <x:c r="H1180" s="11" t="n">
        <x:v>4</x:v>
      </x:c>
      <x:c r="I1180" s="19" t="n">
        <x:v>0.25</x:v>
      </x:c>
      <x:c r="J1180" s="11" t="n">
        <x:v>0</x:v>
      </x:c>
      <x:c r="K1180" s="20" t="n">
        <x:v>680</x:v>
      </x:c>
      <x:c r="L1180" s="20" t="n">
        <x:v>170</x:v>
      </x:c>
      <x:c r="M1180" s="20" t="n">
        <x:v>440</x:v>
      </x:c>
      <x:c r="N1180" s="20" t="n">
        <x:f>IF(J1180=1,0,K1180-L1180)</x:f>
        <x:v>510</x:v>
      </x:c>
      <x:c r="O1180" s="20" t="n">
        <x:f>N1180-M1180</x:f>
        <x:v>70</x:v>
      </x:c>
    </x:row>
    <x:row r="1181" ht="22" customHeight="1">
      <x:c r="A1181" s="11" t="n">
        <x:v>1177</x:v>
      </x:c>
      <x:c r="B1181" s="11" t="n">
        <x:v>592</x:v>
      </x:c>
      <x:c r="C1181" s="18" t="n">
        <x:v>45653</x:v>
      </x:c>
      <x:c r="D1181" s="11" t="str">
        <x:v>2024-12</x:v>
      </x:c>
      <x:c r="E1181" s="11" t="str">
        <x:v>South</x:v>
      </x:c>
      <x:c r="F1181" s="11" t="str">
        <x:v>Furniture</x:v>
      </x:c>
      <x:c r="G1181" s="11" t="str">
        <x:v>Desk</x:v>
      </x:c>
      <x:c r="H1181" s="11" t="n">
        <x:v>5</x:v>
      </x:c>
      <x:c r="I1181" s="19" t="n">
        <x:v>0</x:v>
      </x:c>
      <x:c r="J1181" s="11" t="n">
        <x:v>0</x:v>
      </x:c>
      <x:c r="K1181" s="20" t="n">
        <x:v>1400</x:v>
      </x:c>
      <x:c r="L1181" s="20" t="n">
        <x:v>0</x:v>
      </x:c>
      <x:c r="M1181" s="20" t="n">
        <x:v>950</x:v>
      </x:c>
      <x:c r="N1181" s="20" t="n">
        <x:f>IF(J1181=1,0,K1181-L1181)</x:f>
        <x:v>1400</x:v>
      </x:c>
      <x:c r="O1181" s="20" t="n">
        <x:f>N1181-M1181</x:f>
        <x:v>450</x:v>
      </x:c>
    </x:row>
    <x:row r="1182" ht="22" customHeight="1">
      <x:c r="A1182" s="11" t="n">
        <x:v>1178</x:v>
      </x:c>
      <x:c r="B1182" s="11" t="n">
        <x:v>592</x:v>
      </x:c>
      <x:c r="C1182" s="18" t="n">
        <x:v>45653</x:v>
      </x:c>
      <x:c r="D1182" s="11" t="str">
        <x:v>2024-12</x:v>
      </x:c>
      <x:c r="E1182" s="11" t="str">
        <x:v>South</x:v>
      </x:c>
      <x:c r="F1182" s="11" t="str">
        <x:v>Office Supplies</x:v>
      </x:c>
      <x:c r="G1182" s="11" t="str">
        <x:v>Storage box</x:v>
      </x:c>
      <x:c r="H1182" s="11" t="n">
        <x:v>3</x:v>
      </x:c>
      <x:c r="I1182" s="19" t="n">
        <x:v>0.05</x:v>
      </x:c>
      <x:c r="J1182" s="11" t="n">
        <x:v>0</x:v>
      </x:c>
      <x:c r="K1182" s="20" t="n">
        <x:v>78</x:v>
      </x:c>
      <x:c r="L1182" s="20" t="n">
        <x:v>3.9</x:v>
      </x:c>
      <x:c r="M1182" s="20" t="n">
        <x:v>36</x:v>
      </x:c>
      <x:c r="N1182" s="20" t="n">
        <x:f>IF(J1182=1,0,K1182-L1182)</x:f>
        <x:v>74.1</x:v>
      </x:c>
      <x:c r="O1182" s="20" t="n">
        <x:f>N1182-M1182</x:f>
        <x:v>38.099999999999994</x:v>
      </x:c>
    </x:row>
    <x:row r="1183" ht="22" customHeight="1">
      <x:c r="A1183" s="11" t="n">
        <x:v>1179</x:v>
      </x:c>
      <x:c r="B1183" s="11" t="n">
        <x:v>593</x:v>
      </x:c>
      <x:c r="C1183" s="18" t="n">
        <x:v>45889</x:v>
      </x:c>
      <x:c r="D1183" s="11" t="str">
        <x:v>2025-08</x:v>
      </x:c>
      <x:c r="E1183" s="11" t="str">
        <x:v>West</x:v>
      </x:c>
      <x:c r="F1183" s="11" t="str">
        <x:v>Furniture</x:v>
      </x:c>
      <x:c r="G1183" s="11" t="str">
        <x:v>Desk</x:v>
      </x:c>
      <x:c r="H1183" s="11" t="n">
        <x:v>3</x:v>
      </x:c>
      <x:c r="I1183" s="19" t="n">
        <x:v>0.15</x:v>
      </x:c>
      <x:c r="J1183" s="11" t="n">
        <x:v>0</x:v>
      </x:c>
      <x:c r="K1183" s="20" t="n">
        <x:v>840</x:v>
      </x:c>
      <x:c r="L1183" s="20" t="n">
        <x:v>126</x:v>
      </x:c>
      <x:c r="M1183" s="20" t="n">
        <x:v>570</x:v>
      </x:c>
      <x:c r="N1183" s="20" t="n">
        <x:f>IF(J1183=1,0,K1183-L1183)</x:f>
        <x:v>714</x:v>
      </x:c>
      <x:c r="O1183" s="20" t="n">
        <x:f>N1183-M1183</x:f>
        <x:v>144</x:v>
      </x:c>
    </x:row>
    <x:row r="1184" ht="22" customHeight="1">
      <x:c r="A1184" s="11" t="n">
        <x:v>1180</x:v>
      </x:c>
      <x:c r="B1184" s="11" t="n">
        <x:v>593</x:v>
      </x:c>
      <x:c r="C1184" s="18" t="n">
        <x:v>45889</x:v>
      </x:c>
      <x:c r="D1184" s="11" t="str">
        <x:v>2025-08</x:v>
      </x:c>
      <x:c r="E1184" s="11" t="str">
        <x:v>West</x:v>
      </x:c>
      <x:c r="F1184" s="11" t="str">
        <x:v>Technology</x:v>
      </x:c>
      <x:c r="G1184" s="11" t="str">
        <x:v>Keyboard</x:v>
      </x:c>
      <x:c r="H1184" s="11" t="n">
        <x:v>1</x:v>
      </x:c>
      <x:c r="I1184" s="19" t="n">
        <x:v>0</x:v>
      </x:c>
      <x:c r="J1184" s="11" t="n">
        <x:v>0</x:v>
      </x:c>
      <x:c r="K1184" s="20" t="n">
        <x:v>65</x:v>
      </x:c>
      <x:c r="L1184" s="20" t="n">
        <x:v>0</x:v>
      </x:c>
      <x:c r="M1184" s="20" t="n">
        <x:v>32</x:v>
      </x:c>
      <x:c r="N1184" s="20" t="n">
        <x:f>IF(J1184=1,0,K1184-L1184)</x:f>
        <x:v>65</x:v>
      </x:c>
      <x:c r="O1184" s="20" t="n">
        <x:f>N1184-M1184</x:f>
        <x:v>33</x:v>
      </x:c>
    </x:row>
    <x:row r="1185" ht="22" customHeight="1">
      <x:c r="A1185" s="11" t="n">
        <x:v>1181</x:v>
      </x:c>
      <x:c r="B1185" s="11" t="n">
        <x:v>594</x:v>
      </x:c>
      <x:c r="C1185" s="18" t="n">
        <x:v>45955</x:v>
      </x:c>
      <x:c r="D1185" s="11" t="str">
        <x:v>2025-10</x:v>
      </x:c>
      <x:c r="E1185" s="11" t="str">
        <x:v>East</x:v>
      </x:c>
      <x:c r="F1185" s="11" t="str">
        <x:v>Furniture</x:v>
      </x:c>
      <x:c r="G1185" s="11" t="str">
        <x:v>Desk</x:v>
      </x:c>
      <x:c r="H1185" s="11" t="n">
        <x:v>3</x:v>
      </x:c>
      <x:c r="I1185" s="19" t="n">
        <x:v>0</x:v>
      </x:c>
      <x:c r="J1185" s="11" t="n">
        <x:v>1</x:v>
      </x:c>
      <x:c r="K1185" s="20" t="n">
        <x:v>840</x:v>
      </x:c>
      <x:c r="L1185" s="20" t="n">
        <x:v>0</x:v>
      </x:c>
      <x:c r="M1185" s="20" t="n">
        <x:v>0</x:v>
      </x:c>
      <x:c r="N1185" s="20" t="n">
        <x:f>IF(J1185=1,0,K1185-L1185)</x:f>
        <x:v>0</x:v>
      </x:c>
      <x:c r="O1185" s="20" t="n">
        <x:f>N1185-M1185</x:f>
        <x:v>0</x:v>
      </x:c>
    </x:row>
    <x:row r="1186" ht="22" customHeight="1">
      <x:c r="A1186" s="11" t="n">
        <x:v>1182</x:v>
      </x:c>
      <x:c r="B1186" s="11" t="n">
        <x:v>594</x:v>
      </x:c>
      <x:c r="C1186" s="18" t="n">
        <x:v>45955</x:v>
      </x:c>
      <x:c r="D1186" s="11" t="str">
        <x:v>2025-10</x:v>
      </x:c>
      <x:c r="E1186" s="11" t="str">
        <x:v>East</x:v>
      </x:c>
      <x:c r="F1186" s="11" t="str">
        <x:v>Technology</x:v>
      </x:c>
      <x:c r="G1186" s="11" t="str">
        <x:v>Monitor</x:v>
      </x:c>
      <x:c r="H1186" s="11" t="n">
        <x:v>3</x:v>
      </x:c>
      <x:c r="I1186" s="19" t="n">
        <x:v>0</x:v>
      </x:c>
      <x:c r="J1186" s="11" t="n">
        <x:v>0</x:v>
      </x:c>
      <x:c r="K1186" s="20" t="n">
        <x:v>720</x:v>
      </x:c>
      <x:c r="L1186" s="20" t="n">
        <x:v>0</x:v>
      </x:c>
      <x:c r="M1186" s="20" t="n">
        <x:v>480</x:v>
      </x:c>
      <x:c r="N1186" s="20" t="n">
        <x:f>IF(J1186=1,0,K1186-L1186)</x:f>
        <x:v>720</x:v>
      </x:c>
      <x:c r="O1186" s="20" t="n">
        <x:f>N1186-M1186</x:f>
        <x:v>240</x:v>
      </x:c>
    </x:row>
    <x:row r="1187" ht="22" customHeight="1">
      <x:c r="A1187" s="11" t="n">
        <x:v>1183</x:v>
      </x:c>
      <x:c r="B1187" s="11" t="n">
        <x:v>594</x:v>
      </x:c>
      <x:c r="C1187" s="18" t="n">
        <x:v>45955</x:v>
      </x:c>
      <x:c r="D1187" s="11" t="str">
        <x:v>2025-10</x:v>
      </x:c>
      <x:c r="E1187" s="11" t="str">
        <x:v>East</x:v>
      </x:c>
      <x:c r="F1187" s="11" t="str">
        <x:v>Office Supplies</x:v>
      </x:c>
      <x:c r="G1187" s="11" t="str">
        <x:v>Storage box</x:v>
      </x:c>
      <x:c r="H1187" s="11" t="n">
        <x:v>4</x:v>
      </x:c>
      <x:c r="I1187" s="19" t="n">
        <x:v>0.15</x:v>
      </x:c>
      <x:c r="J1187" s="11" t="n">
        <x:v>0</x:v>
      </x:c>
      <x:c r="K1187" s="20" t="n">
        <x:v>104</x:v>
      </x:c>
      <x:c r="L1187" s="20" t="n">
        <x:v>15.6</x:v>
      </x:c>
      <x:c r="M1187" s="20" t="n">
        <x:v>48</x:v>
      </x:c>
      <x:c r="N1187" s="20" t="n">
        <x:f>IF(J1187=1,0,K1187-L1187)</x:f>
        <x:v>88.4</x:v>
      </x:c>
      <x:c r="O1187" s="20" t="n">
        <x:f>N1187-M1187</x:f>
        <x:v>40.400000000000006</x:v>
      </x:c>
    </x:row>
    <x:row r="1188" ht="22" customHeight="1">
      <x:c r="A1188" s="11" t="n">
        <x:v>1184</x:v>
      </x:c>
      <x:c r="B1188" s="11" t="n">
        <x:v>595</x:v>
      </x:c>
      <x:c r="C1188" s="18" t="n">
        <x:v>45723</x:v>
      </x:c>
      <x:c r="D1188" s="11" t="str">
        <x:v>2025-03</x:v>
      </x:c>
      <x:c r="E1188" s="11" t="str">
        <x:v>West</x:v>
      </x:c>
      <x:c r="F1188" s="11" t="str">
        <x:v>Technology</x:v>
      </x:c>
      <x:c r="G1188" s="11" t="str">
        <x:v>Keyboard</x:v>
      </x:c>
      <x:c r="H1188" s="11" t="n">
        <x:v>3</x:v>
      </x:c>
      <x:c r="I1188" s="19" t="n">
        <x:v>0.1</x:v>
      </x:c>
      <x:c r="J1188" s="11" t="n">
        <x:v>0</x:v>
      </x:c>
      <x:c r="K1188" s="20" t="n">
        <x:v>195</x:v>
      </x:c>
      <x:c r="L1188" s="20" t="n">
        <x:v>19.5</x:v>
      </x:c>
      <x:c r="M1188" s="20" t="n">
        <x:v>96</x:v>
      </x:c>
      <x:c r="N1188" s="20" t="n">
        <x:f>IF(J1188=1,0,K1188-L1188)</x:f>
        <x:v>175.5</x:v>
      </x:c>
      <x:c r="O1188" s="20" t="n">
        <x:f>N1188-M1188</x:f>
        <x:v>79.5</x:v>
      </x:c>
    </x:row>
    <x:row r="1189" ht="22" customHeight="1">
      <x:c r="A1189" s="11" t="n">
        <x:v>1185</x:v>
      </x:c>
      <x:c r="B1189" s="11" t="n">
        <x:v>595</x:v>
      </x:c>
      <x:c r="C1189" s="18" t="n">
        <x:v>45723</x:v>
      </x:c>
      <x:c r="D1189" s="11" t="str">
        <x:v>2025-03</x:v>
      </x:c>
      <x:c r="E1189" s="11" t="str">
        <x:v>West</x:v>
      </x:c>
      <x:c r="F1189" s="11" t="str">
        <x:v>Office Supplies</x:v>
      </x:c>
      <x:c r="G1189" s="11" t="str">
        <x:v>Notebook pack</x:v>
      </x:c>
      <x:c r="H1189" s="11" t="n">
        <x:v>3</x:v>
      </x:c>
      <x:c r="I1189" s="19" t="n">
        <x:v>0.15</x:v>
      </x:c>
      <x:c r="J1189" s="11" t="n">
        <x:v>0</x:v>
      </x:c>
      <x:c r="K1189" s="20" t="n">
        <x:v>54</x:v>
      </x:c>
      <x:c r="L1189" s="20" t="n">
        <x:v>8.1</x:v>
      </x:c>
      <x:c r="M1189" s="20" t="n">
        <x:v>21</x:v>
      </x:c>
      <x:c r="N1189" s="20" t="n">
        <x:f>IF(J1189=1,0,K1189-L1189)</x:f>
        <x:v>45.9</x:v>
      </x:c>
      <x:c r="O1189" s="20" t="n">
        <x:f>N1189-M1189</x:f>
        <x:v>24.9</x:v>
      </x:c>
    </x:row>
    <x:row r="1190" ht="22" customHeight="1">
      <x:c r="A1190" s="11" t="n">
        <x:v>1186</x:v>
      </x:c>
      <x:c r="B1190" s="11" t="n">
        <x:v>595</x:v>
      </x:c>
      <x:c r="C1190" s="18" t="n">
        <x:v>45723</x:v>
      </x:c>
      <x:c r="D1190" s="11" t="str">
        <x:v>2025-03</x:v>
      </x:c>
      <x:c r="E1190" s="11" t="str">
        <x:v>West</x:v>
      </x:c>
      <x:c r="F1190" s="11" t="str">
        <x:v>Furniture</x:v>
      </x:c>
      <x:c r="G1190" s="11" t="str">
        <x:v>Desk</x:v>
      </x:c>
      <x:c r="H1190" s="11" t="n">
        <x:v>4</x:v>
      </x:c>
      <x:c r="I1190" s="19" t="n">
        <x:v>0</x:v>
      </x:c>
      <x:c r="J1190" s="11" t="n">
        <x:v>0</x:v>
      </x:c>
      <x:c r="K1190" s="20" t="n">
        <x:v>1120</x:v>
      </x:c>
      <x:c r="L1190" s="20" t="n">
        <x:v>0</x:v>
      </x:c>
      <x:c r="M1190" s="20" t="n">
        <x:v>760</x:v>
      </x:c>
      <x:c r="N1190" s="20" t="n">
        <x:f>IF(J1190=1,0,K1190-L1190)</x:f>
        <x:v>1120</x:v>
      </x:c>
      <x:c r="O1190" s="20" t="n">
        <x:f>N1190-M1190</x:f>
        <x:v>360</x:v>
      </x:c>
    </x:row>
    <x:row r="1191" ht="22" customHeight="1">
      <x:c r="A1191" s="11" t="n">
        <x:v>1187</x:v>
      </x:c>
      <x:c r="B1191" s="11" t="n">
        <x:v>596</x:v>
      </x:c>
      <x:c r="C1191" s="18" t="n">
        <x:v>45502</x:v>
      </x:c>
      <x:c r="D1191" s="11" t="str">
        <x:v>2024-07</x:v>
      </x:c>
      <x:c r="E1191" s="11" t="str">
        <x:v>South</x:v>
      </x:c>
      <x:c r="F1191" s="11" t="str">
        <x:v>Office Supplies</x:v>
      </x:c>
      <x:c r="G1191" s="11" t="str">
        <x:v>Storage box</x:v>
      </x:c>
      <x:c r="H1191" s="11" t="n">
        <x:v>5</x:v>
      </x:c>
      <x:c r="I1191" s="19" t="n">
        <x:v>0.05</x:v>
      </x:c>
      <x:c r="J1191" s="11" t="n">
        <x:v>0</x:v>
      </x:c>
      <x:c r="K1191" s="20" t="n">
        <x:v>130</x:v>
      </x:c>
      <x:c r="L1191" s="20" t="n">
        <x:v>6.5</x:v>
      </x:c>
      <x:c r="M1191" s="20" t="n">
        <x:v>60</x:v>
      </x:c>
      <x:c r="N1191" s="20" t="n">
        <x:f>IF(J1191=1,0,K1191-L1191)</x:f>
        <x:v>123.5</x:v>
      </x:c>
      <x:c r="O1191" s="20" t="n">
        <x:f>N1191-M1191</x:f>
        <x:v>63.5</x:v>
      </x:c>
    </x:row>
    <x:row r="1192" ht="22" customHeight="1">
      <x:c r="A1192" s="11" t="n">
        <x:v>1188</x:v>
      </x:c>
      <x:c r="B1192" s="11" t="n">
        <x:v>596</x:v>
      </x:c>
      <x:c r="C1192" s="18" t="n">
        <x:v>45502</x:v>
      </x:c>
      <x:c r="D1192" s="11" t="str">
        <x:v>2024-07</x:v>
      </x:c>
      <x:c r="E1192" s="11" t="str">
        <x:v>South</x:v>
      </x:c>
      <x:c r="F1192" s="11" t="str">
        <x:v>Technology</x:v>
      </x:c>
      <x:c r="G1192" s="11" t="str">
        <x:v>Monitor</x:v>
      </x:c>
      <x:c r="H1192" s="11" t="n">
        <x:v>4</x:v>
      </x:c>
      <x:c r="I1192" s="19" t="n">
        <x:v>0</x:v>
      </x:c>
      <x:c r="J1192" s="11" t="n">
        <x:v>0</x:v>
      </x:c>
      <x:c r="K1192" s="20" t="n">
        <x:v>960</x:v>
      </x:c>
      <x:c r="L1192" s="20" t="n">
        <x:v>0</x:v>
      </x:c>
      <x:c r="M1192" s="20" t="n">
        <x:v>640</x:v>
      </x:c>
      <x:c r="N1192" s="20" t="n">
        <x:f>IF(J1192=1,0,K1192-L1192)</x:f>
        <x:v>960</x:v>
      </x:c>
      <x:c r="O1192" s="20" t="n">
        <x:f>N1192-M1192</x:f>
        <x:v>320</x:v>
      </x:c>
    </x:row>
    <x:row r="1193" ht="22" customHeight="1">
      <x:c r="A1193" s="11" t="n">
        <x:v>1189</x:v>
      </x:c>
      <x:c r="B1193" s="11" t="n">
        <x:v>596</x:v>
      </x:c>
      <x:c r="C1193" s="18" t="n">
        <x:v>45502</x:v>
      </x:c>
      <x:c r="D1193" s="11" t="str">
        <x:v>2024-07</x:v>
      </x:c>
      <x:c r="E1193" s="11" t="str">
        <x:v>South</x:v>
      </x:c>
      <x:c r="F1193" s="11" t="str">
        <x:v>Furniture</x:v>
      </x:c>
      <x:c r="G1193" s="11" t="str">
        <x:v>Chair</x:v>
      </x:c>
      <x:c r="H1193" s="11" t="n">
        <x:v>1</x:v>
      </x:c>
      <x:c r="I1193" s="19" t="n">
        <x:v>0.05</x:v>
      </x:c>
      <x:c r="J1193" s="11" t="n">
        <x:v>0</x:v>
      </x:c>
      <x:c r="K1193" s="20" t="n">
        <x:v>170</x:v>
      </x:c>
      <x:c r="L1193" s="20" t="n">
        <x:v>8.5</x:v>
      </x:c>
      <x:c r="M1193" s="20" t="n">
        <x:v>110</x:v>
      </x:c>
      <x:c r="N1193" s="20" t="n">
        <x:f>IF(J1193=1,0,K1193-L1193)</x:f>
        <x:v>161.5</x:v>
      </x:c>
      <x:c r="O1193" s="20" t="n">
        <x:f>N1193-M1193</x:f>
        <x:v>51.5</x:v>
      </x:c>
    </x:row>
    <x:row r="1194" ht="22" customHeight="1">
      <x:c r="A1194" s="11" t="n">
        <x:v>1190</x:v>
      </x:c>
      <x:c r="B1194" s="11" t="n">
        <x:v>597</x:v>
      </x:c>
      <x:c r="C1194" s="18" t="n">
        <x:v>45340</x:v>
      </x:c>
      <x:c r="D1194" s="11" t="str">
        <x:v>2024-02</x:v>
      </x:c>
      <x:c r="E1194" s="11" t="str">
        <x:v>Central</x:v>
      </x:c>
      <x:c r="F1194" s="11" t="str">
        <x:v>Office Supplies</x:v>
      </x:c>
      <x:c r="G1194" s="11" t="str">
        <x:v>Notebook pack</x:v>
      </x:c>
      <x:c r="H1194" s="11" t="n">
        <x:v>1</x:v>
      </x:c>
      <x:c r="I1194" s="19" t="n">
        <x:v>0.15</x:v>
      </x:c>
      <x:c r="J1194" s="11" t="n">
        <x:v>0</x:v>
      </x:c>
      <x:c r="K1194" s="20" t="n">
        <x:v>18</x:v>
      </x:c>
      <x:c r="L1194" s="20" t="n">
        <x:v>2.7</x:v>
      </x:c>
      <x:c r="M1194" s="20" t="n">
        <x:v>7</x:v>
      </x:c>
      <x:c r="N1194" s="20" t="n">
        <x:f>IF(J1194=1,0,K1194-L1194)</x:f>
        <x:v>15.3</x:v>
      </x:c>
      <x:c r="O1194" s="20" t="n">
        <x:f>N1194-M1194</x:f>
        <x:v>8.3</x:v>
      </x:c>
    </x:row>
    <x:row r="1195" ht="22" customHeight="1">
      <x:c r="A1195" s="11" t="n">
        <x:v>1191</x:v>
      </x:c>
      <x:c r="B1195" s="11" t="n">
        <x:v>598</x:v>
      </x:c>
      <x:c r="C1195" s="18" t="n">
        <x:v>45636</x:v>
      </x:c>
      <x:c r="D1195" s="11" t="str">
        <x:v>2024-12</x:v>
      </x:c>
      <x:c r="E1195" s="11" t="str">
        <x:v>West</x:v>
      </x:c>
      <x:c r="F1195" s="11" t="str">
        <x:v>Office Supplies</x:v>
      </x:c>
      <x:c r="G1195" s="11" t="str">
        <x:v>Notebook pack</x:v>
      </x:c>
      <x:c r="H1195" s="11" t="n">
        <x:v>2</x:v>
      </x:c>
      <x:c r="I1195" s="19" t="n">
        <x:v>0.05</x:v>
      </x:c>
      <x:c r="J1195" s="11" t="n">
        <x:v>0</x:v>
      </x:c>
      <x:c r="K1195" s="20" t="n">
        <x:v>36</x:v>
      </x:c>
      <x:c r="L1195" s="20" t="n">
        <x:v>1.8</x:v>
      </x:c>
      <x:c r="M1195" s="20" t="n">
        <x:v>14</x:v>
      </x:c>
      <x:c r="N1195" s="20" t="n">
        <x:f>IF(J1195=1,0,K1195-L1195)</x:f>
        <x:v>34.2</x:v>
      </x:c>
      <x:c r="O1195" s="20" t="n">
        <x:f>N1195-M1195</x:f>
        <x:v>20.200000000000003</x:v>
      </x:c>
    </x:row>
    <x:row r="1196" ht="22" customHeight="1">
      <x:c r="A1196" s="11" t="n">
        <x:v>1192</x:v>
      </x:c>
      <x:c r="B1196" s="11" t="n">
        <x:v>598</x:v>
      </x:c>
      <x:c r="C1196" s="18" t="n">
        <x:v>45636</x:v>
      </x:c>
      <x:c r="D1196" s="11" t="str">
        <x:v>2024-12</x:v>
      </x:c>
      <x:c r="E1196" s="11" t="str">
        <x:v>West</x:v>
      </x:c>
      <x:c r="F1196" s="11" t="str">
        <x:v>Technology</x:v>
      </x:c>
      <x:c r="G1196" s="11" t="str">
        <x:v>Keyboard</x:v>
      </x:c>
      <x:c r="H1196" s="11" t="n">
        <x:v>3</x:v>
      </x:c>
      <x:c r="I1196" s="19" t="n">
        <x:v>0.15</x:v>
      </x:c>
      <x:c r="J1196" s="11" t="n">
        <x:v>0</x:v>
      </x:c>
      <x:c r="K1196" s="20" t="n">
        <x:v>195</x:v>
      </x:c>
      <x:c r="L1196" s="20" t="n">
        <x:v>29.25</x:v>
      </x:c>
      <x:c r="M1196" s="20" t="n">
        <x:v>96</x:v>
      </x:c>
      <x:c r="N1196" s="20" t="n">
        <x:f>IF(J1196=1,0,K1196-L1196)</x:f>
        <x:v>165.75</x:v>
      </x:c>
      <x:c r="O1196" s="20" t="n">
        <x:f>N1196-M1196</x:f>
        <x:v>69.75</x:v>
      </x:c>
    </x:row>
    <x:row r="1197" ht="22" customHeight="1">
      <x:c r="A1197" s="11" t="n">
        <x:v>1193</x:v>
      </x:c>
      <x:c r="B1197" s="11" t="n">
        <x:v>598</x:v>
      </x:c>
      <x:c r="C1197" s="18" t="n">
        <x:v>45636</x:v>
      </x:c>
      <x:c r="D1197" s="11" t="str">
        <x:v>2024-12</x:v>
      </x:c>
      <x:c r="E1197" s="11" t="str">
        <x:v>West</x:v>
      </x:c>
      <x:c r="F1197" s="11" t="str">
        <x:v>Office Supplies</x:v>
      </x:c>
      <x:c r="G1197" s="11" t="str">
        <x:v>Storage box</x:v>
      </x:c>
      <x:c r="H1197" s="11" t="n">
        <x:v>4</x:v>
      </x:c>
      <x:c r="I1197" s="19" t="n">
        <x:v>0.15</x:v>
      </x:c>
      <x:c r="J1197" s="11" t="n">
        <x:v>0</x:v>
      </x:c>
      <x:c r="K1197" s="20" t="n">
        <x:v>104</x:v>
      </x:c>
      <x:c r="L1197" s="20" t="n">
        <x:v>15.6</x:v>
      </x:c>
      <x:c r="M1197" s="20" t="n">
        <x:v>48</x:v>
      </x:c>
      <x:c r="N1197" s="20" t="n">
        <x:f>IF(J1197=1,0,K1197-L1197)</x:f>
        <x:v>88.4</x:v>
      </x:c>
      <x:c r="O1197" s="20" t="n">
        <x:f>N1197-M1197</x:f>
        <x:v>40.400000000000006</x:v>
      </x:c>
    </x:row>
    <x:row r="1198" ht="22" customHeight="1">
      <x:c r="A1198" s="11" t="n">
        <x:v>1194</x:v>
      </x:c>
      <x:c r="B1198" s="11" t="n">
        <x:v>599</x:v>
      </x:c>
      <x:c r="C1198" s="18" t="n">
        <x:v>45716</x:v>
      </x:c>
      <x:c r="D1198" s="11" t="str">
        <x:v>2025-02</x:v>
      </x:c>
      <x:c r="E1198" s="11" t="str">
        <x:v>West</x:v>
      </x:c>
      <x:c r="F1198" s="11" t="str">
        <x:v>Office Supplies</x:v>
      </x:c>
      <x:c r="G1198" s="11" t="str">
        <x:v>Notebook pack</x:v>
      </x:c>
      <x:c r="H1198" s="11" t="n">
        <x:v>1</x:v>
      </x:c>
      <x:c r="I1198" s="19" t="n">
        <x:v>0.15</x:v>
      </x:c>
      <x:c r="J1198" s="11" t="n">
        <x:v>0</x:v>
      </x:c>
      <x:c r="K1198" s="20" t="n">
        <x:v>18</x:v>
      </x:c>
      <x:c r="L1198" s="20" t="n">
        <x:v>2.7</x:v>
      </x:c>
      <x:c r="M1198" s="20" t="n">
        <x:v>7</x:v>
      </x:c>
      <x:c r="N1198" s="20" t="n">
        <x:f>IF(J1198=1,0,K1198-L1198)</x:f>
        <x:v>15.3</x:v>
      </x:c>
      <x:c r="O1198" s="20" t="n">
        <x:f>N1198-M1198</x:f>
        <x:v>8.3</x:v>
      </x:c>
    </x:row>
    <x:row r="1199" ht="22" customHeight="1">
      <x:c r="A1199" s="11" t="n">
        <x:v>1195</x:v>
      </x:c>
      <x:c r="B1199" s="11" t="n">
        <x:v>599</x:v>
      </x:c>
      <x:c r="C1199" s="18" t="n">
        <x:v>45716</x:v>
      </x:c>
      <x:c r="D1199" s="11" t="str">
        <x:v>2025-02</x:v>
      </x:c>
      <x:c r="E1199" s="11" t="str">
        <x:v>West</x:v>
      </x:c>
      <x:c r="F1199" s="11" t="str">
        <x:v>Technology</x:v>
      </x:c>
      <x:c r="G1199" s="11" t="str">
        <x:v>Keyboard</x:v>
      </x:c>
      <x:c r="H1199" s="11" t="n">
        <x:v>5</x:v>
      </x:c>
      <x:c r="I1199" s="19" t="n">
        <x:v>0.1</x:v>
      </x:c>
      <x:c r="J1199" s="11" t="n">
        <x:v>0</x:v>
      </x:c>
      <x:c r="K1199" s="20" t="n">
        <x:v>325</x:v>
      </x:c>
      <x:c r="L1199" s="20" t="n">
        <x:v>32.5</x:v>
      </x:c>
      <x:c r="M1199" s="20" t="n">
        <x:v>160</x:v>
      </x:c>
      <x:c r="N1199" s="20" t="n">
        <x:f>IF(J1199=1,0,K1199-L1199)</x:f>
        <x:v>292.5</x:v>
      </x:c>
      <x:c r="O1199" s="20" t="n">
        <x:f>N1199-M1199</x:f>
        <x:v>132.5</x:v>
      </x:c>
    </x:row>
    <x:row r="1200" ht="22" customHeight="1">
      <x:c r="A1200" s="11" t="n">
        <x:v>1196</x:v>
      </x:c>
      <x:c r="B1200" s="11" t="n">
        <x:v>599</x:v>
      </x:c>
      <x:c r="C1200" s="18" t="n">
        <x:v>45716</x:v>
      </x:c>
      <x:c r="D1200" s="11" t="str">
        <x:v>2025-02</x:v>
      </x:c>
      <x:c r="E1200" s="11" t="str">
        <x:v>West</x:v>
      </x:c>
      <x:c r="F1200" s="11" t="str">
        <x:v>Furniture</x:v>
      </x:c>
      <x:c r="G1200" s="11" t="str">
        <x:v>Chair</x:v>
      </x:c>
      <x:c r="H1200" s="11" t="n">
        <x:v>4</x:v>
      </x:c>
      <x:c r="I1200" s="19" t="n">
        <x:v>0.1</x:v>
      </x:c>
      <x:c r="J1200" s="11" t="n">
        <x:v>0</x:v>
      </x:c>
      <x:c r="K1200" s="20" t="n">
        <x:v>680</x:v>
      </x:c>
      <x:c r="L1200" s="20" t="n">
        <x:v>68</x:v>
      </x:c>
      <x:c r="M1200" s="20" t="n">
        <x:v>440</x:v>
      </x:c>
      <x:c r="N1200" s="20" t="n">
        <x:f>IF(J1200=1,0,K1200-L1200)</x:f>
        <x:v>612</x:v>
      </x:c>
      <x:c r="O1200" s="20" t="n">
        <x:f>N1200-M1200</x:f>
        <x:v>172</x:v>
      </x:c>
    </x:row>
    <x:row r="1201" ht="22" customHeight="1">
      <x:c r="A1201" s="11" t="n">
        <x:v>1197</x:v>
      </x:c>
      <x:c r="B1201" s="11" t="n">
        <x:v>600</x:v>
      </x:c>
      <x:c r="C1201" s="18" t="n">
        <x:v>45837</x:v>
      </x:c>
      <x:c r="D1201" s="11" t="str">
        <x:v>2025-06</x:v>
      </x:c>
      <x:c r="E1201" s="11" t="str">
        <x:v>East</x:v>
      </x:c>
      <x:c r="F1201" s="11" t="str">
        <x:v>Office Supplies</x:v>
      </x:c>
      <x:c r="G1201" s="11" t="str">
        <x:v>Storage box</x:v>
      </x:c>
      <x:c r="H1201" s="11" t="n">
        <x:v>3</x:v>
      </x:c>
      <x:c r="I1201" s="19" t="n">
        <x:v>0.1</x:v>
      </x:c>
      <x:c r="J1201" s="11" t="n">
        <x:v>0</x:v>
      </x:c>
      <x:c r="K1201" s="20" t="n">
        <x:v>78</x:v>
      </x:c>
      <x:c r="L1201" s="20" t="n">
        <x:v>7.8</x:v>
      </x:c>
      <x:c r="M1201" s="20" t="n">
        <x:v>36</x:v>
      </x:c>
      <x:c r="N1201" s="20" t="n">
        <x:f>IF(J1201=1,0,K1201-L1201)</x:f>
        <x:v>70.2</x:v>
      </x:c>
      <x:c r="O1201" s="20" t="n">
        <x:f>N1201-M1201</x:f>
        <x:v>34.2</x:v>
      </x:c>
    </x:row>
    <x:row r="1202" ht="22" customHeight="1">
      <x:c r="A1202" s="11" t="n">
        <x:v>1198</x:v>
      </x:c>
      <x:c r="B1202" s="11" t="n">
        <x:v>600</x:v>
      </x:c>
      <x:c r="C1202" s="18" t="n">
        <x:v>45837</x:v>
      </x:c>
      <x:c r="D1202" s="11" t="str">
        <x:v>2025-06</x:v>
      </x:c>
      <x:c r="E1202" s="11" t="str">
        <x:v>East</x:v>
      </x:c>
      <x:c r="F1202" s="11" t="str">
        <x:v>Furniture</x:v>
      </x:c>
      <x:c r="G1202" s="11" t="str">
        <x:v>Desk</x:v>
      </x:c>
      <x:c r="H1202" s="11" t="n">
        <x:v>2</x:v>
      </x:c>
      <x:c r="I1202" s="19" t="n">
        <x:v>0.1</x:v>
      </x:c>
      <x:c r="J1202" s="11" t="n">
        <x:v>0</x:v>
      </x:c>
      <x:c r="K1202" s="20" t="n">
        <x:v>560</x:v>
      </x:c>
      <x:c r="L1202" s="20" t="n">
        <x:v>56</x:v>
      </x:c>
      <x:c r="M1202" s="20" t="n">
        <x:v>380</x:v>
      </x:c>
      <x:c r="N1202" s="20" t="n">
        <x:f>IF(J1202=1,0,K1202-L1202)</x:f>
        <x:v>504</x:v>
      </x:c>
      <x:c r="O1202" s="20" t="n">
        <x:f>N1202-M1202</x:f>
        <x:v>124</x:v>
      </x:c>
    </x:row>
    <x:row r="1203" ht="22" customHeight="1">
      <x:c r="A1203" s="11" t="n">
        <x:v>1199</x:v>
      </x:c>
      <x:c r="B1203" s="11" t="n">
        <x:v>600</x:v>
      </x:c>
      <x:c r="C1203" s="18" t="n">
        <x:v>45837</x:v>
      </x:c>
      <x:c r="D1203" s="11" t="str">
        <x:v>2025-06</x:v>
      </x:c>
      <x:c r="E1203" s="11" t="str">
        <x:v>East</x:v>
      </x:c>
      <x:c r="F1203" s="11" t="str">
        <x:v>Furniture</x:v>
      </x:c>
      <x:c r="G1203" s="11" t="str">
        <x:v>Chair</x:v>
      </x:c>
      <x:c r="H1203" s="11" t="n">
        <x:v>4</x:v>
      </x:c>
      <x:c r="I1203" s="19" t="n">
        <x:v>0.15</x:v>
      </x:c>
      <x:c r="J1203" s="11" t="n">
        <x:v>0</x:v>
      </x:c>
      <x:c r="K1203" s="20" t="n">
        <x:v>680</x:v>
      </x:c>
      <x:c r="L1203" s="20" t="n">
        <x:v>102</x:v>
      </x:c>
      <x:c r="M1203" s="20" t="n">
        <x:v>440</x:v>
      </x:c>
      <x:c r="N1203" s="20" t="n">
        <x:f>IF(J1203=1,0,K1203-L1203)</x:f>
        <x:v>578</x:v>
      </x:c>
      <x:c r="O1203" s="20" t="n">
        <x:f>N1203-M1203</x:f>
        <x:v>138</x:v>
      </x:c>
    </x:row>
    <x:row r="1204" ht="22" customHeight="1">
      <x:c r="A1204" s="11" t="n">
        <x:v>1200</x:v>
      </x:c>
      <x:c r="B1204" s="11" t="n">
        <x:v>601</x:v>
      </x:c>
      <x:c r="C1204" s="18" t="n">
        <x:v>45357</x:v>
      </x:c>
      <x:c r="D1204" s="11" t="str">
        <x:v>2024-03</x:v>
      </x:c>
      <x:c r="E1204" s="11" t="str">
        <x:v>Central</x:v>
      </x:c>
      <x:c r="F1204" s="11" t="str">
        <x:v>Technology</x:v>
      </x:c>
      <x:c r="G1204" s="11" t="str">
        <x:v>Monitor</x:v>
      </x:c>
      <x:c r="H1204" s="11" t="n">
        <x:v>2</x:v>
      </x:c>
      <x:c r="I1204" s="19" t="n">
        <x:v>0.05</x:v>
      </x:c>
      <x:c r="J1204" s="11" t="n">
        <x:v>0</x:v>
      </x:c>
      <x:c r="K1204" s="20" t="n">
        <x:v>480</x:v>
      </x:c>
      <x:c r="L1204" s="20" t="n">
        <x:v>24</x:v>
      </x:c>
      <x:c r="M1204" s="20" t="n">
        <x:v>320</x:v>
      </x:c>
      <x:c r="N1204" s="20" t="n">
        <x:f>IF(J1204=1,0,K1204-L1204)</x:f>
        <x:v>456</x:v>
      </x:c>
      <x:c r="O1204" s="20" t="n">
        <x:f>N1204-M1204</x:f>
        <x:v>136</x:v>
      </x:c>
    </x:row>
    <x:row r="1205" ht="22" customHeight="1">
      <x:c r="A1205" s="11" t="n">
        <x:v>1201</x:v>
      </x:c>
      <x:c r="B1205" s="11" t="n">
        <x:v>601</x:v>
      </x:c>
      <x:c r="C1205" s="18" t="n">
        <x:v>45357</x:v>
      </x:c>
      <x:c r="D1205" s="11" t="str">
        <x:v>2024-03</x:v>
      </x:c>
      <x:c r="E1205" s="11" t="str">
        <x:v>Central</x:v>
      </x:c>
      <x:c r="F1205" s="11" t="str">
        <x:v>Office Supplies</x:v>
      </x:c>
      <x:c r="G1205" s="11" t="str">
        <x:v>Storage box</x:v>
      </x:c>
      <x:c r="H1205" s="11" t="n">
        <x:v>2</x:v>
      </x:c>
      <x:c r="I1205" s="19" t="n">
        <x:v>0.1</x:v>
      </x:c>
      <x:c r="J1205" s="11" t="n">
        <x:v>0</x:v>
      </x:c>
      <x:c r="K1205" s="20" t="n">
        <x:v>52</x:v>
      </x:c>
      <x:c r="L1205" s="20" t="n">
        <x:v>5.2</x:v>
      </x:c>
      <x:c r="M1205" s="20" t="n">
        <x:v>24</x:v>
      </x:c>
      <x:c r="N1205" s="20" t="n">
        <x:f>IF(J1205=1,0,K1205-L1205)</x:f>
        <x:v>46.8</x:v>
      </x:c>
      <x:c r="O1205" s="20" t="n">
        <x:f>N1205-M1205</x:f>
        <x:v>22.799999999999997</x:v>
      </x:c>
    </x:row>
    <x:row r="1206" ht="22" customHeight="1">
      <x:c r="A1206" s="11" t="n">
        <x:v>1202</x:v>
      </x:c>
      <x:c r="B1206" s="11" t="n">
        <x:v>602</x:v>
      </x:c>
      <x:c r="C1206" s="18" t="n">
        <x:v>45445</x:v>
      </x:c>
      <x:c r="D1206" s="11" t="str">
        <x:v>2024-06</x:v>
      </x:c>
      <x:c r="E1206" s="11" t="str">
        <x:v>East</x:v>
      </x:c>
      <x:c r="F1206" s="11" t="str">
        <x:v>Technology</x:v>
      </x:c>
      <x:c r="G1206" s="11" t="str">
        <x:v>Monitor</x:v>
      </x:c>
      <x:c r="H1206" s="11" t="n">
        <x:v>4</x:v>
      </x:c>
      <x:c r="I1206" s="19" t="n">
        <x:v>0.1</x:v>
      </x:c>
      <x:c r="J1206" s="11" t="n">
        <x:v>0</x:v>
      </x:c>
      <x:c r="K1206" s="20" t="n">
        <x:v>960</x:v>
      </x:c>
      <x:c r="L1206" s="20" t="n">
        <x:v>96</x:v>
      </x:c>
      <x:c r="M1206" s="20" t="n">
        <x:v>640</x:v>
      </x:c>
      <x:c r="N1206" s="20" t="n">
        <x:f>IF(J1206=1,0,K1206-L1206)</x:f>
        <x:v>864</x:v>
      </x:c>
      <x:c r="O1206" s="20" t="n">
        <x:f>N1206-M1206</x:f>
        <x:v>224</x:v>
      </x:c>
    </x:row>
    <x:row r="1207" ht="22" customHeight="1">
      <x:c r="A1207" s="11" t="n">
        <x:v>1203</x:v>
      </x:c>
      <x:c r="B1207" s="11" t="n">
        <x:v>603</x:v>
      </x:c>
      <x:c r="C1207" s="18" t="n">
        <x:v>45738</x:v>
      </x:c>
      <x:c r="D1207" s="11" t="str">
        <x:v>2025-03</x:v>
      </x:c>
      <x:c r="E1207" s="11" t="str">
        <x:v>South</x:v>
      </x:c>
      <x:c r="F1207" s="11" t="str">
        <x:v>Furniture</x:v>
      </x:c>
      <x:c r="G1207" s="11" t="str">
        <x:v>Chair</x:v>
      </x:c>
      <x:c r="H1207" s="11" t="n">
        <x:v>3</x:v>
      </x:c>
      <x:c r="I1207" s="19" t="n">
        <x:v>0</x:v>
      </x:c>
      <x:c r="J1207" s="11" t="n">
        <x:v>1</x:v>
      </x:c>
      <x:c r="K1207" s="20" t="n">
        <x:v>510</x:v>
      </x:c>
      <x:c r="L1207" s="20" t="n">
        <x:v>0</x:v>
      </x:c>
      <x:c r="M1207" s="20" t="n">
        <x:v>0</x:v>
      </x:c>
      <x:c r="N1207" s="20" t="n">
        <x:f>IF(J1207=1,0,K1207-L1207)</x:f>
        <x:v>0</x:v>
      </x:c>
      <x:c r="O1207" s="20" t="n">
        <x:f>N1207-M1207</x:f>
        <x:v>0</x:v>
      </x:c>
    </x:row>
    <x:row r="1208" ht="22" customHeight="1">
      <x:c r="A1208" s="11" t="n">
        <x:v>1204</x:v>
      </x:c>
      <x:c r="B1208" s="11" t="n">
        <x:v>604</x:v>
      </x:c>
      <x:c r="C1208" s="18" t="n">
        <x:v>45576</x:v>
      </x:c>
      <x:c r="D1208" s="11" t="str">
        <x:v>2024-10</x:v>
      </x:c>
      <x:c r="E1208" s="11" t="str">
        <x:v>Central</x:v>
      </x:c>
      <x:c r="F1208" s="11" t="str">
        <x:v>Furniture</x:v>
      </x:c>
      <x:c r="G1208" s="11" t="str">
        <x:v>Desk</x:v>
      </x:c>
      <x:c r="H1208" s="11" t="n">
        <x:v>1</x:v>
      </x:c>
      <x:c r="I1208" s="19" t="n">
        <x:v>0</x:v>
      </x:c>
      <x:c r="J1208" s="11" t="n">
        <x:v>0</x:v>
      </x:c>
      <x:c r="K1208" s="20" t="n">
        <x:v>280</x:v>
      </x:c>
      <x:c r="L1208" s="20" t="n">
        <x:v>0</x:v>
      </x:c>
      <x:c r="M1208" s="20" t="n">
        <x:v>190</x:v>
      </x:c>
      <x:c r="N1208" s="20" t="n">
        <x:f>IF(J1208=1,0,K1208-L1208)</x:f>
        <x:v>280</x:v>
      </x:c>
      <x:c r="O1208" s="20" t="n">
        <x:f>N1208-M1208</x:f>
        <x:v>90</x:v>
      </x:c>
    </x:row>
    <x:row r="1209" ht="22" customHeight="1">
      <x:c r="A1209" s="11" t="n">
        <x:v>1205</x:v>
      </x:c>
      <x:c r="B1209" s="11" t="n">
        <x:v>604</x:v>
      </x:c>
      <x:c r="C1209" s="18" t="n">
        <x:v>45576</x:v>
      </x:c>
      <x:c r="D1209" s="11" t="str">
        <x:v>2024-10</x:v>
      </x:c>
      <x:c r="E1209" s="11" t="str">
        <x:v>Central</x:v>
      </x:c>
      <x:c r="F1209" s="11" t="str">
        <x:v>Technology</x:v>
      </x:c>
      <x:c r="G1209" s="11" t="str">
        <x:v>Keyboard</x:v>
      </x:c>
      <x:c r="H1209" s="11" t="n">
        <x:v>3</x:v>
      </x:c>
      <x:c r="I1209" s="19" t="n">
        <x:v>0</x:v>
      </x:c>
      <x:c r="J1209" s="11" t="n">
        <x:v>0</x:v>
      </x:c>
      <x:c r="K1209" s="20" t="n">
        <x:v>195</x:v>
      </x:c>
      <x:c r="L1209" s="20" t="n">
        <x:v>0</x:v>
      </x:c>
      <x:c r="M1209" s="20" t="n">
        <x:v>96</x:v>
      </x:c>
      <x:c r="N1209" s="20" t="n">
        <x:f>IF(J1209=1,0,K1209-L1209)</x:f>
        <x:v>195</x:v>
      </x:c>
      <x:c r="O1209" s="20" t="n">
        <x:f>N1209-M1209</x:f>
        <x:v>99</x:v>
      </x:c>
    </x:row>
    <x:row r="1210" ht="22" customHeight="1">
      <x:c r="A1210" s="11" t="n">
        <x:v>1206</x:v>
      </x:c>
      <x:c r="B1210" s="11" t="n">
        <x:v>604</x:v>
      </x:c>
      <x:c r="C1210" s="18" t="n">
        <x:v>45576</x:v>
      </x:c>
      <x:c r="D1210" s="11" t="str">
        <x:v>2024-10</x:v>
      </x:c>
      <x:c r="E1210" s="11" t="str">
        <x:v>Central</x:v>
      </x:c>
      <x:c r="F1210" s="11" t="str">
        <x:v>Office Supplies</x:v>
      </x:c>
      <x:c r="G1210" s="11" t="str">
        <x:v>Storage box</x:v>
      </x:c>
      <x:c r="H1210" s="11" t="n">
        <x:v>4</x:v>
      </x:c>
      <x:c r="I1210" s="19" t="n">
        <x:v>0.05</x:v>
      </x:c>
      <x:c r="J1210" s="11" t="n">
        <x:v>0</x:v>
      </x:c>
      <x:c r="K1210" s="20" t="n">
        <x:v>104</x:v>
      </x:c>
      <x:c r="L1210" s="20" t="n">
        <x:v>5.2</x:v>
      </x:c>
      <x:c r="M1210" s="20" t="n">
        <x:v>48</x:v>
      </x:c>
      <x:c r="N1210" s="20" t="n">
        <x:f>IF(J1210=1,0,K1210-L1210)</x:f>
        <x:v>98.8</x:v>
      </x:c>
      <x:c r="O1210" s="20" t="n">
        <x:f>N1210-M1210</x:f>
        <x:v>50.8</x:v>
      </x:c>
    </x:row>
    <x:row r="1211" ht="22" customHeight="1">
      <x:c r="A1211" s="11" t="n">
        <x:v>1207</x:v>
      </x:c>
      <x:c r="B1211" s="11" t="n">
        <x:v>605</x:v>
      </x:c>
      <x:c r="C1211" s="18" t="n">
        <x:v>45384</x:v>
      </x:c>
      <x:c r="D1211" s="11" t="str">
        <x:v>2024-04</x:v>
      </x:c>
      <x:c r="E1211" s="11" t="str">
        <x:v>East</x:v>
      </x:c>
      <x:c r="F1211" s="11" t="str">
        <x:v>Furniture</x:v>
      </x:c>
      <x:c r="G1211" s="11" t="str">
        <x:v>Desk</x:v>
      </x:c>
      <x:c r="H1211" s="11" t="n">
        <x:v>5</x:v>
      </x:c>
      <x:c r="I1211" s="19" t="n">
        <x:v>0</x:v>
      </x:c>
      <x:c r="J1211" s="11" t="n">
        <x:v>0</x:v>
      </x:c>
      <x:c r="K1211" s="20" t="n">
        <x:v>1400</x:v>
      </x:c>
      <x:c r="L1211" s="20" t="n">
        <x:v>0</x:v>
      </x:c>
      <x:c r="M1211" s="20" t="n">
        <x:v>950</x:v>
      </x:c>
      <x:c r="N1211" s="20" t="n">
        <x:f>IF(J1211=1,0,K1211-L1211)</x:f>
        <x:v>1400</x:v>
      </x:c>
      <x:c r="O1211" s="20" t="n">
        <x:f>N1211-M1211</x:f>
        <x:v>450</x:v>
      </x:c>
    </x:row>
    <x:row r="1212" ht="22" customHeight="1">
      <x:c r="A1212" s="11" t="n">
        <x:v>1208</x:v>
      </x:c>
      <x:c r="B1212" s="11" t="n">
        <x:v>606</x:v>
      </x:c>
      <x:c r="C1212" s="18" t="n">
        <x:v>45886</x:v>
      </x:c>
      <x:c r="D1212" s="11" t="str">
        <x:v>2025-08</x:v>
      </x:c>
      <x:c r="E1212" s="11" t="str">
        <x:v>South</x:v>
      </x:c>
      <x:c r="F1212" s="11" t="str">
        <x:v>Furniture</x:v>
      </x:c>
      <x:c r="G1212" s="11" t="str">
        <x:v>Desk</x:v>
      </x:c>
      <x:c r="H1212" s="11" t="n">
        <x:v>5</x:v>
      </x:c>
      <x:c r="I1212" s="19" t="n">
        <x:v>0</x:v>
      </x:c>
      <x:c r="J1212" s="11" t="n">
        <x:v>0</x:v>
      </x:c>
      <x:c r="K1212" s="20" t="n">
        <x:v>1400</x:v>
      </x:c>
      <x:c r="L1212" s="20" t="n">
        <x:v>0</x:v>
      </x:c>
      <x:c r="M1212" s="20" t="n">
        <x:v>950</x:v>
      </x:c>
      <x:c r="N1212" s="20" t="n">
        <x:f>IF(J1212=1,0,K1212-L1212)</x:f>
        <x:v>1400</x:v>
      </x:c>
      <x:c r="O1212" s="20" t="n">
        <x:f>N1212-M1212</x:f>
        <x:v>450</x:v>
      </x:c>
    </x:row>
    <x:row r="1213" ht="22" customHeight="1">
      <x:c r="A1213" s="11" t="n">
        <x:v>1209</x:v>
      </x:c>
      <x:c r="B1213" s="11" t="n">
        <x:v>606</x:v>
      </x:c>
      <x:c r="C1213" s="18" t="n">
        <x:v>45886</x:v>
      </x:c>
      <x:c r="D1213" s="11" t="str">
        <x:v>2025-08</x:v>
      </x:c>
      <x:c r="E1213" s="11" t="str">
        <x:v>South</x:v>
      </x:c>
      <x:c r="F1213" s="11" t="str">
        <x:v>Furniture</x:v>
      </x:c>
      <x:c r="G1213" s="11" t="str">
        <x:v>Chair</x:v>
      </x:c>
      <x:c r="H1213" s="11" t="n">
        <x:v>3</x:v>
      </x:c>
      <x:c r="I1213" s="19" t="n">
        <x:v>0.15</x:v>
      </x:c>
      <x:c r="J1213" s="11" t="n">
        <x:v>0</x:v>
      </x:c>
      <x:c r="K1213" s="20" t="n">
        <x:v>510</x:v>
      </x:c>
      <x:c r="L1213" s="20" t="n">
        <x:v>76.5</x:v>
      </x:c>
      <x:c r="M1213" s="20" t="n">
        <x:v>330</x:v>
      </x:c>
      <x:c r="N1213" s="20" t="n">
        <x:f>IF(J1213=1,0,K1213-L1213)</x:f>
        <x:v>433.5</x:v>
      </x:c>
      <x:c r="O1213" s="20" t="n">
        <x:f>N1213-M1213</x:f>
        <x:v>103.5</x:v>
      </x:c>
    </x:row>
    <x:row r="1214" ht="22" customHeight="1">
      <x:c r="A1214" s="11" t="n">
        <x:v>1210</x:v>
      </x:c>
      <x:c r="B1214" s="11" t="n">
        <x:v>607</x:v>
      </x:c>
      <x:c r="C1214" s="18" t="n">
        <x:v>45691</x:v>
      </x:c>
      <x:c r="D1214" s="11" t="str">
        <x:v>2025-02</x:v>
      </x:c>
      <x:c r="E1214" s="11" t="str">
        <x:v>West</x:v>
      </x:c>
      <x:c r="F1214" s="11" t="str">
        <x:v>Furniture</x:v>
      </x:c>
      <x:c r="G1214" s="11" t="str">
        <x:v>Chair</x:v>
      </x:c>
      <x:c r="H1214" s="11" t="n">
        <x:v>1</x:v>
      </x:c>
      <x:c r="I1214" s="19" t="n">
        <x:v>0</x:v>
      </x:c>
      <x:c r="J1214" s="11" t="n">
        <x:v>0</x:v>
      </x:c>
      <x:c r="K1214" s="20" t="n">
        <x:v>170</x:v>
      </x:c>
      <x:c r="L1214" s="20" t="n">
        <x:v>0</x:v>
      </x:c>
      <x:c r="M1214" s="20" t="n">
        <x:v>110</x:v>
      </x:c>
      <x:c r="N1214" s="20" t="n">
        <x:f>IF(J1214=1,0,K1214-L1214)</x:f>
        <x:v>170</x:v>
      </x:c>
      <x:c r="O1214" s="20" t="n">
        <x:f>N1214-M1214</x:f>
        <x:v>60</x:v>
      </x:c>
    </x:row>
    <x:row r="1215" ht="22" customHeight="1">
      <x:c r="A1215" s="11" t="n">
        <x:v>1211</x:v>
      </x:c>
      <x:c r="B1215" s="11" t="n">
        <x:v>607</x:v>
      </x:c>
      <x:c r="C1215" s="18" t="n">
        <x:v>45691</x:v>
      </x:c>
      <x:c r="D1215" s="11" t="str">
        <x:v>2025-02</x:v>
      </x:c>
      <x:c r="E1215" s="11" t="str">
        <x:v>West</x:v>
      </x:c>
      <x:c r="F1215" s="11" t="str">
        <x:v>Office Supplies</x:v>
      </x:c>
      <x:c r="G1215" s="11" t="str">
        <x:v>Storage box</x:v>
      </x:c>
      <x:c r="H1215" s="11" t="n">
        <x:v>3</x:v>
      </x:c>
      <x:c r="I1215" s="19" t="n">
        <x:v>0.1</x:v>
      </x:c>
      <x:c r="J1215" s="11" t="n">
        <x:v>0</x:v>
      </x:c>
      <x:c r="K1215" s="20" t="n">
        <x:v>78</x:v>
      </x:c>
      <x:c r="L1215" s="20" t="n">
        <x:v>7.8</x:v>
      </x:c>
      <x:c r="M1215" s="20" t="n">
        <x:v>36</x:v>
      </x:c>
      <x:c r="N1215" s="20" t="n">
        <x:f>IF(J1215=1,0,K1215-L1215)</x:f>
        <x:v>70.2</x:v>
      </x:c>
      <x:c r="O1215" s="20" t="n">
        <x:f>N1215-M1215</x:f>
        <x:v>34.2</x:v>
      </x:c>
    </x:row>
    <x:row r="1216" ht="22" customHeight="1">
      <x:c r="A1216" s="11" t="n">
        <x:v>1212</x:v>
      </x:c>
      <x:c r="B1216" s="11" t="n">
        <x:v>608</x:v>
      </x:c>
      <x:c r="C1216" s="18" t="n">
        <x:v>45895</x:v>
      </x:c>
      <x:c r="D1216" s="11" t="str">
        <x:v>2025-08</x:v>
      </x:c>
      <x:c r="E1216" s="11" t="str">
        <x:v>East</x:v>
      </x:c>
      <x:c r="F1216" s="11" t="str">
        <x:v>Technology</x:v>
      </x:c>
      <x:c r="G1216" s="11" t="str">
        <x:v>Monitor</x:v>
      </x:c>
      <x:c r="H1216" s="11" t="n">
        <x:v>5</x:v>
      </x:c>
      <x:c r="I1216" s="19" t="n">
        <x:v>0.1</x:v>
      </x:c>
      <x:c r="J1216" s="11" t="n">
        <x:v>0</x:v>
      </x:c>
      <x:c r="K1216" s="20" t="n">
        <x:v>1200</x:v>
      </x:c>
      <x:c r="L1216" s="20" t="n">
        <x:v>120</x:v>
      </x:c>
      <x:c r="M1216" s="20" t="n">
        <x:v>800</x:v>
      </x:c>
      <x:c r="N1216" s="20" t="n">
        <x:f>IF(J1216=1,0,K1216-L1216)</x:f>
        <x:v>1080</x:v>
      </x:c>
      <x:c r="O1216" s="20" t="n">
        <x:f>N1216-M1216</x:f>
        <x:v>280</x:v>
      </x:c>
    </x:row>
    <x:row r="1217" ht="22" customHeight="1">
      <x:c r="A1217" s="11" t="n">
        <x:v>1213</x:v>
      </x:c>
      <x:c r="B1217" s="11" t="n">
        <x:v>608</x:v>
      </x:c>
      <x:c r="C1217" s="18" t="n">
        <x:v>45895</x:v>
      </x:c>
      <x:c r="D1217" s="11" t="str">
        <x:v>2025-08</x:v>
      </x:c>
      <x:c r="E1217" s="11" t="str">
        <x:v>East</x:v>
      </x:c>
      <x:c r="F1217" s="11" t="str">
        <x:v>Furniture</x:v>
      </x:c>
      <x:c r="G1217" s="11" t="str">
        <x:v>Desk</x:v>
      </x:c>
      <x:c r="H1217" s="11" t="n">
        <x:v>2</x:v>
      </x:c>
      <x:c r="I1217" s="19" t="n">
        <x:v>0.1</x:v>
      </x:c>
      <x:c r="J1217" s="11" t="n">
        <x:v>0</x:v>
      </x:c>
      <x:c r="K1217" s="20" t="n">
        <x:v>560</x:v>
      </x:c>
      <x:c r="L1217" s="20" t="n">
        <x:v>56</x:v>
      </x:c>
      <x:c r="M1217" s="20" t="n">
        <x:v>380</x:v>
      </x:c>
      <x:c r="N1217" s="20" t="n">
        <x:f>IF(J1217=1,0,K1217-L1217)</x:f>
        <x:v>504</x:v>
      </x:c>
      <x:c r="O1217" s="20" t="n">
        <x:f>N1217-M1217</x:f>
        <x:v>124</x:v>
      </x:c>
    </x:row>
    <x:row r="1218" ht="22" customHeight="1">
      <x:c r="A1218" s="11" t="n">
        <x:v>1214</x:v>
      </x:c>
      <x:c r="B1218" s="11" t="n">
        <x:v>608</x:v>
      </x:c>
      <x:c r="C1218" s="18" t="n">
        <x:v>45895</x:v>
      </x:c>
      <x:c r="D1218" s="11" t="str">
        <x:v>2025-08</x:v>
      </x:c>
      <x:c r="E1218" s="11" t="str">
        <x:v>East</x:v>
      </x:c>
      <x:c r="F1218" s="11" t="str">
        <x:v>Office Supplies</x:v>
      </x:c>
      <x:c r="G1218" s="11" t="str">
        <x:v>Storage box</x:v>
      </x:c>
      <x:c r="H1218" s="11" t="n">
        <x:v>2</x:v>
      </x:c>
      <x:c r="I1218" s="19" t="n">
        <x:v>0.05</x:v>
      </x:c>
      <x:c r="J1218" s="11" t="n">
        <x:v>0</x:v>
      </x:c>
      <x:c r="K1218" s="20" t="n">
        <x:v>52</x:v>
      </x:c>
      <x:c r="L1218" s="20" t="n">
        <x:v>2.6</x:v>
      </x:c>
      <x:c r="M1218" s="20" t="n">
        <x:v>24</x:v>
      </x:c>
      <x:c r="N1218" s="20" t="n">
        <x:f>IF(J1218=1,0,K1218-L1218)</x:f>
        <x:v>49.4</x:v>
      </x:c>
      <x:c r="O1218" s="20" t="n">
        <x:f>N1218-M1218</x:f>
        <x:v>25.4</x:v>
      </x:c>
    </x:row>
    <x:row r="1219" ht="22" customHeight="1">
      <x:c r="A1219" s="11" t="n">
        <x:v>1215</x:v>
      </x:c>
      <x:c r="B1219" s="11" t="n">
        <x:v>609</x:v>
      </x:c>
      <x:c r="C1219" s="18" t="n">
        <x:v>45668</x:v>
      </x:c>
      <x:c r="D1219" s="11" t="str">
        <x:v>2025-01</x:v>
      </x:c>
      <x:c r="E1219" s="11" t="str">
        <x:v>East</x:v>
      </x:c>
      <x:c r="F1219" s="11" t="str">
        <x:v>Office Supplies</x:v>
      </x:c>
      <x:c r="G1219" s="11" t="str">
        <x:v>Notebook pack</x:v>
      </x:c>
      <x:c r="H1219" s="11" t="n">
        <x:v>2</x:v>
      </x:c>
      <x:c r="I1219" s="19" t="n">
        <x:v>0.05</x:v>
      </x:c>
      <x:c r="J1219" s="11" t="n">
        <x:v>0</x:v>
      </x:c>
      <x:c r="K1219" s="20" t="n">
        <x:v>36</x:v>
      </x:c>
      <x:c r="L1219" s="20" t="n">
        <x:v>1.8</x:v>
      </x:c>
      <x:c r="M1219" s="20" t="n">
        <x:v>14</x:v>
      </x:c>
      <x:c r="N1219" s="20" t="n">
        <x:f>IF(J1219=1,0,K1219-L1219)</x:f>
        <x:v>34.2</x:v>
      </x:c>
      <x:c r="O1219" s="20" t="n">
        <x:f>N1219-M1219</x:f>
        <x:v>20.200000000000003</x:v>
      </x:c>
    </x:row>
    <x:row r="1220" ht="22" customHeight="1">
      <x:c r="A1220" s="11" t="n">
        <x:v>1216</x:v>
      </x:c>
      <x:c r="B1220" s="11" t="n">
        <x:v>609</x:v>
      </x:c>
      <x:c r="C1220" s="18" t="n">
        <x:v>45668</x:v>
      </x:c>
      <x:c r="D1220" s="11" t="str">
        <x:v>2025-01</x:v>
      </x:c>
      <x:c r="E1220" s="11" t="str">
        <x:v>East</x:v>
      </x:c>
      <x:c r="F1220" s="11" t="str">
        <x:v>Furniture</x:v>
      </x:c>
      <x:c r="G1220" s="11" t="str">
        <x:v>Desk</x:v>
      </x:c>
      <x:c r="H1220" s="11" t="n">
        <x:v>3</x:v>
      </x:c>
      <x:c r="I1220" s="19" t="n">
        <x:v>0.15</x:v>
      </x:c>
      <x:c r="J1220" s="11" t="n">
        <x:v>0</x:v>
      </x:c>
      <x:c r="K1220" s="20" t="n">
        <x:v>840</x:v>
      </x:c>
      <x:c r="L1220" s="20" t="n">
        <x:v>126</x:v>
      </x:c>
      <x:c r="M1220" s="20" t="n">
        <x:v>570</x:v>
      </x:c>
      <x:c r="N1220" s="20" t="n">
        <x:f>IF(J1220=1,0,K1220-L1220)</x:f>
        <x:v>714</x:v>
      </x:c>
      <x:c r="O1220" s="20" t="n">
        <x:f>N1220-M1220</x:f>
        <x:v>144</x:v>
      </x:c>
    </x:row>
    <x:row r="1221" ht="22" customHeight="1">
      <x:c r="A1221" s="11" t="n">
        <x:v>1217</x:v>
      </x:c>
      <x:c r="B1221" s="11" t="n">
        <x:v>609</x:v>
      </x:c>
      <x:c r="C1221" s="18" t="n">
        <x:v>45668</x:v>
      </x:c>
      <x:c r="D1221" s="11" t="str">
        <x:v>2025-01</x:v>
      </x:c>
      <x:c r="E1221" s="11" t="str">
        <x:v>East</x:v>
      </x:c>
      <x:c r="F1221" s="11" t="str">
        <x:v>Office Supplies</x:v>
      </x:c>
      <x:c r="G1221" s="11" t="str">
        <x:v>Storage box</x:v>
      </x:c>
      <x:c r="H1221" s="11" t="n">
        <x:v>1</x:v>
      </x:c>
      <x:c r="I1221" s="19" t="n">
        <x:v>0.15</x:v>
      </x:c>
      <x:c r="J1221" s="11" t="n">
        <x:v>0</x:v>
      </x:c>
      <x:c r="K1221" s="20" t="n">
        <x:v>26</x:v>
      </x:c>
      <x:c r="L1221" s="20" t="n">
        <x:v>3.9</x:v>
      </x:c>
      <x:c r="M1221" s="20" t="n">
        <x:v>12</x:v>
      </x:c>
      <x:c r="N1221" s="20" t="n">
        <x:f>IF(J1221=1,0,K1221-L1221)</x:f>
        <x:v>22.1</x:v>
      </x:c>
      <x:c r="O1221" s="20" t="n">
        <x:f>N1221-M1221</x:f>
        <x:v>10.100000000000001</x:v>
      </x:c>
    </x:row>
    <x:row r="1222" ht="22" customHeight="1">
      <x:c r="A1222" s="11" t="n">
        <x:v>1218</x:v>
      </x:c>
      <x:c r="B1222" s="11" t="n">
        <x:v>610</x:v>
      </x:c>
      <x:c r="C1222" s="18" t="n">
        <x:v>45745</x:v>
      </x:c>
      <x:c r="D1222" s="11" t="str">
        <x:v>2025-03</x:v>
      </x:c>
      <x:c r="E1222" s="11" t="str">
        <x:v>South</x:v>
      </x:c>
      <x:c r="F1222" s="11" t="str">
        <x:v>Technology</x:v>
      </x:c>
      <x:c r="G1222" s="11" t="str">
        <x:v>Monitor</x:v>
      </x:c>
      <x:c r="H1222" s="11" t="n">
        <x:v>1</x:v>
      </x:c>
      <x:c r="I1222" s="19" t="n">
        <x:v>0</x:v>
      </x:c>
      <x:c r="J1222" s="11" t="n">
        <x:v>0</x:v>
      </x:c>
      <x:c r="K1222" s="20" t="n">
        <x:v>240</x:v>
      </x:c>
      <x:c r="L1222" s="20" t="n">
        <x:v>0</x:v>
      </x:c>
      <x:c r="M1222" s="20" t="n">
        <x:v>160</x:v>
      </x:c>
      <x:c r="N1222" s="20" t="n">
        <x:f>IF(J1222=1,0,K1222-L1222)</x:f>
        <x:v>240</x:v>
      </x:c>
      <x:c r="O1222" s="20" t="n">
        <x:f>N1222-M1222</x:f>
        <x:v>80</x:v>
      </x:c>
    </x:row>
    <x:row r="1223" ht="22" customHeight="1">
      <x:c r="A1223" s="11" t="n">
        <x:v>1219</x:v>
      </x:c>
      <x:c r="B1223" s="11" t="n">
        <x:v>610</x:v>
      </x:c>
      <x:c r="C1223" s="18" t="n">
        <x:v>45745</x:v>
      </x:c>
      <x:c r="D1223" s="11" t="str">
        <x:v>2025-03</x:v>
      </x:c>
      <x:c r="E1223" s="11" t="str">
        <x:v>South</x:v>
      </x:c>
      <x:c r="F1223" s="11" t="str">
        <x:v>Office Supplies</x:v>
      </x:c>
      <x:c r="G1223" s="11" t="str">
        <x:v>Storage box</x:v>
      </x:c>
      <x:c r="H1223" s="11" t="n">
        <x:v>2</x:v>
      </x:c>
      <x:c r="I1223" s="19" t="n">
        <x:v>0.1</x:v>
      </x:c>
      <x:c r="J1223" s="11" t="n">
        <x:v>0</x:v>
      </x:c>
      <x:c r="K1223" s="20" t="n">
        <x:v>52</x:v>
      </x:c>
      <x:c r="L1223" s="20" t="n">
        <x:v>5.2</x:v>
      </x:c>
      <x:c r="M1223" s="20" t="n">
        <x:v>24</x:v>
      </x:c>
      <x:c r="N1223" s="20" t="n">
        <x:f>IF(J1223=1,0,K1223-L1223)</x:f>
        <x:v>46.8</x:v>
      </x:c>
      <x:c r="O1223" s="20" t="n">
        <x:f>N1223-M1223</x:f>
        <x:v>22.799999999999997</x:v>
      </x:c>
    </x:row>
    <x:row r="1224" ht="22" customHeight="1">
      <x:c r="A1224" s="11" t="n">
        <x:v>1220</x:v>
      </x:c>
      <x:c r="B1224" s="11" t="n">
        <x:v>611</x:v>
      </x:c>
      <x:c r="C1224" s="18" t="n">
        <x:v>45951</x:v>
      </x:c>
      <x:c r="D1224" s="11" t="str">
        <x:v>2025-10</x:v>
      </x:c>
      <x:c r="E1224" s="11" t="str">
        <x:v>West</x:v>
      </x:c>
      <x:c r="F1224" s="11" t="str">
        <x:v>Furniture</x:v>
      </x:c>
      <x:c r="G1224" s="11" t="str">
        <x:v>Desk</x:v>
      </x:c>
      <x:c r="H1224" s="11" t="n">
        <x:v>4</x:v>
      </x:c>
      <x:c r="I1224" s="19" t="n">
        <x:v>0.25</x:v>
      </x:c>
      <x:c r="J1224" s="11" t="n">
        <x:v>0</x:v>
      </x:c>
      <x:c r="K1224" s="20" t="n">
        <x:v>1120</x:v>
      </x:c>
      <x:c r="L1224" s="20" t="n">
        <x:v>280</x:v>
      </x:c>
      <x:c r="M1224" s="20" t="n">
        <x:v>760</x:v>
      </x:c>
      <x:c r="N1224" s="20" t="n">
        <x:f>IF(J1224=1,0,K1224-L1224)</x:f>
        <x:v>840</x:v>
      </x:c>
      <x:c r="O1224" s="20" t="n">
        <x:f>N1224-M1224</x:f>
        <x:v>80</x:v>
      </x:c>
    </x:row>
    <x:row r="1225" ht="22" customHeight="1">
      <x:c r="A1225" s="11" t="n">
        <x:v>1221</x:v>
      </x:c>
      <x:c r="B1225" s="11" t="n">
        <x:v>611</x:v>
      </x:c>
      <x:c r="C1225" s="18" t="n">
        <x:v>45951</x:v>
      </x:c>
      <x:c r="D1225" s="11" t="str">
        <x:v>2025-10</x:v>
      </x:c>
      <x:c r="E1225" s="11" t="str">
        <x:v>West</x:v>
      </x:c>
      <x:c r="F1225" s="11" t="str">
        <x:v>Technology</x:v>
      </x:c>
      <x:c r="G1225" s="11" t="str">
        <x:v>Keyboard</x:v>
      </x:c>
      <x:c r="H1225" s="11" t="n">
        <x:v>3</x:v>
      </x:c>
      <x:c r="I1225" s="19" t="n">
        <x:v>0.1</x:v>
      </x:c>
      <x:c r="J1225" s="11" t="n">
        <x:v>0</x:v>
      </x:c>
      <x:c r="K1225" s="20" t="n">
        <x:v>195</x:v>
      </x:c>
      <x:c r="L1225" s="20" t="n">
        <x:v>19.5</x:v>
      </x:c>
      <x:c r="M1225" s="20" t="n">
        <x:v>96</x:v>
      </x:c>
      <x:c r="N1225" s="20" t="n">
        <x:f>IF(J1225=1,0,K1225-L1225)</x:f>
        <x:v>175.5</x:v>
      </x:c>
      <x:c r="O1225" s="20" t="n">
        <x:f>N1225-M1225</x:f>
        <x:v>79.5</x:v>
      </x:c>
    </x:row>
    <x:row r="1226" ht="22" customHeight="1">
      <x:c r="A1226" s="11" t="n">
        <x:v>1222</x:v>
      </x:c>
      <x:c r="B1226" s="11" t="n">
        <x:v>612</x:v>
      </x:c>
      <x:c r="C1226" s="18" t="n">
        <x:v>45394</x:v>
      </x:c>
      <x:c r="D1226" s="11" t="str">
        <x:v>2024-04</x:v>
      </x:c>
      <x:c r="E1226" s="11" t="str">
        <x:v>Central</x:v>
      </x:c>
      <x:c r="F1226" s="11" t="str">
        <x:v>Furniture</x:v>
      </x:c>
      <x:c r="G1226" s="11" t="str">
        <x:v>Desk</x:v>
      </x:c>
      <x:c r="H1226" s="11" t="n">
        <x:v>5</x:v>
      </x:c>
      <x:c r="I1226" s="19" t="n">
        <x:v>0.15</x:v>
      </x:c>
      <x:c r="J1226" s="11" t="n">
        <x:v>0</x:v>
      </x:c>
      <x:c r="K1226" s="20" t="n">
        <x:v>1400</x:v>
      </x:c>
      <x:c r="L1226" s="20" t="n">
        <x:v>210</x:v>
      </x:c>
      <x:c r="M1226" s="20" t="n">
        <x:v>950</x:v>
      </x:c>
      <x:c r="N1226" s="20" t="n">
        <x:f>IF(J1226=1,0,K1226-L1226)</x:f>
        <x:v>1190</x:v>
      </x:c>
      <x:c r="O1226" s="20" t="n">
        <x:f>N1226-M1226</x:f>
        <x:v>240</x:v>
      </x:c>
    </x:row>
    <x:row r="1227" ht="22" customHeight="1">
      <x:c r="A1227" s="11" t="n">
        <x:v>1223</x:v>
      </x:c>
      <x:c r="B1227" s="11" t="n">
        <x:v>612</x:v>
      </x:c>
      <x:c r="C1227" s="18" t="n">
        <x:v>45394</x:v>
      </x:c>
      <x:c r="D1227" s="11" t="str">
        <x:v>2024-04</x:v>
      </x:c>
      <x:c r="E1227" s="11" t="str">
        <x:v>Central</x:v>
      </x:c>
      <x:c r="F1227" s="11" t="str">
        <x:v>Technology</x:v>
      </x:c>
      <x:c r="G1227" s="11" t="str">
        <x:v>Monitor</x:v>
      </x:c>
      <x:c r="H1227" s="11" t="n">
        <x:v>1</x:v>
      </x:c>
      <x:c r="I1227" s="19" t="n">
        <x:v>0</x:v>
      </x:c>
      <x:c r="J1227" s="11" t="n">
        <x:v>0</x:v>
      </x:c>
      <x:c r="K1227" s="20" t="n">
        <x:v>240</x:v>
      </x:c>
      <x:c r="L1227" s="20" t="n">
        <x:v>0</x:v>
      </x:c>
      <x:c r="M1227" s="20" t="n">
        <x:v>160</x:v>
      </x:c>
      <x:c r="N1227" s="20" t="n">
        <x:f>IF(J1227=1,0,K1227-L1227)</x:f>
        <x:v>240</x:v>
      </x:c>
      <x:c r="O1227" s="20" t="n">
        <x:f>N1227-M1227</x:f>
        <x:v>80</x:v>
      </x:c>
    </x:row>
    <x:row r="1228" ht="22" customHeight="1">
      <x:c r="A1228" s="11" t="n">
        <x:v>1224</x:v>
      </x:c>
      <x:c r="B1228" s="11" t="n">
        <x:v>612</x:v>
      </x:c>
      <x:c r="C1228" s="18" t="n">
        <x:v>45394</x:v>
      </x:c>
      <x:c r="D1228" s="11" t="str">
        <x:v>2024-04</x:v>
      </x:c>
      <x:c r="E1228" s="11" t="str">
        <x:v>Central</x:v>
      </x:c>
      <x:c r="F1228" s="11" t="str">
        <x:v>Technology</x:v>
      </x:c>
      <x:c r="G1228" s="11" t="str">
        <x:v>Keyboard</x:v>
      </x:c>
      <x:c r="H1228" s="11" t="n">
        <x:v>2</x:v>
      </x:c>
      <x:c r="I1228" s="19" t="n">
        <x:v>0.1</x:v>
      </x:c>
      <x:c r="J1228" s="11" t="n">
        <x:v>0</x:v>
      </x:c>
      <x:c r="K1228" s="20" t="n">
        <x:v>130</x:v>
      </x:c>
      <x:c r="L1228" s="20" t="n">
        <x:v>13</x:v>
      </x:c>
      <x:c r="M1228" s="20" t="n">
        <x:v>64</x:v>
      </x:c>
      <x:c r="N1228" s="20" t="n">
        <x:f>IF(J1228=1,0,K1228-L1228)</x:f>
        <x:v>117</x:v>
      </x:c>
      <x:c r="O1228" s="20" t="n">
        <x:f>N1228-M1228</x:f>
        <x:v>53</x:v>
      </x:c>
    </x:row>
    <x:row r="1229" ht="22" customHeight="1">
      <x:c r="A1229" s="11" t="n">
        <x:v>1225</x:v>
      </x:c>
      <x:c r="B1229" s="11" t="n">
        <x:v>613</x:v>
      </x:c>
      <x:c r="C1229" s="18" t="n">
        <x:v>45431</x:v>
      </x:c>
      <x:c r="D1229" s="11" t="str">
        <x:v>2024-05</x:v>
      </x:c>
      <x:c r="E1229" s="11" t="str">
        <x:v>East</x:v>
      </x:c>
      <x:c r="F1229" s="11" t="str">
        <x:v>Office Supplies</x:v>
      </x:c>
      <x:c r="G1229" s="11" t="str">
        <x:v>Storage box</x:v>
      </x:c>
      <x:c r="H1229" s="11" t="n">
        <x:v>3</x:v>
      </x:c>
      <x:c r="I1229" s="19" t="n">
        <x:v>0.05</x:v>
      </x:c>
      <x:c r="J1229" s="11" t="n">
        <x:v>0</x:v>
      </x:c>
      <x:c r="K1229" s="20" t="n">
        <x:v>78</x:v>
      </x:c>
      <x:c r="L1229" s="20" t="n">
        <x:v>3.9</x:v>
      </x:c>
      <x:c r="M1229" s="20" t="n">
        <x:v>36</x:v>
      </x:c>
      <x:c r="N1229" s="20" t="n">
        <x:f>IF(J1229=1,0,K1229-L1229)</x:f>
        <x:v>74.1</x:v>
      </x:c>
      <x:c r="O1229" s="20" t="n">
        <x:f>N1229-M1229</x:f>
        <x:v>38.099999999999994</x:v>
      </x:c>
    </x:row>
    <x:row r="1230" ht="22" customHeight="1">
      <x:c r="A1230" s="11" t="n">
        <x:v>1226</x:v>
      </x:c>
      <x:c r="B1230" s="11" t="n">
        <x:v>614</x:v>
      </x:c>
      <x:c r="C1230" s="18" t="n">
        <x:v>45405</x:v>
      </x:c>
      <x:c r="D1230" s="11" t="str">
        <x:v>2024-04</x:v>
      </x:c>
      <x:c r="E1230" s="11" t="str">
        <x:v>South</x:v>
      </x:c>
      <x:c r="F1230" s="11" t="str">
        <x:v>Office Supplies</x:v>
      </x:c>
      <x:c r="G1230" s="11" t="str">
        <x:v>Storage box</x:v>
      </x:c>
      <x:c r="H1230" s="11" t="n">
        <x:v>3</x:v>
      </x:c>
      <x:c r="I1230" s="19" t="n">
        <x:v>0.1</x:v>
      </x:c>
      <x:c r="J1230" s="11" t="n">
        <x:v>0</x:v>
      </x:c>
      <x:c r="K1230" s="20" t="n">
        <x:v>78</x:v>
      </x:c>
      <x:c r="L1230" s="20" t="n">
        <x:v>7.8</x:v>
      </x:c>
      <x:c r="M1230" s="20" t="n">
        <x:v>36</x:v>
      </x:c>
      <x:c r="N1230" s="20" t="n">
        <x:f>IF(J1230=1,0,K1230-L1230)</x:f>
        <x:v>70.2</x:v>
      </x:c>
      <x:c r="O1230" s="20" t="n">
        <x:f>N1230-M1230</x:f>
        <x:v>34.2</x:v>
      </x:c>
    </x:row>
    <x:row r="1231" ht="22" customHeight="1">
      <x:c r="A1231" s="11" t="n">
        <x:v>1227</x:v>
      </x:c>
      <x:c r="B1231" s="11" t="n">
        <x:v>614</x:v>
      </x:c>
      <x:c r="C1231" s="18" t="n">
        <x:v>45405</x:v>
      </x:c>
      <x:c r="D1231" s="11" t="str">
        <x:v>2024-04</x:v>
      </x:c>
      <x:c r="E1231" s="11" t="str">
        <x:v>South</x:v>
      </x:c>
      <x:c r="F1231" s="11" t="str">
        <x:v>Furniture</x:v>
      </x:c>
      <x:c r="G1231" s="11" t="str">
        <x:v>Chair</x:v>
      </x:c>
      <x:c r="H1231" s="11" t="n">
        <x:v>2</x:v>
      </x:c>
      <x:c r="I1231" s="19" t="n">
        <x:v>0.1</x:v>
      </x:c>
      <x:c r="J1231" s="11" t="n">
        <x:v>0</x:v>
      </x:c>
      <x:c r="K1231" s="20" t="n">
        <x:v>340</x:v>
      </x:c>
      <x:c r="L1231" s="20" t="n">
        <x:v>34</x:v>
      </x:c>
      <x:c r="M1231" s="20" t="n">
        <x:v>220</x:v>
      </x:c>
      <x:c r="N1231" s="20" t="n">
        <x:f>IF(J1231=1,0,K1231-L1231)</x:f>
        <x:v>306</x:v>
      </x:c>
      <x:c r="O1231" s="20" t="n">
        <x:f>N1231-M1231</x:f>
        <x:v>86</x:v>
      </x:c>
    </x:row>
    <x:row r="1232" ht="22" customHeight="1">
      <x:c r="A1232" s="11" t="n">
        <x:v>1228</x:v>
      </x:c>
      <x:c r="B1232" s="11" t="n">
        <x:v>614</x:v>
      </x:c>
      <x:c r="C1232" s="18" t="n">
        <x:v>45405</x:v>
      </x:c>
      <x:c r="D1232" s="11" t="str">
        <x:v>2024-04</x:v>
      </x:c>
      <x:c r="E1232" s="11" t="str">
        <x:v>South</x:v>
      </x:c>
      <x:c r="F1232" s="11" t="str">
        <x:v>Technology</x:v>
      </x:c>
      <x:c r="G1232" s="11" t="str">
        <x:v>Keyboard</x:v>
      </x:c>
      <x:c r="H1232" s="11" t="n">
        <x:v>5</x:v>
      </x:c>
      <x:c r="I1232" s="19" t="n">
        <x:v>0.05</x:v>
      </x:c>
      <x:c r="J1232" s="11" t="n">
        <x:v>0</x:v>
      </x:c>
      <x:c r="K1232" s="20" t="n">
        <x:v>325</x:v>
      </x:c>
      <x:c r="L1232" s="20" t="n">
        <x:v>16.25</x:v>
      </x:c>
      <x:c r="M1232" s="20" t="n">
        <x:v>160</x:v>
      </x:c>
      <x:c r="N1232" s="20" t="n">
        <x:f>IF(J1232=1,0,K1232-L1232)</x:f>
        <x:v>308.75</x:v>
      </x:c>
      <x:c r="O1232" s="20" t="n">
        <x:f>N1232-M1232</x:f>
        <x:v>148.75</x:v>
      </x:c>
    </x:row>
    <x:row r="1233" ht="22" customHeight="1">
      <x:c r="A1233" s="11" t="n">
        <x:v>1229</x:v>
      </x:c>
      <x:c r="B1233" s="11" t="n">
        <x:v>615</x:v>
      </x:c>
      <x:c r="C1233" s="18" t="n">
        <x:v>45495</x:v>
      </x:c>
      <x:c r="D1233" s="11" t="str">
        <x:v>2024-07</x:v>
      </x:c>
      <x:c r="E1233" s="11" t="str">
        <x:v>West</x:v>
      </x:c>
      <x:c r="F1233" s="11" t="str">
        <x:v>Furniture</x:v>
      </x:c>
      <x:c r="G1233" s="11" t="str">
        <x:v>Chair</x:v>
      </x:c>
      <x:c r="H1233" s="11" t="n">
        <x:v>4</x:v>
      </x:c>
      <x:c r="I1233" s="19" t="n">
        <x:v>0.05</x:v>
      </x:c>
      <x:c r="J1233" s="11" t="n">
        <x:v>1</x:v>
      </x:c>
      <x:c r="K1233" s="20" t="n">
        <x:v>680</x:v>
      </x:c>
      <x:c r="L1233" s="20" t="n">
        <x:v>34</x:v>
      </x:c>
      <x:c r="M1233" s="20" t="n">
        <x:v>0</x:v>
      </x:c>
      <x:c r="N1233" s="20" t="n">
        <x:f>IF(J1233=1,0,K1233-L1233)</x:f>
        <x:v>0</x:v>
      </x:c>
      <x:c r="O1233" s="20" t="n">
        <x:f>N1233-M1233</x:f>
        <x:v>0</x:v>
      </x:c>
    </x:row>
    <x:row r="1234" ht="22" customHeight="1">
      <x:c r="A1234" s="11" t="n">
        <x:v>1230</x:v>
      </x:c>
      <x:c r="B1234" s="11" t="n">
        <x:v>615</x:v>
      </x:c>
      <x:c r="C1234" s="18" t="n">
        <x:v>45495</x:v>
      </x:c>
      <x:c r="D1234" s="11" t="str">
        <x:v>2024-07</x:v>
      </x:c>
      <x:c r="E1234" s="11" t="str">
        <x:v>West</x:v>
      </x:c>
      <x:c r="F1234" s="11" t="str">
        <x:v>Technology</x:v>
      </x:c>
      <x:c r="G1234" s="11" t="str">
        <x:v>Keyboard</x:v>
      </x:c>
      <x:c r="H1234" s="11" t="n">
        <x:v>1</x:v>
      </x:c>
      <x:c r="I1234" s="19" t="n">
        <x:v>0.15</x:v>
      </x:c>
      <x:c r="J1234" s="11" t="n">
        <x:v>0</x:v>
      </x:c>
      <x:c r="K1234" s="20" t="n">
        <x:v>65</x:v>
      </x:c>
      <x:c r="L1234" s="20" t="n">
        <x:v>9.75</x:v>
      </x:c>
      <x:c r="M1234" s="20" t="n">
        <x:v>32</x:v>
      </x:c>
      <x:c r="N1234" s="20" t="n">
        <x:f>IF(J1234=1,0,K1234-L1234)</x:f>
        <x:v>55.25</x:v>
      </x:c>
      <x:c r="O1234" s="20" t="n">
        <x:f>N1234-M1234</x:f>
        <x:v>23.25</x:v>
      </x:c>
    </x:row>
    <x:row r="1235" ht="22" customHeight="1">
      <x:c r="A1235" s="11" t="n">
        <x:v>1231</x:v>
      </x:c>
      <x:c r="B1235" s="11" t="n">
        <x:v>616</x:v>
      </x:c>
      <x:c r="C1235" s="18" t="n">
        <x:v>45933</x:v>
      </x:c>
      <x:c r="D1235" s="11" t="str">
        <x:v>2025-10</x:v>
      </x:c>
      <x:c r="E1235" s="11" t="str">
        <x:v>Central</x:v>
      </x:c>
      <x:c r="F1235" s="11" t="str">
        <x:v>Furniture</x:v>
      </x:c>
      <x:c r="G1235" s="11" t="str">
        <x:v>Chair</x:v>
      </x:c>
      <x:c r="H1235" s="11" t="n">
        <x:v>2</x:v>
      </x:c>
      <x:c r="I1235" s="19" t="n">
        <x:v>0</x:v>
      </x:c>
      <x:c r="J1235" s="11" t="n">
        <x:v>0</x:v>
      </x:c>
      <x:c r="K1235" s="20" t="n">
        <x:v>340</x:v>
      </x:c>
      <x:c r="L1235" s="20" t="n">
        <x:v>0</x:v>
      </x:c>
      <x:c r="M1235" s="20" t="n">
        <x:v>220</x:v>
      </x:c>
      <x:c r="N1235" s="20" t="n">
        <x:f>IF(J1235=1,0,K1235-L1235)</x:f>
        <x:v>340</x:v>
      </x:c>
      <x:c r="O1235" s="20" t="n">
        <x:f>N1235-M1235</x:f>
        <x:v>120</x:v>
      </x:c>
    </x:row>
    <x:row r="1236" ht="22" customHeight="1">
      <x:c r="A1236" s="11" t="n">
        <x:v>1232</x:v>
      </x:c>
      <x:c r="B1236" s="11" t="n">
        <x:v>616</x:v>
      </x:c>
      <x:c r="C1236" s="18" t="n">
        <x:v>45933</x:v>
      </x:c>
      <x:c r="D1236" s="11" t="str">
        <x:v>2025-10</x:v>
      </x:c>
      <x:c r="E1236" s="11" t="str">
        <x:v>Central</x:v>
      </x:c>
      <x:c r="F1236" s="11" t="str">
        <x:v>Technology</x:v>
      </x:c>
      <x:c r="G1236" s="11" t="str">
        <x:v>Monitor</x:v>
      </x:c>
      <x:c r="H1236" s="11" t="n">
        <x:v>4</x:v>
      </x:c>
      <x:c r="I1236" s="19" t="n">
        <x:v>0.15</x:v>
      </x:c>
      <x:c r="J1236" s="11" t="n">
        <x:v>0</x:v>
      </x:c>
      <x:c r="K1236" s="20" t="n">
        <x:v>960</x:v>
      </x:c>
      <x:c r="L1236" s="20" t="n">
        <x:v>144</x:v>
      </x:c>
      <x:c r="M1236" s="20" t="n">
        <x:v>640</x:v>
      </x:c>
      <x:c r="N1236" s="20" t="n">
        <x:f>IF(J1236=1,0,K1236-L1236)</x:f>
        <x:v>816</x:v>
      </x:c>
      <x:c r="O1236" s="20" t="n">
        <x:f>N1236-M1236</x:f>
        <x:v>176</x:v>
      </x:c>
    </x:row>
    <x:row r="1237" ht="22" customHeight="1">
      <x:c r="A1237" s="11" t="n">
        <x:v>1233</x:v>
      </x:c>
      <x:c r="B1237" s="11" t="n">
        <x:v>617</x:v>
      </x:c>
      <x:c r="C1237" s="18" t="n">
        <x:v>45383</x:v>
      </x:c>
      <x:c r="D1237" s="11" t="str">
        <x:v>2024-04</x:v>
      </x:c>
      <x:c r="E1237" s="11" t="str">
        <x:v>West</x:v>
      </x:c>
      <x:c r="F1237" s="11" t="str">
        <x:v>Furniture</x:v>
      </x:c>
      <x:c r="G1237" s="11" t="str">
        <x:v>Desk</x:v>
      </x:c>
      <x:c r="H1237" s="11" t="n">
        <x:v>4</x:v>
      </x:c>
      <x:c r="I1237" s="19" t="n">
        <x:v>0.35</x:v>
      </x:c>
      <x:c r="J1237" s="11" t="n">
        <x:v>0</x:v>
      </x:c>
      <x:c r="K1237" s="20" t="n">
        <x:v>1120</x:v>
      </x:c>
      <x:c r="L1237" s="20" t="n">
        <x:v>392</x:v>
      </x:c>
      <x:c r="M1237" s="20" t="n">
        <x:v>760</x:v>
      </x:c>
      <x:c r="N1237" s="20" t="n">
        <x:f>IF(J1237=1,0,K1237-L1237)</x:f>
        <x:v>728</x:v>
      </x:c>
      <x:c r="O1237" s="20" t="n">
        <x:f>N1237-M1237</x:f>
        <x:v>-32</x:v>
      </x:c>
    </x:row>
    <x:row r="1238" ht="22" customHeight="1">
      <x:c r="A1238" s="11" t="n">
        <x:v>1234</x:v>
      </x:c>
      <x:c r="B1238" s="11" t="n">
        <x:v>617</x:v>
      </x:c>
      <x:c r="C1238" s="18" t="n">
        <x:v>45383</x:v>
      </x:c>
      <x:c r="D1238" s="11" t="str">
        <x:v>2024-04</x:v>
      </x:c>
      <x:c r="E1238" s="11" t="str">
        <x:v>West</x:v>
      </x:c>
      <x:c r="F1238" s="11" t="str">
        <x:v>Office Supplies</x:v>
      </x:c>
      <x:c r="G1238" s="11" t="str">
        <x:v>Storage box</x:v>
      </x:c>
      <x:c r="H1238" s="11" t="n">
        <x:v>2</x:v>
      </x:c>
      <x:c r="I1238" s="19" t="n">
        <x:v>0</x:v>
      </x:c>
      <x:c r="J1238" s="11" t="n">
        <x:v>0</x:v>
      </x:c>
      <x:c r="K1238" s="20" t="n">
        <x:v>52</x:v>
      </x:c>
      <x:c r="L1238" s="20" t="n">
        <x:v>0</x:v>
      </x:c>
      <x:c r="M1238" s="20" t="n">
        <x:v>24</x:v>
      </x:c>
      <x:c r="N1238" s="20" t="n">
        <x:f>IF(J1238=1,0,K1238-L1238)</x:f>
        <x:v>52</x:v>
      </x:c>
      <x:c r="O1238" s="20" t="n">
        <x:f>N1238-M1238</x:f>
        <x:v>28</x:v>
      </x:c>
    </x:row>
    <x:row r="1239" ht="22" customHeight="1">
      <x:c r="A1239" s="11" t="n">
        <x:v>1235</x:v>
      </x:c>
      <x:c r="B1239" s="11" t="n">
        <x:v>617</x:v>
      </x:c>
      <x:c r="C1239" s="18" t="n">
        <x:v>45383</x:v>
      </x:c>
      <x:c r="D1239" s="11" t="str">
        <x:v>2024-04</x:v>
      </x:c>
      <x:c r="E1239" s="11" t="str">
        <x:v>West</x:v>
      </x:c>
      <x:c r="F1239" s="11" t="str">
        <x:v>Technology</x:v>
      </x:c>
      <x:c r="G1239" s="11" t="str">
        <x:v>Keyboard</x:v>
      </x:c>
      <x:c r="H1239" s="11" t="n">
        <x:v>3</x:v>
      </x:c>
      <x:c r="I1239" s="19" t="n">
        <x:v>0.05</x:v>
      </x:c>
      <x:c r="J1239" s="11" t="n">
        <x:v>0</x:v>
      </x:c>
      <x:c r="K1239" s="20" t="n">
        <x:v>195</x:v>
      </x:c>
      <x:c r="L1239" s="20" t="n">
        <x:v>9.75</x:v>
      </x:c>
      <x:c r="M1239" s="20" t="n">
        <x:v>96</x:v>
      </x:c>
      <x:c r="N1239" s="20" t="n">
        <x:f>IF(J1239=1,0,K1239-L1239)</x:f>
        <x:v>185.25</x:v>
      </x:c>
      <x:c r="O1239" s="20" t="n">
        <x:f>N1239-M1239</x:f>
        <x:v>89.25</x:v>
      </x:c>
    </x:row>
    <x:row r="1240" ht="22" customHeight="1">
      <x:c r="A1240" s="11" t="n">
        <x:v>1236</x:v>
      </x:c>
      <x:c r="B1240" s="11" t="n">
        <x:v>618</x:v>
      </x:c>
      <x:c r="C1240" s="18" t="n">
        <x:v>45683</x:v>
      </x:c>
      <x:c r="D1240" s="11" t="str">
        <x:v>2025-01</x:v>
      </x:c>
      <x:c r="E1240" s="11" t="str">
        <x:v>West</x:v>
      </x:c>
      <x:c r="F1240" s="11" t="str">
        <x:v>Office Supplies</x:v>
      </x:c>
      <x:c r="G1240" s="11" t="str">
        <x:v>Notebook pack</x:v>
      </x:c>
      <x:c r="H1240" s="11" t="n">
        <x:v>2</x:v>
      </x:c>
      <x:c r="I1240" s="19" t="n">
        <x:v>0.05</x:v>
      </x:c>
      <x:c r="J1240" s="11" t="n">
        <x:v>0</x:v>
      </x:c>
      <x:c r="K1240" s="20" t="n">
        <x:v>36</x:v>
      </x:c>
      <x:c r="L1240" s="20" t="n">
        <x:v>1.8</x:v>
      </x:c>
      <x:c r="M1240" s="20" t="n">
        <x:v>14</x:v>
      </x:c>
      <x:c r="N1240" s="20" t="n">
        <x:f>IF(J1240=1,0,K1240-L1240)</x:f>
        <x:v>34.2</x:v>
      </x:c>
      <x:c r="O1240" s="20" t="n">
        <x:f>N1240-M1240</x:f>
        <x:v>20.200000000000003</x:v>
      </x:c>
    </x:row>
    <x:row r="1241" ht="22" customHeight="1">
      <x:c r="A1241" s="11" t="n">
        <x:v>1237</x:v>
      </x:c>
      <x:c r="B1241" s="11" t="n">
        <x:v>619</x:v>
      </x:c>
      <x:c r="C1241" s="18" t="n">
        <x:v>45485</x:v>
      </x:c>
      <x:c r="D1241" s="11" t="str">
        <x:v>2024-07</x:v>
      </x:c>
      <x:c r="E1241" s="11" t="str">
        <x:v>South</x:v>
      </x:c>
      <x:c r="F1241" s="11" t="str">
        <x:v>Furniture</x:v>
      </x:c>
      <x:c r="G1241" s="11" t="str">
        <x:v>Chair</x:v>
      </x:c>
      <x:c r="H1241" s="11" t="n">
        <x:v>3</x:v>
      </x:c>
      <x:c r="I1241" s="19" t="n">
        <x:v>0.1</x:v>
      </x:c>
      <x:c r="J1241" s="11" t="n">
        <x:v>0</x:v>
      </x:c>
      <x:c r="K1241" s="20" t="n">
        <x:v>510</x:v>
      </x:c>
      <x:c r="L1241" s="20" t="n">
        <x:v>51</x:v>
      </x:c>
      <x:c r="M1241" s="20" t="n">
        <x:v>330</x:v>
      </x:c>
      <x:c r="N1241" s="20" t="n">
        <x:f>IF(J1241=1,0,K1241-L1241)</x:f>
        <x:v>459</x:v>
      </x:c>
      <x:c r="O1241" s="20" t="n">
        <x:f>N1241-M1241</x:f>
        <x:v>129</x:v>
      </x:c>
    </x:row>
    <x:row r="1242" ht="22" customHeight="1">
      <x:c r="A1242" s="11" t="n">
        <x:v>1238</x:v>
      </x:c>
      <x:c r="B1242" s="11" t="n">
        <x:v>619</x:v>
      </x:c>
      <x:c r="C1242" s="18" t="n">
        <x:v>45485</x:v>
      </x:c>
      <x:c r="D1242" s="11" t="str">
        <x:v>2024-07</x:v>
      </x:c>
      <x:c r="E1242" s="11" t="str">
        <x:v>South</x:v>
      </x:c>
      <x:c r="F1242" s="11" t="str">
        <x:v>Furniture</x:v>
      </x:c>
      <x:c r="G1242" s="11" t="str">
        <x:v>Desk</x:v>
      </x:c>
      <x:c r="H1242" s="11" t="n">
        <x:v>4</x:v>
      </x:c>
      <x:c r="I1242" s="19" t="n">
        <x:v>0.05</x:v>
      </x:c>
      <x:c r="J1242" s="11" t="n">
        <x:v>0</x:v>
      </x:c>
      <x:c r="K1242" s="20" t="n">
        <x:v>1120</x:v>
      </x:c>
      <x:c r="L1242" s="20" t="n">
        <x:v>56</x:v>
      </x:c>
      <x:c r="M1242" s="20" t="n">
        <x:v>760</x:v>
      </x:c>
      <x:c r="N1242" s="20" t="n">
        <x:f>IF(J1242=1,0,K1242-L1242)</x:f>
        <x:v>1064</x:v>
      </x:c>
      <x:c r="O1242" s="20" t="n">
        <x:f>N1242-M1242</x:f>
        <x:v>304</x:v>
      </x:c>
    </x:row>
    <x:row r="1243" ht="22" customHeight="1">
      <x:c r="A1243" s="11" t="n">
        <x:v>1239</x:v>
      </x:c>
      <x:c r="B1243" s="11" t="n">
        <x:v>620</x:v>
      </x:c>
      <x:c r="C1243" s="18" t="n">
        <x:v>45992</x:v>
      </x:c>
      <x:c r="D1243" s="11" t="str">
        <x:v>2025-12</x:v>
      </x:c>
      <x:c r="E1243" s="11" t="str">
        <x:v>South</x:v>
      </x:c>
      <x:c r="F1243" s="11" t="str">
        <x:v>Furniture</x:v>
      </x:c>
      <x:c r="G1243" s="11" t="str">
        <x:v>Desk</x:v>
      </x:c>
      <x:c r="H1243" s="11" t="n">
        <x:v>4</x:v>
      </x:c>
      <x:c r="I1243" s="19" t="n">
        <x:v>0</x:v>
      </x:c>
      <x:c r="J1243" s="11" t="n">
        <x:v>0</x:v>
      </x:c>
      <x:c r="K1243" s="20" t="n">
        <x:v>1120</x:v>
      </x:c>
      <x:c r="L1243" s="20" t="n">
        <x:v>0</x:v>
      </x:c>
      <x:c r="M1243" s="20" t="n">
        <x:v>760</x:v>
      </x:c>
      <x:c r="N1243" s="20" t="n">
        <x:f>IF(J1243=1,0,K1243-L1243)</x:f>
        <x:v>1120</x:v>
      </x:c>
      <x:c r="O1243" s="20" t="n">
        <x:f>N1243-M1243</x:f>
        <x:v>360</x:v>
      </x:c>
    </x:row>
    <x:row r="1244" ht="22" customHeight="1">
      <x:c r="A1244" s="11" t="n">
        <x:v>1240</x:v>
      </x:c>
      <x:c r="B1244" s="11" t="n">
        <x:v>621</x:v>
      </x:c>
      <x:c r="C1244" s="18" t="n">
        <x:v>46001</x:v>
      </x:c>
      <x:c r="D1244" s="11" t="str">
        <x:v>2025-12</x:v>
      </x:c>
      <x:c r="E1244" s="11" t="str">
        <x:v>East</x:v>
      </x:c>
      <x:c r="F1244" s="11" t="str">
        <x:v>Technology</x:v>
      </x:c>
      <x:c r="G1244" s="11" t="str">
        <x:v>Keyboard</x:v>
      </x:c>
      <x:c r="H1244" s="11" t="n">
        <x:v>1</x:v>
      </x:c>
      <x:c r="I1244" s="19" t="n">
        <x:v>0</x:v>
      </x:c>
      <x:c r="J1244" s="11" t="n">
        <x:v>0</x:v>
      </x:c>
      <x:c r="K1244" s="20" t="n">
        <x:v>65</x:v>
      </x:c>
      <x:c r="L1244" s="20" t="n">
        <x:v>0</x:v>
      </x:c>
      <x:c r="M1244" s="20" t="n">
        <x:v>32</x:v>
      </x:c>
      <x:c r="N1244" s="20" t="n">
        <x:f>IF(J1244=1,0,K1244-L1244)</x:f>
        <x:v>65</x:v>
      </x:c>
      <x:c r="O1244" s="20" t="n">
        <x:f>N1244-M1244</x:f>
        <x:v>33</x:v>
      </x:c>
    </x:row>
    <x:row r="1245" ht="22" customHeight="1">
      <x:c r="A1245" s="11" t="n">
        <x:v>1241</x:v>
      </x:c>
      <x:c r="B1245" s="11" t="n">
        <x:v>621</x:v>
      </x:c>
      <x:c r="C1245" s="18" t="n">
        <x:v>46001</x:v>
      </x:c>
      <x:c r="D1245" s="11" t="str">
        <x:v>2025-12</x:v>
      </x:c>
      <x:c r="E1245" s="11" t="str">
        <x:v>East</x:v>
      </x:c>
      <x:c r="F1245" s="11" t="str">
        <x:v>Office Supplies</x:v>
      </x:c>
      <x:c r="G1245" s="11" t="str">
        <x:v>Storage box</x:v>
      </x:c>
      <x:c r="H1245" s="11" t="n">
        <x:v>1</x:v>
      </x:c>
      <x:c r="I1245" s="19" t="n">
        <x:v>0.05</x:v>
      </x:c>
      <x:c r="J1245" s="11" t="n">
        <x:v>0</x:v>
      </x:c>
      <x:c r="K1245" s="20" t="n">
        <x:v>26</x:v>
      </x:c>
      <x:c r="L1245" s="20" t="n">
        <x:v>1.3</x:v>
      </x:c>
      <x:c r="M1245" s="20" t="n">
        <x:v>12</x:v>
      </x:c>
      <x:c r="N1245" s="20" t="n">
        <x:f>IF(J1245=1,0,K1245-L1245)</x:f>
        <x:v>24.7</x:v>
      </x:c>
      <x:c r="O1245" s="20" t="n">
        <x:f>N1245-M1245</x:f>
        <x:v>12.7</x:v>
      </x:c>
    </x:row>
    <x:row r="1246" ht="22" customHeight="1">
      <x:c r="A1246" s="11" t="n">
        <x:v>1242</x:v>
      </x:c>
      <x:c r="B1246" s="11" t="n">
        <x:v>621</x:v>
      </x:c>
      <x:c r="C1246" s="18" t="n">
        <x:v>46001</x:v>
      </x:c>
      <x:c r="D1246" s="11" t="str">
        <x:v>2025-12</x:v>
      </x:c>
      <x:c r="E1246" s="11" t="str">
        <x:v>East</x:v>
      </x:c>
      <x:c r="F1246" s="11" t="str">
        <x:v>Technology</x:v>
      </x:c>
      <x:c r="G1246" s="11" t="str">
        <x:v>Monitor</x:v>
      </x:c>
      <x:c r="H1246" s="11" t="n">
        <x:v>4</x:v>
      </x:c>
      <x:c r="I1246" s="19" t="n">
        <x:v>0.05</x:v>
      </x:c>
      <x:c r="J1246" s="11" t="n">
        <x:v>0</x:v>
      </x:c>
      <x:c r="K1246" s="20" t="n">
        <x:v>960</x:v>
      </x:c>
      <x:c r="L1246" s="20" t="n">
        <x:v>48</x:v>
      </x:c>
      <x:c r="M1246" s="20" t="n">
        <x:v>640</x:v>
      </x:c>
      <x:c r="N1246" s="20" t="n">
        <x:f>IF(J1246=1,0,K1246-L1246)</x:f>
        <x:v>912</x:v>
      </x:c>
      <x:c r="O1246" s="20" t="n">
        <x:f>N1246-M1246</x:f>
        <x:v>272</x:v>
      </x:c>
    </x:row>
    <x:row r="1247" ht="22" customHeight="1">
      <x:c r="A1247" s="11" t="n">
        <x:v>1243</x:v>
      </x:c>
      <x:c r="B1247" s="11" t="n">
        <x:v>622</x:v>
      </x:c>
      <x:c r="C1247" s="18" t="n">
        <x:v>45978</x:v>
      </x:c>
      <x:c r="D1247" s="11" t="str">
        <x:v>2025-11</x:v>
      </x:c>
      <x:c r="E1247" s="11" t="str">
        <x:v>West</x:v>
      </x:c>
      <x:c r="F1247" s="11" t="str">
        <x:v>Technology</x:v>
      </x:c>
      <x:c r="G1247" s="11" t="str">
        <x:v>Monitor</x:v>
      </x:c>
      <x:c r="H1247" s="11" t="n">
        <x:v>5</x:v>
      </x:c>
      <x:c r="I1247" s="19" t="n">
        <x:v>0.15</x:v>
      </x:c>
      <x:c r="J1247" s="11" t="n">
        <x:v>0</x:v>
      </x:c>
      <x:c r="K1247" s="20" t="n">
        <x:v>1200</x:v>
      </x:c>
      <x:c r="L1247" s="20" t="n">
        <x:v>180</x:v>
      </x:c>
      <x:c r="M1247" s="20" t="n">
        <x:v>800</x:v>
      </x:c>
      <x:c r="N1247" s="20" t="n">
        <x:f>IF(J1247=1,0,K1247-L1247)</x:f>
        <x:v>1020</x:v>
      </x:c>
      <x:c r="O1247" s="20" t="n">
        <x:f>N1247-M1247</x:f>
        <x:v>220</x:v>
      </x:c>
    </x:row>
    <x:row r="1248" ht="22" customHeight="1">
      <x:c r="A1248" s="11" t="n">
        <x:v>1244</x:v>
      </x:c>
      <x:c r="B1248" s="11" t="n">
        <x:v>623</x:v>
      </x:c>
      <x:c r="C1248" s="18" t="n">
        <x:v>45696</x:v>
      </x:c>
      <x:c r="D1248" s="11" t="str">
        <x:v>2025-02</x:v>
      </x:c>
      <x:c r="E1248" s="11" t="str">
        <x:v>South</x:v>
      </x:c>
      <x:c r="F1248" s="11" t="str">
        <x:v>Office Supplies</x:v>
      </x:c>
      <x:c r="G1248" s="11" t="str">
        <x:v>Notebook pack</x:v>
      </x:c>
      <x:c r="H1248" s="11" t="n">
        <x:v>1</x:v>
      </x:c>
      <x:c r="I1248" s="19" t="n">
        <x:v>0.15</x:v>
      </x:c>
      <x:c r="J1248" s="11" t="n">
        <x:v>0</x:v>
      </x:c>
      <x:c r="K1248" s="20" t="n">
        <x:v>18</x:v>
      </x:c>
      <x:c r="L1248" s="20" t="n">
        <x:v>2.7</x:v>
      </x:c>
      <x:c r="M1248" s="20" t="n">
        <x:v>7</x:v>
      </x:c>
      <x:c r="N1248" s="20" t="n">
        <x:f>IF(J1248=1,0,K1248-L1248)</x:f>
        <x:v>15.3</x:v>
      </x:c>
      <x:c r="O1248" s="20" t="n">
        <x:f>N1248-M1248</x:f>
        <x:v>8.3</x:v>
      </x:c>
    </x:row>
    <x:row r="1249" ht="22" customHeight="1">
      <x:c r="A1249" s="11" t="n">
        <x:v>1245</x:v>
      </x:c>
      <x:c r="B1249" s="11" t="n">
        <x:v>624</x:v>
      </x:c>
      <x:c r="C1249" s="18" t="n">
        <x:v>45465</x:v>
      </x:c>
      <x:c r="D1249" s="11" t="str">
        <x:v>2024-06</x:v>
      </x:c>
      <x:c r="E1249" s="11" t="str">
        <x:v>South</x:v>
      </x:c>
      <x:c r="F1249" s="11" t="str">
        <x:v>Technology</x:v>
      </x:c>
      <x:c r="G1249" s="11" t="str">
        <x:v>Keyboard</x:v>
      </x:c>
      <x:c r="H1249" s="11" t="n">
        <x:v>1</x:v>
      </x:c>
      <x:c r="I1249" s="19" t="n">
        <x:v>0.05</x:v>
      </x:c>
      <x:c r="J1249" s="11" t="n">
        <x:v>0</x:v>
      </x:c>
      <x:c r="K1249" s="20" t="n">
        <x:v>65</x:v>
      </x:c>
      <x:c r="L1249" s="20" t="n">
        <x:v>3.25</x:v>
      </x:c>
      <x:c r="M1249" s="20" t="n">
        <x:v>32</x:v>
      </x:c>
      <x:c r="N1249" s="20" t="n">
        <x:f>IF(J1249=1,0,K1249-L1249)</x:f>
        <x:v>61.75</x:v>
      </x:c>
      <x:c r="O1249" s="20" t="n">
        <x:f>N1249-M1249</x:f>
        <x:v>29.75</x:v>
      </x:c>
    </x:row>
    <x:row r="1250" ht="22" customHeight="1">
      <x:c r="A1250" s="11" t="n">
        <x:v>1246</x:v>
      </x:c>
      <x:c r="B1250" s="11" t="n">
        <x:v>624</x:v>
      </x:c>
      <x:c r="C1250" s="18" t="n">
        <x:v>45465</x:v>
      </x:c>
      <x:c r="D1250" s="11" t="str">
        <x:v>2024-06</x:v>
      </x:c>
      <x:c r="E1250" s="11" t="str">
        <x:v>South</x:v>
      </x:c>
      <x:c r="F1250" s="11" t="str">
        <x:v>Furniture</x:v>
      </x:c>
      <x:c r="G1250" s="11" t="str">
        <x:v>Chair</x:v>
      </x:c>
      <x:c r="H1250" s="11" t="n">
        <x:v>4</x:v>
      </x:c>
      <x:c r="I1250" s="19" t="n">
        <x:v>0</x:v>
      </x:c>
      <x:c r="J1250" s="11" t="n">
        <x:v>0</x:v>
      </x:c>
      <x:c r="K1250" s="20" t="n">
        <x:v>680</x:v>
      </x:c>
      <x:c r="L1250" s="20" t="n">
        <x:v>0</x:v>
      </x:c>
      <x:c r="M1250" s="20" t="n">
        <x:v>440</x:v>
      </x:c>
      <x:c r="N1250" s="20" t="n">
        <x:f>IF(J1250=1,0,K1250-L1250)</x:f>
        <x:v>680</x:v>
      </x:c>
      <x:c r="O1250" s="20" t="n">
        <x:f>N1250-M1250</x:f>
        <x:v>240</x:v>
      </x:c>
    </x:row>
    <x:row r="1251" ht="22" customHeight="1">
      <x:c r="A1251" s="11" t="n">
        <x:v>1247</x:v>
      </x:c>
      <x:c r="B1251" s="11" t="n">
        <x:v>625</x:v>
      </x:c>
      <x:c r="C1251" s="18" t="n">
        <x:v>45612</x:v>
      </x:c>
      <x:c r="D1251" s="11" t="str">
        <x:v>2024-11</x:v>
      </x:c>
      <x:c r="E1251" s="11" t="str">
        <x:v>South</x:v>
      </x:c>
      <x:c r="F1251" s="11" t="str">
        <x:v>Technology</x:v>
      </x:c>
      <x:c r="G1251" s="11" t="str">
        <x:v>Monitor</x:v>
      </x:c>
      <x:c r="H1251" s="11" t="n">
        <x:v>4</x:v>
      </x:c>
      <x:c r="I1251" s="19" t="n">
        <x:v>0.05</x:v>
      </x:c>
      <x:c r="J1251" s="11" t="n">
        <x:v>0</x:v>
      </x:c>
      <x:c r="K1251" s="20" t="n">
        <x:v>960</x:v>
      </x:c>
      <x:c r="L1251" s="20" t="n">
        <x:v>48</x:v>
      </x:c>
      <x:c r="M1251" s="20" t="n">
        <x:v>640</x:v>
      </x:c>
      <x:c r="N1251" s="20" t="n">
        <x:f>IF(J1251=1,0,K1251-L1251)</x:f>
        <x:v>912</x:v>
      </x:c>
      <x:c r="O1251" s="20" t="n">
        <x:f>N1251-M1251</x:f>
        <x:v>272</x:v>
      </x:c>
    </x:row>
    <x:row r="1252" ht="22" customHeight="1">
      <x:c r="A1252" s="11" t="n">
        <x:v>1248</x:v>
      </x:c>
      <x:c r="B1252" s="11" t="n">
        <x:v>625</x:v>
      </x:c>
      <x:c r="C1252" s="18" t="n">
        <x:v>45612</x:v>
      </x:c>
      <x:c r="D1252" s="11" t="str">
        <x:v>2024-11</x:v>
      </x:c>
      <x:c r="E1252" s="11" t="str">
        <x:v>South</x:v>
      </x:c>
      <x:c r="F1252" s="11" t="str">
        <x:v>Office Supplies</x:v>
      </x:c>
      <x:c r="G1252" s="11" t="str">
        <x:v>Storage box</x:v>
      </x:c>
      <x:c r="H1252" s="11" t="n">
        <x:v>3</x:v>
      </x:c>
      <x:c r="I1252" s="19" t="n">
        <x:v>0.15</x:v>
      </x:c>
      <x:c r="J1252" s="11" t="n">
        <x:v>0</x:v>
      </x:c>
      <x:c r="K1252" s="20" t="n">
        <x:v>78</x:v>
      </x:c>
      <x:c r="L1252" s="20" t="n">
        <x:v>11.7</x:v>
      </x:c>
      <x:c r="M1252" s="20" t="n">
        <x:v>36</x:v>
      </x:c>
      <x:c r="N1252" s="20" t="n">
        <x:f>IF(J1252=1,0,K1252-L1252)</x:f>
        <x:v>66.3</x:v>
      </x:c>
      <x:c r="O1252" s="20" t="n">
        <x:f>N1252-M1252</x:f>
        <x:v>30.299999999999997</x:v>
      </x:c>
    </x:row>
    <x:row r="1253" ht="22" customHeight="1">
      <x:c r="A1253" s="11" t="n">
        <x:v>1249</x:v>
      </x:c>
      <x:c r="B1253" s="11" t="n">
        <x:v>626</x:v>
      </x:c>
      <x:c r="C1253" s="18" t="n">
        <x:v>45562</x:v>
      </x:c>
      <x:c r="D1253" s="11" t="str">
        <x:v>2024-09</x:v>
      </x:c>
      <x:c r="E1253" s="11" t="str">
        <x:v>West</x:v>
      </x:c>
      <x:c r="F1253" s="11" t="str">
        <x:v>Furniture</x:v>
      </x:c>
      <x:c r="G1253" s="11" t="str">
        <x:v>Chair</x:v>
      </x:c>
      <x:c r="H1253" s="11" t="n">
        <x:v>4</x:v>
      </x:c>
      <x:c r="I1253" s="19" t="n">
        <x:v>0</x:v>
      </x:c>
      <x:c r="J1253" s="11" t="n">
        <x:v>0</x:v>
      </x:c>
      <x:c r="K1253" s="20" t="n">
        <x:v>680</x:v>
      </x:c>
      <x:c r="L1253" s="20" t="n">
        <x:v>0</x:v>
      </x:c>
      <x:c r="M1253" s="20" t="n">
        <x:v>440</x:v>
      </x:c>
      <x:c r="N1253" s="20" t="n">
        <x:f>IF(J1253=1,0,K1253-L1253)</x:f>
        <x:v>680</x:v>
      </x:c>
      <x:c r="O1253" s="20" t="n">
        <x:f>N1253-M1253</x:f>
        <x:v>240</x:v>
      </x:c>
    </x:row>
    <x:row r="1254" ht="22" customHeight="1">
      <x:c r="A1254" s="11" t="n">
        <x:v>1250</x:v>
      </x:c>
      <x:c r="B1254" s="11" t="n">
        <x:v>626</x:v>
      </x:c>
      <x:c r="C1254" s="18" t="n">
        <x:v>45562</x:v>
      </x:c>
      <x:c r="D1254" s="11" t="str">
        <x:v>2024-09</x:v>
      </x:c>
      <x:c r="E1254" s="11" t="str">
        <x:v>West</x:v>
      </x:c>
      <x:c r="F1254" s="11" t="str">
        <x:v>Technology</x:v>
      </x:c>
      <x:c r="G1254" s="11" t="str">
        <x:v>Monitor</x:v>
      </x:c>
      <x:c r="H1254" s="11" t="n">
        <x:v>4</x:v>
      </x:c>
      <x:c r="I1254" s="19" t="n">
        <x:v>0</x:v>
      </x:c>
      <x:c r="J1254" s="11" t="n">
        <x:v>0</x:v>
      </x:c>
      <x:c r="K1254" s="20" t="n">
        <x:v>960</x:v>
      </x:c>
      <x:c r="L1254" s="20" t="n">
        <x:v>0</x:v>
      </x:c>
      <x:c r="M1254" s="20" t="n">
        <x:v>640</x:v>
      </x:c>
      <x:c r="N1254" s="20" t="n">
        <x:f>IF(J1254=1,0,K1254-L1254)</x:f>
        <x:v>960</x:v>
      </x:c>
      <x:c r="O1254" s="20" t="n">
        <x:f>N1254-M1254</x:f>
        <x:v>320</x:v>
      </x:c>
    </x:row>
    <x:row r="1255" ht="22" customHeight="1">
      <x:c r="A1255" s="11" t="n">
        <x:v>1251</x:v>
      </x:c>
      <x:c r="B1255" s="11" t="n">
        <x:v>627</x:v>
      </x:c>
      <x:c r="C1255" s="18" t="n">
        <x:v>45347</x:v>
      </x:c>
      <x:c r="D1255" s="11" t="str">
        <x:v>2024-02</x:v>
      </x:c>
      <x:c r="E1255" s="11" t="str">
        <x:v>Central</x:v>
      </x:c>
      <x:c r="F1255" s="11" t="str">
        <x:v>Technology</x:v>
      </x:c>
      <x:c r="G1255" s="11" t="str">
        <x:v>Keyboard</x:v>
      </x:c>
      <x:c r="H1255" s="11" t="n">
        <x:v>3</x:v>
      </x:c>
      <x:c r="I1255" s="19" t="n">
        <x:v>0</x:v>
      </x:c>
      <x:c r="J1255" s="11" t="n">
        <x:v>0</x:v>
      </x:c>
      <x:c r="K1255" s="20" t="n">
        <x:v>195</x:v>
      </x:c>
      <x:c r="L1255" s="20" t="n">
        <x:v>0</x:v>
      </x:c>
      <x:c r="M1255" s="20" t="n">
        <x:v>96</x:v>
      </x:c>
      <x:c r="N1255" s="20" t="n">
        <x:f>IF(J1255=1,0,K1255-L1255)</x:f>
        <x:v>195</x:v>
      </x:c>
      <x:c r="O1255" s="20" t="n">
        <x:f>N1255-M1255</x:f>
        <x:v>99</x:v>
      </x:c>
    </x:row>
    <x:row r="1256" ht="22" customHeight="1">
      <x:c r="A1256" s="11" t="n">
        <x:v>1252</x:v>
      </x:c>
      <x:c r="B1256" s="11" t="n">
        <x:v>628</x:v>
      </x:c>
      <x:c r="C1256" s="18" t="n">
        <x:v>45738</x:v>
      </x:c>
      <x:c r="D1256" s="11" t="str">
        <x:v>2025-03</x:v>
      </x:c>
      <x:c r="E1256" s="11" t="str">
        <x:v>Central</x:v>
      </x:c>
      <x:c r="F1256" s="11" t="str">
        <x:v>Technology</x:v>
      </x:c>
      <x:c r="G1256" s="11" t="str">
        <x:v>Keyboard</x:v>
      </x:c>
      <x:c r="H1256" s="11" t="n">
        <x:v>3</x:v>
      </x:c>
      <x:c r="I1256" s="19" t="n">
        <x:v>0.15</x:v>
      </x:c>
      <x:c r="J1256" s="11" t="n">
        <x:v>0</x:v>
      </x:c>
      <x:c r="K1256" s="20" t="n">
        <x:v>195</x:v>
      </x:c>
      <x:c r="L1256" s="20" t="n">
        <x:v>29.25</x:v>
      </x:c>
      <x:c r="M1256" s="20" t="n">
        <x:v>96</x:v>
      </x:c>
      <x:c r="N1256" s="20" t="n">
        <x:f>IF(J1256=1,0,K1256-L1256)</x:f>
        <x:v>165.75</x:v>
      </x:c>
      <x:c r="O1256" s="20" t="n">
        <x:f>N1256-M1256</x:f>
        <x:v>69.75</x:v>
      </x:c>
    </x:row>
    <x:row r="1257" ht="22" customHeight="1">
      <x:c r="A1257" s="11" t="n">
        <x:v>1253</x:v>
      </x:c>
      <x:c r="B1257" s="11" t="n">
        <x:v>629</x:v>
      </x:c>
      <x:c r="C1257" s="18" t="n">
        <x:v>45796</x:v>
      </x:c>
      <x:c r="D1257" s="11" t="str">
        <x:v>2025-05</x:v>
      </x:c>
      <x:c r="E1257" s="11" t="str">
        <x:v>Central</x:v>
      </x:c>
      <x:c r="F1257" s="11" t="str">
        <x:v>Technology</x:v>
      </x:c>
      <x:c r="G1257" s="11" t="str">
        <x:v>Monitor</x:v>
      </x:c>
      <x:c r="H1257" s="11" t="n">
        <x:v>1</x:v>
      </x:c>
      <x:c r="I1257" s="19" t="n">
        <x:v>0</x:v>
      </x:c>
      <x:c r="J1257" s="11" t="n">
        <x:v>0</x:v>
      </x:c>
      <x:c r="K1257" s="20" t="n">
        <x:v>240</x:v>
      </x:c>
      <x:c r="L1257" s="20" t="n">
        <x:v>0</x:v>
      </x:c>
      <x:c r="M1257" s="20" t="n">
        <x:v>160</x:v>
      </x:c>
      <x:c r="N1257" s="20" t="n">
        <x:f>IF(J1257=1,0,K1257-L1257)</x:f>
        <x:v>240</x:v>
      </x:c>
      <x:c r="O1257" s="20" t="n">
        <x:f>N1257-M1257</x:f>
        <x:v>80</x:v>
      </x:c>
    </x:row>
    <x:row r="1258" ht="22" customHeight="1">
      <x:c r="A1258" s="11" t="n">
        <x:v>1254</x:v>
      </x:c>
      <x:c r="B1258" s="11" t="n">
        <x:v>630</x:v>
      </x:c>
      <x:c r="C1258" s="18" t="n">
        <x:v>45476</x:v>
      </x:c>
      <x:c r="D1258" s="11" t="str">
        <x:v>2024-07</x:v>
      </x:c>
      <x:c r="E1258" s="11" t="str">
        <x:v>South</x:v>
      </x:c>
      <x:c r="F1258" s="11" t="str">
        <x:v>Office Supplies</x:v>
      </x:c>
      <x:c r="G1258" s="11" t="str">
        <x:v>Storage box</x:v>
      </x:c>
      <x:c r="H1258" s="11" t="n">
        <x:v>5</x:v>
      </x:c>
      <x:c r="I1258" s="19" t="n">
        <x:v>0</x:v>
      </x:c>
      <x:c r="J1258" s="11" t="n">
        <x:v>0</x:v>
      </x:c>
      <x:c r="K1258" s="20" t="n">
        <x:v>130</x:v>
      </x:c>
      <x:c r="L1258" s="20" t="n">
        <x:v>0</x:v>
      </x:c>
      <x:c r="M1258" s="20" t="n">
        <x:v>60</x:v>
      </x:c>
      <x:c r="N1258" s="20" t="n">
        <x:f>IF(J1258=1,0,K1258-L1258)</x:f>
        <x:v>130</x:v>
      </x:c>
      <x:c r="O1258" s="20" t="n">
        <x:f>N1258-M1258</x:f>
        <x:v>70</x:v>
      </x:c>
    </x:row>
    <x:row r="1259" ht="22" customHeight="1">
      <x:c r="A1259" s="11" t="n">
        <x:v>1255</x:v>
      </x:c>
      <x:c r="B1259" s="11" t="n">
        <x:v>630</x:v>
      </x:c>
      <x:c r="C1259" s="18" t="n">
        <x:v>45476</x:v>
      </x:c>
      <x:c r="D1259" s="11" t="str">
        <x:v>2024-07</x:v>
      </x:c>
      <x:c r="E1259" s="11" t="str">
        <x:v>South</x:v>
      </x:c>
      <x:c r="F1259" s="11" t="str">
        <x:v>Office Supplies</x:v>
      </x:c>
      <x:c r="G1259" s="11" t="str">
        <x:v>Notebook pack</x:v>
      </x:c>
      <x:c r="H1259" s="11" t="n">
        <x:v>5</x:v>
      </x:c>
      <x:c r="I1259" s="19" t="n">
        <x:v>0</x:v>
      </x:c>
      <x:c r="J1259" s="11" t="n">
        <x:v>0</x:v>
      </x:c>
      <x:c r="K1259" s="20" t="n">
        <x:v>90</x:v>
      </x:c>
      <x:c r="L1259" s="20" t="n">
        <x:v>0</x:v>
      </x:c>
      <x:c r="M1259" s="20" t="n">
        <x:v>35</x:v>
      </x:c>
      <x:c r="N1259" s="20" t="n">
        <x:f>IF(J1259=1,0,K1259-L1259)</x:f>
        <x:v>90</x:v>
      </x:c>
      <x:c r="O1259" s="20" t="n">
        <x:f>N1259-M1259</x:f>
        <x:v>55</x:v>
      </x:c>
    </x:row>
    <x:row r="1260" ht="22" customHeight="1">
      <x:c r="A1260" s="11" t="n">
        <x:v>1256</x:v>
      </x:c>
      <x:c r="B1260" s="11" t="n">
        <x:v>630</x:v>
      </x:c>
      <x:c r="C1260" s="18" t="n">
        <x:v>45476</x:v>
      </x:c>
      <x:c r="D1260" s="11" t="str">
        <x:v>2024-07</x:v>
      </x:c>
      <x:c r="E1260" s="11" t="str">
        <x:v>South</x:v>
      </x:c>
      <x:c r="F1260" s="11" t="str">
        <x:v>Furniture</x:v>
      </x:c>
      <x:c r="G1260" s="11" t="str">
        <x:v>Chair</x:v>
      </x:c>
      <x:c r="H1260" s="11" t="n">
        <x:v>1</x:v>
      </x:c>
      <x:c r="I1260" s="19" t="n">
        <x:v>0.05</x:v>
      </x:c>
      <x:c r="J1260" s="11" t="n">
        <x:v>0</x:v>
      </x:c>
      <x:c r="K1260" s="20" t="n">
        <x:v>170</x:v>
      </x:c>
      <x:c r="L1260" s="20" t="n">
        <x:v>8.5</x:v>
      </x:c>
      <x:c r="M1260" s="20" t="n">
        <x:v>110</x:v>
      </x:c>
      <x:c r="N1260" s="20" t="n">
        <x:f>IF(J1260=1,0,K1260-L1260)</x:f>
        <x:v>161.5</x:v>
      </x:c>
      <x:c r="O1260" s="20" t="n">
        <x:f>N1260-M1260</x:f>
        <x:v>51.5</x:v>
      </x:c>
    </x:row>
    <x:row r="1261" ht="22" customHeight="1">
      <x:c r="A1261" s="11" t="n">
        <x:v>1257</x:v>
      </x:c>
      <x:c r="B1261" s="11" t="n">
        <x:v>631</x:v>
      </x:c>
      <x:c r="C1261" s="18" t="n">
        <x:v>45985</x:v>
      </x:c>
      <x:c r="D1261" s="11" t="str">
        <x:v>2025-11</x:v>
      </x:c>
      <x:c r="E1261" s="11" t="str">
        <x:v>West</x:v>
      </x:c>
      <x:c r="F1261" s="11" t="str">
        <x:v>Technology</x:v>
      </x:c>
      <x:c r="G1261" s="11" t="str">
        <x:v>Monitor</x:v>
      </x:c>
      <x:c r="H1261" s="11" t="n">
        <x:v>1</x:v>
      </x:c>
      <x:c r="I1261" s="19" t="n">
        <x:v>0.1</x:v>
      </x:c>
      <x:c r="J1261" s="11" t="n">
        <x:v>0</x:v>
      </x:c>
      <x:c r="K1261" s="20" t="n">
        <x:v>240</x:v>
      </x:c>
      <x:c r="L1261" s="20" t="n">
        <x:v>24</x:v>
      </x:c>
      <x:c r="M1261" s="20" t="n">
        <x:v>160</x:v>
      </x:c>
      <x:c r="N1261" s="20" t="n">
        <x:f>IF(J1261=1,0,K1261-L1261)</x:f>
        <x:v>216</x:v>
      </x:c>
      <x:c r="O1261" s="20" t="n">
        <x:f>N1261-M1261</x:f>
        <x:v>56</x:v>
      </x:c>
    </x:row>
    <x:row r="1262" ht="22" customHeight="1">
      <x:c r="A1262" s="11" t="n">
        <x:v>1258</x:v>
      </x:c>
      <x:c r="B1262" s="11" t="n">
        <x:v>632</x:v>
      </x:c>
      <x:c r="C1262" s="18" t="n">
        <x:v>45400</x:v>
      </x:c>
      <x:c r="D1262" s="11" t="str">
        <x:v>2024-04</x:v>
      </x:c>
      <x:c r="E1262" s="11" t="str">
        <x:v>West</x:v>
      </x:c>
      <x:c r="F1262" s="11" t="str">
        <x:v>Furniture</x:v>
      </x:c>
      <x:c r="G1262" s="11" t="str">
        <x:v>Desk</x:v>
      </x:c>
      <x:c r="H1262" s="11" t="n">
        <x:v>4</x:v>
      </x:c>
      <x:c r="I1262" s="19" t="n">
        <x:v>0.35</x:v>
      </x:c>
      <x:c r="J1262" s="11" t="n">
        <x:v>0</x:v>
      </x:c>
      <x:c r="K1262" s="20" t="n">
        <x:v>1120</x:v>
      </x:c>
      <x:c r="L1262" s="20" t="n">
        <x:v>392</x:v>
      </x:c>
      <x:c r="M1262" s="20" t="n">
        <x:v>760</x:v>
      </x:c>
      <x:c r="N1262" s="20" t="n">
        <x:f>IF(J1262=1,0,K1262-L1262)</x:f>
        <x:v>728</x:v>
      </x:c>
      <x:c r="O1262" s="20" t="n">
        <x:f>N1262-M1262</x:f>
        <x:v>-32</x:v>
      </x:c>
    </x:row>
    <x:row r="1263" ht="22" customHeight="1">
      <x:c r="A1263" s="11" t="n">
        <x:v>1259</x:v>
      </x:c>
      <x:c r="B1263" s="11" t="n">
        <x:v>633</x:v>
      </x:c>
      <x:c r="C1263" s="18" t="n">
        <x:v>45567</x:v>
      </x:c>
      <x:c r="D1263" s="11" t="str">
        <x:v>2024-10</x:v>
      </x:c>
      <x:c r="E1263" s="11" t="str">
        <x:v>West</x:v>
      </x:c>
      <x:c r="F1263" s="11" t="str">
        <x:v>Furniture</x:v>
      </x:c>
      <x:c r="G1263" s="11" t="str">
        <x:v>Desk</x:v>
      </x:c>
      <x:c r="H1263" s="11" t="n">
        <x:v>4</x:v>
      </x:c>
      <x:c r="I1263" s="19" t="n">
        <x:v>0.15</x:v>
      </x:c>
      <x:c r="J1263" s="11" t="n">
        <x:v>0</x:v>
      </x:c>
      <x:c r="K1263" s="20" t="n">
        <x:v>1120</x:v>
      </x:c>
      <x:c r="L1263" s="20" t="n">
        <x:v>168</x:v>
      </x:c>
      <x:c r="M1263" s="20" t="n">
        <x:v>760</x:v>
      </x:c>
      <x:c r="N1263" s="20" t="n">
        <x:f>IF(J1263=1,0,K1263-L1263)</x:f>
        <x:v>952</x:v>
      </x:c>
      <x:c r="O1263" s="20" t="n">
        <x:f>N1263-M1263</x:f>
        <x:v>192</x:v>
      </x:c>
    </x:row>
    <x:row r="1264" ht="22" customHeight="1">
      <x:c r="A1264" s="11" t="n">
        <x:v>1260</x:v>
      </x:c>
      <x:c r="B1264" s="11" t="n">
        <x:v>633</x:v>
      </x:c>
      <x:c r="C1264" s="18" t="n">
        <x:v>45567</x:v>
      </x:c>
      <x:c r="D1264" s="11" t="str">
        <x:v>2024-10</x:v>
      </x:c>
      <x:c r="E1264" s="11" t="str">
        <x:v>West</x:v>
      </x:c>
      <x:c r="F1264" s="11" t="str">
        <x:v>Office Supplies</x:v>
      </x:c>
      <x:c r="G1264" s="11" t="str">
        <x:v>Notebook pack</x:v>
      </x:c>
      <x:c r="H1264" s="11" t="n">
        <x:v>5</x:v>
      </x:c>
      <x:c r="I1264" s="19" t="n">
        <x:v>0</x:v>
      </x:c>
      <x:c r="J1264" s="11" t="n">
        <x:v>0</x:v>
      </x:c>
      <x:c r="K1264" s="20" t="n">
        <x:v>90</x:v>
      </x:c>
      <x:c r="L1264" s="20" t="n">
        <x:v>0</x:v>
      </x:c>
      <x:c r="M1264" s="20" t="n">
        <x:v>35</x:v>
      </x:c>
      <x:c r="N1264" s="20" t="n">
        <x:f>IF(J1264=1,0,K1264-L1264)</x:f>
        <x:v>90</x:v>
      </x:c>
      <x:c r="O1264" s="20" t="n">
        <x:f>N1264-M1264</x:f>
        <x:v>55</x:v>
      </x:c>
    </x:row>
    <x:row r="1265" ht="22" customHeight="1">
      <x:c r="A1265" s="11" t="n">
        <x:v>1261</x:v>
      </x:c>
      <x:c r="B1265" s="11" t="n">
        <x:v>634</x:v>
      </x:c>
      <x:c r="C1265" s="18" t="n">
        <x:v>45341</x:v>
      </x:c>
      <x:c r="D1265" s="11" t="str">
        <x:v>2024-02</x:v>
      </x:c>
      <x:c r="E1265" s="11" t="str">
        <x:v>West</x:v>
      </x:c>
      <x:c r="F1265" s="11" t="str">
        <x:v>Furniture</x:v>
      </x:c>
      <x:c r="G1265" s="11" t="str">
        <x:v>Desk</x:v>
      </x:c>
      <x:c r="H1265" s="11" t="n">
        <x:v>5</x:v>
      </x:c>
      <x:c r="I1265" s="19" t="n">
        <x:v>0.25</x:v>
      </x:c>
      <x:c r="J1265" s="11" t="n">
        <x:v>0</x:v>
      </x:c>
      <x:c r="K1265" s="20" t="n">
        <x:v>1400</x:v>
      </x:c>
      <x:c r="L1265" s="20" t="n">
        <x:v>350</x:v>
      </x:c>
      <x:c r="M1265" s="20" t="n">
        <x:v>950</x:v>
      </x:c>
      <x:c r="N1265" s="20" t="n">
        <x:f>IF(J1265=1,0,K1265-L1265)</x:f>
        <x:v>1050</x:v>
      </x:c>
      <x:c r="O1265" s="20" t="n">
        <x:f>N1265-M1265</x:f>
        <x:v>100</x:v>
      </x:c>
    </x:row>
    <x:row r="1266" ht="22" customHeight="1">
      <x:c r="A1266" s="11" t="n">
        <x:v>1262</x:v>
      </x:c>
      <x:c r="B1266" s="11" t="n">
        <x:v>634</x:v>
      </x:c>
      <x:c r="C1266" s="18" t="n">
        <x:v>45341</x:v>
      </x:c>
      <x:c r="D1266" s="11" t="str">
        <x:v>2024-02</x:v>
      </x:c>
      <x:c r="E1266" s="11" t="str">
        <x:v>West</x:v>
      </x:c>
      <x:c r="F1266" s="11" t="str">
        <x:v>Office Supplies</x:v>
      </x:c>
      <x:c r="G1266" s="11" t="str">
        <x:v>Storage box</x:v>
      </x:c>
      <x:c r="H1266" s="11" t="n">
        <x:v>3</x:v>
      </x:c>
      <x:c r="I1266" s="19" t="n">
        <x:v>0</x:v>
      </x:c>
      <x:c r="J1266" s="11" t="n">
        <x:v>0</x:v>
      </x:c>
      <x:c r="K1266" s="20" t="n">
        <x:v>78</x:v>
      </x:c>
      <x:c r="L1266" s="20" t="n">
        <x:v>0</x:v>
      </x:c>
      <x:c r="M1266" s="20" t="n">
        <x:v>36</x:v>
      </x:c>
      <x:c r="N1266" s="20" t="n">
        <x:f>IF(J1266=1,0,K1266-L1266)</x:f>
        <x:v>78</x:v>
      </x:c>
      <x:c r="O1266" s="20" t="n">
        <x:f>N1266-M1266</x:f>
        <x:v>42</x:v>
      </x:c>
    </x:row>
    <x:row r="1267" ht="22" customHeight="1">
      <x:c r="A1267" s="11" t="n">
        <x:v>1263</x:v>
      </x:c>
      <x:c r="B1267" s="11" t="n">
        <x:v>635</x:v>
      </x:c>
      <x:c r="C1267" s="18" t="n">
        <x:v>45700</x:v>
      </x:c>
      <x:c r="D1267" s="11" t="str">
        <x:v>2025-02</x:v>
      </x:c>
      <x:c r="E1267" s="11" t="str">
        <x:v>East</x:v>
      </x:c>
      <x:c r="F1267" s="11" t="str">
        <x:v>Furniture</x:v>
      </x:c>
      <x:c r="G1267" s="11" t="str">
        <x:v>Chair</x:v>
      </x:c>
      <x:c r="H1267" s="11" t="n">
        <x:v>4</x:v>
      </x:c>
      <x:c r="I1267" s="19" t="n">
        <x:v>0.25</x:v>
      </x:c>
      <x:c r="J1267" s="11" t="n">
        <x:v>0</x:v>
      </x:c>
      <x:c r="K1267" s="20" t="n">
        <x:v>680</x:v>
      </x:c>
      <x:c r="L1267" s="20" t="n">
        <x:v>170</x:v>
      </x:c>
      <x:c r="M1267" s="20" t="n">
        <x:v>440</x:v>
      </x:c>
      <x:c r="N1267" s="20" t="n">
        <x:f>IF(J1267=1,0,K1267-L1267)</x:f>
        <x:v>510</x:v>
      </x:c>
      <x:c r="O1267" s="20" t="n">
        <x:f>N1267-M1267</x:f>
        <x:v>70</x:v>
      </x:c>
    </x:row>
    <x:row r="1268" ht="22" customHeight="1">
      <x:c r="A1268" s="11" t="n">
        <x:v>1264</x:v>
      </x:c>
      <x:c r="B1268" s="11" t="n">
        <x:v>636</x:v>
      </x:c>
      <x:c r="C1268" s="18" t="n">
        <x:v>45961</x:v>
      </x:c>
      <x:c r="D1268" s="11" t="str">
        <x:v>2025-10</x:v>
      </x:c>
      <x:c r="E1268" s="11" t="str">
        <x:v>South</x:v>
      </x:c>
      <x:c r="F1268" s="11" t="str">
        <x:v>Technology</x:v>
      </x:c>
      <x:c r="G1268" s="11" t="str">
        <x:v>Keyboard</x:v>
      </x:c>
      <x:c r="H1268" s="11" t="n">
        <x:v>3</x:v>
      </x:c>
      <x:c r="I1268" s="19" t="n">
        <x:v>0.15</x:v>
      </x:c>
      <x:c r="J1268" s="11" t="n">
        <x:v>0</x:v>
      </x:c>
      <x:c r="K1268" s="20" t="n">
        <x:v>195</x:v>
      </x:c>
      <x:c r="L1268" s="20" t="n">
        <x:v>29.25</x:v>
      </x:c>
      <x:c r="M1268" s="20" t="n">
        <x:v>96</x:v>
      </x:c>
      <x:c r="N1268" s="20" t="n">
        <x:f>IF(J1268=1,0,K1268-L1268)</x:f>
        <x:v>165.75</x:v>
      </x:c>
      <x:c r="O1268" s="20" t="n">
        <x:f>N1268-M1268</x:f>
        <x:v>69.75</x:v>
      </x:c>
    </x:row>
    <x:row r="1269" ht="22" customHeight="1">
      <x:c r="A1269" s="11" t="n">
        <x:v>1265</x:v>
      </x:c>
      <x:c r="B1269" s="11" t="n">
        <x:v>636</x:v>
      </x:c>
      <x:c r="C1269" s="18" t="n">
        <x:v>45961</x:v>
      </x:c>
      <x:c r="D1269" s="11" t="str">
        <x:v>2025-10</x:v>
      </x:c>
      <x:c r="E1269" s="11" t="str">
        <x:v>South</x:v>
      </x:c>
      <x:c r="F1269" s="11" t="str">
        <x:v>Office Supplies</x:v>
      </x:c>
      <x:c r="G1269" s="11" t="str">
        <x:v>Storage box</x:v>
      </x:c>
      <x:c r="H1269" s="11" t="n">
        <x:v>1</x:v>
      </x:c>
      <x:c r="I1269" s="19" t="n">
        <x:v>0.05</x:v>
      </x:c>
      <x:c r="J1269" s="11" t="n">
        <x:v>0</x:v>
      </x:c>
      <x:c r="K1269" s="20" t="n">
        <x:v>26</x:v>
      </x:c>
      <x:c r="L1269" s="20" t="n">
        <x:v>1.3</x:v>
      </x:c>
      <x:c r="M1269" s="20" t="n">
        <x:v>12</x:v>
      </x:c>
      <x:c r="N1269" s="20" t="n">
        <x:f>IF(J1269=1,0,K1269-L1269)</x:f>
        <x:v>24.7</x:v>
      </x:c>
      <x:c r="O1269" s="20" t="n">
        <x:f>N1269-M1269</x:f>
        <x:v>12.7</x:v>
      </x:c>
    </x:row>
    <x:row r="1270" ht="22" customHeight="1">
      <x:c r="A1270" s="11" t="n">
        <x:v>1266</x:v>
      </x:c>
      <x:c r="B1270" s="11" t="n">
        <x:v>637</x:v>
      </x:c>
      <x:c r="C1270" s="18" t="n">
        <x:v>45793</x:v>
      </x:c>
      <x:c r="D1270" s="11" t="str">
        <x:v>2025-05</x:v>
      </x:c>
      <x:c r="E1270" s="11" t="str">
        <x:v>East</x:v>
      </x:c>
      <x:c r="F1270" s="11" t="str">
        <x:v>Technology</x:v>
      </x:c>
      <x:c r="G1270" s="11" t="str">
        <x:v>Monitor</x:v>
      </x:c>
      <x:c r="H1270" s="11" t="n">
        <x:v>5</x:v>
      </x:c>
      <x:c r="I1270" s="19" t="n">
        <x:v>0.1</x:v>
      </x:c>
      <x:c r="J1270" s="11" t="n">
        <x:v>0</x:v>
      </x:c>
      <x:c r="K1270" s="20" t="n">
        <x:v>1200</x:v>
      </x:c>
      <x:c r="L1270" s="20" t="n">
        <x:v>120</x:v>
      </x:c>
      <x:c r="M1270" s="20" t="n">
        <x:v>800</x:v>
      </x:c>
      <x:c r="N1270" s="20" t="n">
        <x:f>IF(J1270=1,0,K1270-L1270)</x:f>
        <x:v>1080</x:v>
      </x:c>
      <x:c r="O1270" s="20" t="n">
        <x:f>N1270-M1270</x:f>
        <x:v>280</x:v>
      </x:c>
    </x:row>
    <x:row r="1271" ht="22" customHeight="1">
      <x:c r="A1271" s="11" t="n">
        <x:v>1267</x:v>
      </x:c>
      <x:c r="B1271" s="11" t="n">
        <x:v>637</x:v>
      </x:c>
      <x:c r="C1271" s="18" t="n">
        <x:v>45793</x:v>
      </x:c>
      <x:c r="D1271" s="11" t="str">
        <x:v>2025-05</x:v>
      </x:c>
      <x:c r="E1271" s="11" t="str">
        <x:v>East</x:v>
      </x:c>
      <x:c r="F1271" s="11" t="str">
        <x:v>Office Supplies</x:v>
      </x:c>
      <x:c r="G1271" s="11" t="str">
        <x:v>Notebook pack</x:v>
      </x:c>
      <x:c r="H1271" s="11" t="n">
        <x:v>4</x:v>
      </x:c>
      <x:c r="I1271" s="19" t="n">
        <x:v>0.05</x:v>
      </x:c>
      <x:c r="J1271" s="11" t="n">
        <x:v>0</x:v>
      </x:c>
      <x:c r="K1271" s="20" t="n">
        <x:v>72</x:v>
      </x:c>
      <x:c r="L1271" s="20" t="n">
        <x:v>3.6</x:v>
      </x:c>
      <x:c r="M1271" s="20" t="n">
        <x:v>28</x:v>
      </x:c>
      <x:c r="N1271" s="20" t="n">
        <x:f>IF(J1271=1,0,K1271-L1271)</x:f>
        <x:v>68.4</x:v>
      </x:c>
      <x:c r="O1271" s="20" t="n">
        <x:f>N1271-M1271</x:f>
        <x:v>40.400000000000006</x:v>
      </x:c>
    </x:row>
    <x:row r="1272" ht="22" customHeight="1">
      <x:c r="A1272" s="11" t="n">
        <x:v>1268</x:v>
      </x:c>
      <x:c r="B1272" s="11" t="n">
        <x:v>638</x:v>
      </x:c>
      <x:c r="C1272" s="18" t="n">
        <x:v>45736</x:v>
      </x:c>
      <x:c r="D1272" s="11" t="str">
        <x:v>2025-03</x:v>
      </x:c>
      <x:c r="E1272" s="11" t="str">
        <x:v>East</x:v>
      </x:c>
      <x:c r="F1272" s="11" t="str">
        <x:v>Furniture</x:v>
      </x:c>
      <x:c r="G1272" s="11" t="str">
        <x:v>Desk</x:v>
      </x:c>
      <x:c r="H1272" s="11" t="n">
        <x:v>5</x:v>
      </x:c>
      <x:c r="I1272" s="19" t="n">
        <x:v>0.15</x:v>
      </x:c>
      <x:c r="J1272" s="11" t="n">
        <x:v>0</x:v>
      </x:c>
      <x:c r="K1272" s="20" t="n">
        <x:v>1400</x:v>
      </x:c>
      <x:c r="L1272" s="20" t="n">
        <x:v>210</x:v>
      </x:c>
      <x:c r="M1272" s="20" t="n">
        <x:v>950</x:v>
      </x:c>
      <x:c r="N1272" s="20" t="n">
        <x:f>IF(J1272=1,0,K1272-L1272)</x:f>
        <x:v>1190</x:v>
      </x:c>
      <x:c r="O1272" s="20" t="n">
        <x:f>N1272-M1272</x:f>
        <x:v>240</x:v>
      </x:c>
    </x:row>
    <x:row r="1273" ht="22" customHeight="1">
      <x:c r="A1273" s="11" t="n">
        <x:v>1269</x:v>
      </x:c>
      <x:c r="B1273" s="11" t="n">
        <x:v>639</x:v>
      </x:c>
      <x:c r="C1273" s="18" t="n">
        <x:v>45984</x:v>
      </x:c>
      <x:c r="D1273" s="11" t="str">
        <x:v>2025-11</x:v>
      </x:c>
      <x:c r="E1273" s="11" t="str">
        <x:v>West</x:v>
      </x:c>
      <x:c r="F1273" s="11" t="str">
        <x:v>Office Supplies</x:v>
      </x:c>
      <x:c r="G1273" s="11" t="str">
        <x:v>Notebook pack</x:v>
      </x:c>
      <x:c r="H1273" s="11" t="n">
        <x:v>1</x:v>
      </x:c>
      <x:c r="I1273" s="19" t="n">
        <x:v>0.05</x:v>
      </x:c>
      <x:c r="J1273" s="11" t="n">
        <x:v>0</x:v>
      </x:c>
      <x:c r="K1273" s="20" t="n">
        <x:v>18</x:v>
      </x:c>
      <x:c r="L1273" s="20" t="n">
        <x:v>0.9</x:v>
      </x:c>
      <x:c r="M1273" s="20" t="n">
        <x:v>7</x:v>
      </x:c>
      <x:c r="N1273" s="20" t="n">
        <x:f>IF(J1273=1,0,K1273-L1273)</x:f>
        <x:v>17.1</x:v>
      </x:c>
      <x:c r="O1273" s="20" t="n">
        <x:f>N1273-M1273</x:f>
        <x:v>10.100000000000001</x:v>
      </x:c>
    </x:row>
    <x:row r="1274" ht="22" customHeight="1">
      <x:c r="A1274" s="11" t="n">
        <x:v>1270</x:v>
      </x:c>
      <x:c r="B1274" s="11" t="n">
        <x:v>639</x:v>
      </x:c>
      <x:c r="C1274" s="18" t="n">
        <x:v>45984</x:v>
      </x:c>
      <x:c r="D1274" s="11" t="str">
        <x:v>2025-11</x:v>
      </x:c>
      <x:c r="E1274" s="11" t="str">
        <x:v>West</x:v>
      </x:c>
      <x:c r="F1274" s="11" t="str">
        <x:v>Office Supplies</x:v>
      </x:c>
      <x:c r="G1274" s="11" t="str">
        <x:v>Storage box</x:v>
      </x:c>
      <x:c r="H1274" s="11" t="n">
        <x:v>1</x:v>
      </x:c>
      <x:c r="I1274" s="19" t="n">
        <x:v>0.1</x:v>
      </x:c>
      <x:c r="J1274" s="11" t="n">
        <x:v>0</x:v>
      </x:c>
      <x:c r="K1274" s="20" t="n">
        <x:v>26</x:v>
      </x:c>
      <x:c r="L1274" s="20" t="n">
        <x:v>2.6</x:v>
      </x:c>
      <x:c r="M1274" s="20" t="n">
        <x:v>12</x:v>
      </x:c>
      <x:c r="N1274" s="20" t="n">
        <x:f>IF(J1274=1,0,K1274-L1274)</x:f>
        <x:v>23.4</x:v>
      </x:c>
      <x:c r="O1274" s="20" t="n">
        <x:f>N1274-M1274</x:f>
        <x:v>11.399999999999999</x:v>
      </x:c>
    </x:row>
    <x:row r="1275" ht="22" customHeight="1">
      <x:c r="A1275" s="11" t="n">
        <x:v>1271</x:v>
      </x:c>
      <x:c r="B1275" s="11" t="n">
        <x:v>640</x:v>
      </x:c>
      <x:c r="C1275" s="18" t="n">
        <x:v>45422</x:v>
      </x:c>
      <x:c r="D1275" s="11" t="str">
        <x:v>2024-05</x:v>
      </x:c>
      <x:c r="E1275" s="11" t="str">
        <x:v>East</x:v>
      </x:c>
      <x:c r="F1275" s="11" t="str">
        <x:v>Office Supplies</x:v>
      </x:c>
      <x:c r="G1275" s="11" t="str">
        <x:v>Notebook pack</x:v>
      </x:c>
      <x:c r="H1275" s="11" t="n">
        <x:v>4</x:v>
      </x:c>
      <x:c r="I1275" s="19" t="n">
        <x:v>0.05</x:v>
      </x:c>
      <x:c r="J1275" s="11" t="n">
        <x:v>0</x:v>
      </x:c>
      <x:c r="K1275" s="20" t="n">
        <x:v>72</x:v>
      </x:c>
      <x:c r="L1275" s="20" t="n">
        <x:v>3.6</x:v>
      </x:c>
      <x:c r="M1275" s="20" t="n">
        <x:v>28</x:v>
      </x:c>
      <x:c r="N1275" s="20" t="n">
        <x:f>IF(J1275=1,0,K1275-L1275)</x:f>
        <x:v>68.4</x:v>
      </x:c>
      <x:c r="O1275" s="20" t="n">
        <x:f>N1275-M1275</x:f>
        <x:v>40.400000000000006</x:v>
      </x:c>
    </x:row>
    <x:row r="1276" ht="22" customHeight="1">
      <x:c r="A1276" s="11" t="n">
        <x:v>1272</x:v>
      </x:c>
      <x:c r="B1276" s="11" t="n">
        <x:v>641</x:v>
      </x:c>
      <x:c r="C1276" s="18" t="n">
        <x:v>45856</x:v>
      </x:c>
      <x:c r="D1276" s="11" t="str">
        <x:v>2025-07</x:v>
      </x:c>
      <x:c r="E1276" s="11" t="str">
        <x:v>South</x:v>
      </x:c>
      <x:c r="F1276" s="11" t="str">
        <x:v>Furniture</x:v>
      </x:c>
      <x:c r="G1276" s="11" t="str">
        <x:v>Desk</x:v>
      </x:c>
      <x:c r="H1276" s="11" t="n">
        <x:v>4</x:v>
      </x:c>
      <x:c r="I1276" s="19" t="n">
        <x:v>0</x:v>
      </x:c>
      <x:c r="J1276" s="11" t="n">
        <x:v>0</x:v>
      </x:c>
      <x:c r="K1276" s="20" t="n">
        <x:v>1120</x:v>
      </x:c>
      <x:c r="L1276" s="20" t="n">
        <x:v>0</x:v>
      </x:c>
      <x:c r="M1276" s="20" t="n">
        <x:v>760</x:v>
      </x:c>
      <x:c r="N1276" s="20" t="n">
        <x:f>IF(J1276=1,0,K1276-L1276)</x:f>
        <x:v>1120</x:v>
      </x:c>
      <x:c r="O1276" s="20" t="n">
        <x:f>N1276-M1276</x:f>
        <x:v>360</x:v>
      </x:c>
    </x:row>
    <x:row r="1277" ht="22" customHeight="1">
      <x:c r="A1277" s="11" t="n">
        <x:v>1273</x:v>
      </x:c>
      <x:c r="B1277" s="11" t="n">
        <x:v>641</x:v>
      </x:c>
      <x:c r="C1277" s="18" t="n">
        <x:v>45856</x:v>
      </x:c>
      <x:c r="D1277" s="11" t="str">
        <x:v>2025-07</x:v>
      </x:c>
      <x:c r="E1277" s="11" t="str">
        <x:v>South</x:v>
      </x:c>
      <x:c r="F1277" s="11" t="str">
        <x:v>Office Supplies</x:v>
      </x:c>
      <x:c r="G1277" s="11" t="str">
        <x:v>Notebook pack</x:v>
      </x:c>
      <x:c r="H1277" s="11" t="n">
        <x:v>5</x:v>
      </x:c>
      <x:c r="I1277" s="19" t="n">
        <x:v>0.05</x:v>
      </x:c>
      <x:c r="J1277" s="11" t="n">
        <x:v>0</x:v>
      </x:c>
      <x:c r="K1277" s="20" t="n">
        <x:v>90</x:v>
      </x:c>
      <x:c r="L1277" s="20" t="n">
        <x:v>4.5</x:v>
      </x:c>
      <x:c r="M1277" s="20" t="n">
        <x:v>35</x:v>
      </x:c>
      <x:c r="N1277" s="20" t="n">
        <x:f>IF(J1277=1,0,K1277-L1277)</x:f>
        <x:v>85.5</x:v>
      </x:c>
      <x:c r="O1277" s="20" t="n">
        <x:f>N1277-M1277</x:f>
        <x:v>50.5</x:v>
      </x:c>
    </x:row>
    <x:row r="1278" ht="22" customHeight="1">
      <x:c r="A1278" s="11" t="n">
        <x:v>1274</x:v>
      </x:c>
      <x:c r="B1278" s="11" t="n">
        <x:v>641</x:v>
      </x:c>
      <x:c r="C1278" s="18" t="n">
        <x:v>45856</x:v>
      </x:c>
      <x:c r="D1278" s="11" t="str">
        <x:v>2025-07</x:v>
      </x:c>
      <x:c r="E1278" s="11" t="str">
        <x:v>South</x:v>
      </x:c>
      <x:c r="F1278" s="11" t="str">
        <x:v>Technology</x:v>
      </x:c>
      <x:c r="G1278" s="11" t="str">
        <x:v>Keyboard</x:v>
      </x:c>
      <x:c r="H1278" s="11" t="n">
        <x:v>5</x:v>
      </x:c>
      <x:c r="I1278" s="19" t="n">
        <x:v>0</x:v>
      </x:c>
      <x:c r="J1278" s="11" t="n">
        <x:v>0</x:v>
      </x:c>
      <x:c r="K1278" s="20" t="n">
        <x:v>325</x:v>
      </x:c>
      <x:c r="L1278" s="20" t="n">
        <x:v>0</x:v>
      </x:c>
      <x:c r="M1278" s="20" t="n">
        <x:v>160</x:v>
      </x:c>
      <x:c r="N1278" s="20" t="n">
        <x:f>IF(J1278=1,0,K1278-L1278)</x:f>
        <x:v>325</x:v>
      </x:c>
      <x:c r="O1278" s="20" t="n">
        <x:f>N1278-M1278</x:f>
        <x:v>165</x:v>
      </x:c>
    </x:row>
    <x:row r="1279" ht="22" customHeight="1">
      <x:c r="A1279" s="11" t="n">
        <x:v>1275</x:v>
      </x:c>
      <x:c r="B1279" s="11" t="n">
        <x:v>642</x:v>
      </x:c>
      <x:c r="C1279" s="18" t="n">
        <x:v>45308</x:v>
      </x:c>
      <x:c r="D1279" s="11" t="str">
        <x:v>2024-01</x:v>
      </x:c>
      <x:c r="E1279" s="11" t="str">
        <x:v>Central</x:v>
      </x:c>
      <x:c r="F1279" s="11" t="str">
        <x:v>Furniture</x:v>
      </x:c>
      <x:c r="G1279" s="11" t="str">
        <x:v>Chair</x:v>
      </x:c>
      <x:c r="H1279" s="11" t="n">
        <x:v>4</x:v>
      </x:c>
      <x:c r="I1279" s="19" t="n">
        <x:v>0</x:v>
      </x:c>
      <x:c r="J1279" s="11" t="n">
        <x:v>0</x:v>
      </x:c>
      <x:c r="K1279" s="20" t="n">
        <x:v>680</x:v>
      </x:c>
      <x:c r="L1279" s="20" t="n">
        <x:v>0</x:v>
      </x:c>
      <x:c r="M1279" s="20" t="n">
        <x:v>440</x:v>
      </x:c>
      <x:c r="N1279" s="20" t="n">
        <x:f>IF(J1279=1,0,K1279-L1279)</x:f>
        <x:v>680</x:v>
      </x:c>
      <x:c r="O1279" s="20" t="n">
        <x:f>N1279-M1279</x:f>
        <x:v>240</x:v>
      </x:c>
    </x:row>
    <x:row r="1280" ht="22" customHeight="1">
      <x:c r="A1280" s="11" t="n">
        <x:v>1276</x:v>
      </x:c>
      <x:c r="B1280" s="11" t="n">
        <x:v>643</x:v>
      </x:c>
      <x:c r="C1280" s="18" t="n">
        <x:v>46013</x:v>
      </x:c>
      <x:c r="D1280" s="11" t="str">
        <x:v>2025-12</x:v>
      </x:c>
      <x:c r="E1280" s="11" t="str">
        <x:v>Central</x:v>
      </x:c>
      <x:c r="F1280" s="11" t="str">
        <x:v>Office Supplies</x:v>
      </x:c>
      <x:c r="G1280" s="11" t="str">
        <x:v>Storage box</x:v>
      </x:c>
      <x:c r="H1280" s="11" t="n">
        <x:v>5</x:v>
      </x:c>
      <x:c r="I1280" s="19" t="n">
        <x:v>0.05</x:v>
      </x:c>
      <x:c r="J1280" s="11" t="n">
        <x:v>0</x:v>
      </x:c>
      <x:c r="K1280" s="20" t="n">
        <x:v>130</x:v>
      </x:c>
      <x:c r="L1280" s="20" t="n">
        <x:v>6.5</x:v>
      </x:c>
      <x:c r="M1280" s="20" t="n">
        <x:v>60</x:v>
      </x:c>
      <x:c r="N1280" s="20" t="n">
        <x:f>IF(J1280=1,0,K1280-L1280)</x:f>
        <x:v>123.5</x:v>
      </x:c>
      <x:c r="O1280" s="20" t="n">
        <x:f>N1280-M1280</x:f>
        <x:v>63.5</x:v>
      </x:c>
    </x:row>
    <x:row r="1281" ht="22" customHeight="1">
      <x:c r="A1281" s="11" t="n">
        <x:v>1277</x:v>
      </x:c>
      <x:c r="B1281" s="11" t="n">
        <x:v>643</x:v>
      </x:c>
      <x:c r="C1281" s="18" t="n">
        <x:v>46013</x:v>
      </x:c>
      <x:c r="D1281" s="11" t="str">
        <x:v>2025-12</x:v>
      </x:c>
      <x:c r="E1281" s="11" t="str">
        <x:v>Central</x:v>
      </x:c>
      <x:c r="F1281" s="11" t="str">
        <x:v>Technology</x:v>
      </x:c>
      <x:c r="G1281" s="11" t="str">
        <x:v>Keyboard</x:v>
      </x:c>
      <x:c r="H1281" s="11" t="n">
        <x:v>2</x:v>
      </x:c>
      <x:c r="I1281" s="19" t="n">
        <x:v>0</x:v>
      </x:c>
      <x:c r="J1281" s="11" t="n">
        <x:v>0</x:v>
      </x:c>
      <x:c r="K1281" s="20" t="n">
        <x:v>130</x:v>
      </x:c>
      <x:c r="L1281" s="20" t="n">
        <x:v>0</x:v>
      </x:c>
      <x:c r="M1281" s="20" t="n">
        <x:v>64</x:v>
      </x:c>
      <x:c r="N1281" s="20" t="n">
        <x:f>IF(J1281=1,0,K1281-L1281)</x:f>
        <x:v>130</x:v>
      </x:c>
      <x:c r="O1281" s="20" t="n">
        <x:f>N1281-M1281</x:f>
        <x:v>66</x:v>
      </x:c>
    </x:row>
    <x:row r="1282" ht="22" customHeight="1">
      <x:c r="A1282" s="11" t="n">
        <x:v>1278</x:v>
      </x:c>
      <x:c r="B1282" s="11" t="n">
        <x:v>643</x:v>
      </x:c>
      <x:c r="C1282" s="18" t="n">
        <x:v>46013</x:v>
      </x:c>
      <x:c r="D1282" s="11" t="str">
        <x:v>2025-12</x:v>
      </x:c>
      <x:c r="E1282" s="11" t="str">
        <x:v>Central</x:v>
      </x:c>
      <x:c r="F1282" s="11" t="str">
        <x:v>Office Supplies</x:v>
      </x:c>
      <x:c r="G1282" s="11" t="str">
        <x:v>Notebook pack</x:v>
      </x:c>
      <x:c r="H1282" s="11" t="n">
        <x:v>5</x:v>
      </x:c>
      <x:c r="I1282" s="19" t="n">
        <x:v>0.05</x:v>
      </x:c>
      <x:c r="J1282" s="11" t="n">
        <x:v>0</x:v>
      </x:c>
      <x:c r="K1282" s="20" t="n">
        <x:v>90</x:v>
      </x:c>
      <x:c r="L1282" s="20" t="n">
        <x:v>4.5</x:v>
      </x:c>
      <x:c r="M1282" s="20" t="n">
        <x:v>35</x:v>
      </x:c>
      <x:c r="N1282" s="20" t="n">
        <x:f>IF(J1282=1,0,K1282-L1282)</x:f>
        <x:v>85.5</x:v>
      </x:c>
      <x:c r="O1282" s="20" t="n">
        <x:f>N1282-M1282</x:f>
        <x:v>50.5</x:v>
      </x:c>
    </x:row>
    <x:row r="1283" ht="22" customHeight="1">
      <x:c r="A1283" s="11" t="n">
        <x:v>1279</x:v>
      </x:c>
      <x:c r="B1283" s="11" t="n">
        <x:v>644</x:v>
      </x:c>
      <x:c r="C1283" s="18" t="n">
        <x:v>45400</x:v>
      </x:c>
      <x:c r="D1283" s="11" t="str">
        <x:v>2024-04</x:v>
      </x:c>
      <x:c r="E1283" s="11" t="str">
        <x:v>Central</x:v>
      </x:c>
      <x:c r="F1283" s="11" t="str">
        <x:v>Technology</x:v>
      </x:c>
      <x:c r="G1283" s="11" t="str">
        <x:v>Keyboard</x:v>
      </x:c>
      <x:c r="H1283" s="11" t="n">
        <x:v>1</x:v>
      </x:c>
      <x:c r="I1283" s="19" t="n">
        <x:v>0</x:v>
      </x:c>
      <x:c r="J1283" s="11" t="n">
        <x:v>0</x:v>
      </x:c>
      <x:c r="K1283" s="20" t="n">
        <x:v>65</x:v>
      </x:c>
      <x:c r="L1283" s="20" t="n">
        <x:v>0</x:v>
      </x:c>
      <x:c r="M1283" s="20" t="n">
        <x:v>32</x:v>
      </x:c>
      <x:c r="N1283" s="20" t="n">
        <x:f>IF(J1283=1,0,K1283-L1283)</x:f>
        <x:v>65</x:v>
      </x:c>
      <x:c r="O1283" s="20" t="n">
        <x:f>N1283-M1283</x:f>
        <x:v>33</x:v>
      </x:c>
    </x:row>
    <x:row r="1284" ht="22" customHeight="1">
      <x:c r="A1284" s="11" t="n">
        <x:v>1280</x:v>
      </x:c>
      <x:c r="B1284" s="11" t="n">
        <x:v>645</x:v>
      </x:c>
      <x:c r="C1284" s="18" t="n">
        <x:v>45780</x:v>
      </x:c>
      <x:c r="D1284" s="11" t="str">
        <x:v>2025-05</x:v>
      </x:c>
      <x:c r="E1284" s="11" t="str">
        <x:v>East</x:v>
      </x:c>
      <x:c r="F1284" s="11" t="str">
        <x:v>Office Supplies</x:v>
      </x:c>
      <x:c r="G1284" s="11" t="str">
        <x:v>Storage box</x:v>
      </x:c>
      <x:c r="H1284" s="11" t="n">
        <x:v>3</x:v>
      </x:c>
      <x:c r="I1284" s="19" t="n">
        <x:v>0.15</x:v>
      </x:c>
      <x:c r="J1284" s="11" t="n">
        <x:v>0</x:v>
      </x:c>
      <x:c r="K1284" s="20" t="n">
        <x:v>78</x:v>
      </x:c>
      <x:c r="L1284" s="20" t="n">
        <x:v>11.7</x:v>
      </x:c>
      <x:c r="M1284" s="20" t="n">
        <x:v>36</x:v>
      </x:c>
      <x:c r="N1284" s="20" t="n">
        <x:f>IF(J1284=1,0,K1284-L1284)</x:f>
        <x:v>66.3</x:v>
      </x:c>
      <x:c r="O1284" s="20" t="n">
        <x:f>N1284-M1284</x:f>
        <x:v>30.299999999999997</x:v>
      </x:c>
    </x:row>
    <x:row r="1285" ht="22" customHeight="1">
      <x:c r="A1285" s="11" t="n">
        <x:v>1281</x:v>
      </x:c>
      <x:c r="B1285" s="11" t="n">
        <x:v>645</x:v>
      </x:c>
      <x:c r="C1285" s="18" t="n">
        <x:v>45780</x:v>
      </x:c>
      <x:c r="D1285" s="11" t="str">
        <x:v>2025-05</x:v>
      </x:c>
      <x:c r="E1285" s="11" t="str">
        <x:v>East</x:v>
      </x:c>
      <x:c r="F1285" s="11" t="str">
        <x:v>Office Supplies</x:v>
      </x:c>
      <x:c r="G1285" s="11" t="str">
        <x:v>Notebook pack</x:v>
      </x:c>
      <x:c r="H1285" s="11" t="n">
        <x:v>5</x:v>
      </x:c>
      <x:c r="I1285" s="19" t="n">
        <x:v>0.05</x:v>
      </x:c>
      <x:c r="J1285" s="11" t="n">
        <x:v>0</x:v>
      </x:c>
      <x:c r="K1285" s="20" t="n">
        <x:v>90</x:v>
      </x:c>
      <x:c r="L1285" s="20" t="n">
        <x:v>4.5</x:v>
      </x:c>
      <x:c r="M1285" s="20" t="n">
        <x:v>35</x:v>
      </x:c>
      <x:c r="N1285" s="20" t="n">
        <x:f>IF(J1285=1,0,K1285-L1285)</x:f>
        <x:v>85.5</x:v>
      </x:c>
      <x:c r="O1285" s="20" t="n">
        <x:f>N1285-M1285</x:f>
        <x:v>50.5</x:v>
      </x:c>
    </x:row>
    <x:row r="1286" ht="22" customHeight="1">
      <x:c r="A1286" s="11" t="n">
        <x:v>1282</x:v>
      </x:c>
      <x:c r="B1286" s="11" t="n">
        <x:v>645</x:v>
      </x:c>
      <x:c r="C1286" s="18" t="n">
        <x:v>45780</x:v>
      </x:c>
      <x:c r="D1286" s="11" t="str">
        <x:v>2025-05</x:v>
      </x:c>
      <x:c r="E1286" s="11" t="str">
        <x:v>East</x:v>
      </x:c>
      <x:c r="F1286" s="11" t="str">
        <x:v>Technology</x:v>
      </x:c>
      <x:c r="G1286" s="11" t="str">
        <x:v>Keyboard</x:v>
      </x:c>
      <x:c r="H1286" s="11" t="n">
        <x:v>4</x:v>
      </x:c>
      <x:c r="I1286" s="19" t="n">
        <x:v>0.05</x:v>
      </x:c>
      <x:c r="J1286" s="11" t="n">
        <x:v>0</x:v>
      </x:c>
      <x:c r="K1286" s="20" t="n">
        <x:v>260</x:v>
      </x:c>
      <x:c r="L1286" s="20" t="n">
        <x:v>13</x:v>
      </x:c>
      <x:c r="M1286" s="20" t="n">
        <x:v>128</x:v>
      </x:c>
      <x:c r="N1286" s="20" t="n">
        <x:f>IF(J1286=1,0,K1286-L1286)</x:f>
        <x:v>247</x:v>
      </x:c>
      <x:c r="O1286" s="20" t="n">
        <x:f>N1286-M1286</x:f>
        <x:v>119</x:v>
      </x:c>
    </x:row>
    <x:row r="1287" ht="22" customHeight="1">
      <x:c r="A1287" s="11" t="n">
        <x:v>1283</x:v>
      </x:c>
      <x:c r="B1287" s="11" t="n">
        <x:v>646</x:v>
      </x:c>
      <x:c r="C1287" s="18" t="n">
        <x:v>45430</x:v>
      </x:c>
      <x:c r="D1287" s="11" t="str">
        <x:v>2024-05</x:v>
      </x:c>
      <x:c r="E1287" s="11" t="str">
        <x:v>East</x:v>
      </x:c>
      <x:c r="F1287" s="11" t="str">
        <x:v>Furniture</x:v>
      </x:c>
      <x:c r="G1287" s="11" t="str">
        <x:v>Desk</x:v>
      </x:c>
      <x:c r="H1287" s="11" t="n">
        <x:v>2</x:v>
      </x:c>
      <x:c r="I1287" s="19" t="n">
        <x:v>0</x:v>
      </x:c>
      <x:c r="J1287" s="11" t="n">
        <x:v>0</x:v>
      </x:c>
      <x:c r="K1287" s="20" t="n">
        <x:v>560</x:v>
      </x:c>
      <x:c r="L1287" s="20" t="n">
        <x:v>0</x:v>
      </x:c>
      <x:c r="M1287" s="20" t="n">
        <x:v>380</x:v>
      </x:c>
      <x:c r="N1287" s="20" t="n">
        <x:f>IF(J1287=1,0,K1287-L1287)</x:f>
        <x:v>560</x:v>
      </x:c>
      <x:c r="O1287" s="20" t="n">
        <x:f>N1287-M1287</x:f>
        <x:v>180</x:v>
      </x:c>
    </x:row>
    <x:row r="1288" ht="22" customHeight="1">
      <x:c r="A1288" s="11" t="n">
        <x:v>1284</x:v>
      </x:c>
      <x:c r="B1288" s="11" t="n">
        <x:v>647</x:v>
      </x:c>
      <x:c r="C1288" s="18" t="n">
        <x:v>45956</x:v>
      </x:c>
      <x:c r="D1288" s="11" t="str">
        <x:v>2025-10</x:v>
      </x:c>
      <x:c r="E1288" s="11" t="str">
        <x:v>East</x:v>
      </x:c>
      <x:c r="F1288" s="11" t="str">
        <x:v>Office Supplies</x:v>
      </x:c>
      <x:c r="G1288" s="11" t="str">
        <x:v>Storage box</x:v>
      </x:c>
      <x:c r="H1288" s="11" t="n">
        <x:v>2</x:v>
      </x:c>
      <x:c r="I1288" s="19" t="n">
        <x:v>0</x:v>
      </x:c>
      <x:c r="J1288" s="11" t="n">
        <x:v>0</x:v>
      </x:c>
      <x:c r="K1288" s="20" t="n">
        <x:v>52</x:v>
      </x:c>
      <x:c r="L1288" s="20" t="n">
        <x:v>0</x:v>
      </x:c>
      <x:c r="M1288" s="20" t="n">
        <x:v>24</x:v>
      </x:c>
      <x:c r="N1288" s="20" t="n">
        <x:f>IF(J1288=1,0,K1288-L1288)</x:f>
        <x:v>52</x:v>
      </x:c>
      <x:c r="O1288" s="20" t="n">
        <x:f>N1288-M1288</x:f>
        <x:v>28</x:v>
      </x:c>
    </x:row>
    <x:row r="1289" ht="22" customHeight="1">
      <x:c r="A1289" s="11" t="n">
        <x:v>1285</x:v>
      </x:c>
      <x:c r="B1289" s="11" t="n">
        <x:v>647</x:v>
      </x:c>
      <x:c r="C1289" s="18" t="n">
        <x:v>45956</x:v>
      </x:c>
      <x:c r="D1289" s="11" t="str">
        <x:v>2025-10</x:v>
      </x:c>
      <x:c r="E1289" s="11" t="str">
        <x:v>East</x:v>
      </x:c>
      <x:c r="F1289" s="11" t="str">
        <x:v>Office Supplies</x:v>
      </x:c>
      <x:c r="G1289" s="11" t="str">
        <x:v>Notebook pack</x:v>
      </x:c>
      <x:c r="H1289" s="11" t="n">
        <x:v>4</x:v>
      </x:c>
      <x:c r="I1289" s="19" t="n">
        <x:v>0</x:v>
      </x:c>
      <x:c r="J1289" s="11" t="n">
        <x:v>0</x:v>
      </x:c>
      <x:c r="K1289" s="20" t="n">
        <x:v>72</x:v>
      </x:c>
      <x:c r="L1289" s="20" t="n">
        <x:v>0</x:v>
      </x:c>
      <x:c r="M1289" s="20" t="n">
        <x:v>28</x:v>
      </x:c>
      <x:c r="N1289" s="20" t="n">
        <x:f>IF(J1289=1,0,K1289-L1289)</x:f>
        <x:v>72</x:v>
      </x:c>
      <x:c r="O1289" s="20" t="n">
        <x:f>N1289-M1289</x:f>
        <x:v>44</x:v>
      </x:c>
    </x:row>
    <x:row r="1290" ht="22" customHeight="1">
      <x:c r="A1290" s="11" t="n">
        <x:v>1286</x:v>
      </x:c>
      <x:c r="B1290" s="11" t="n">
        <x:v>648</x:v>
      </x:c>
      <x:c r="C1290" s="18" t="n">
        <x:v>45314</x:v>
      </x:c>
      <x:c r="D1290" s="11" t="str">
        <x:v>2024-01</x:v>
      </x:c>
      <x:c r="E1290" s="11" t="str">
        <x:v>Central</x:v>
      </x:c>
      <x:c r="F1290" s="11" t="str">
        <x:v>Office Supplies</x:v>
      </x:c>
      <x:c r="G1290" s="11" t="str">
        <x:v>Storage box</x:v>
      </x:c>
      <x:c r="H1290" s="11" t="n">
        <x:v>4</x:v>
      </x:c>
      <x:c r="I1290" s="19" t="n">
        <x:v>0.1</x:v>
      </x:c>
      <x:c r="J1290" s="11" t="n">
        <x:v>0</x:v>
      </x:c>
      <x:c r="K1290" s="20" t="n">
        <x:v>104</x:v>
      </x:c>
      <x:c r="L1290" s="20" t="n">
        <x:v>10.4</x:v>
      </x:c>
      <x:c r="M1290" s="20" t="n">
        <x:v>48</x:v>
      </x:c>
      <x:c r="N1290" s="20" t="n">
        <x:f>IF(J1290=1,0,K1290-L1290)</x:f>
        <x:v>93.6</x:v>
      </x:c>
      <x:c r="O1290" s="20" t="n">
        <x:f>N1290-M1290</x:f>
        <x:v>45.599999999999994</x:v>
      </x:c>
    </x:row>
    <x:row r="1291" ht="22" customHeight="1">
      <x:c r="A1291" s="11" t="n">
        <x:v>1287</x:v>
      </x:c>
      <x:c r="B1291" s="11" t="n">
        <x:v>649</x:v>
      </x:c>
      <x:c r="C1291" s="18" t="n">
        <x:v>45752</x:v>
      </x:c>
      <x:c r="D1291" s="11" t="str">
        <x:v>2025-04</x:v>
      </x:c>
      <x:c r="E1291" s="11" t="str">
        <x:v>East</x:v>
      </x:c>
      <x:c r="F1291" s="11" t="str">
        <x:v>Technology</x:v>
      </x:c>
      <x:c r="G1291" s="11" t="str">
        <x:v>Monitor</x:v>
      </x:c>
      <x:c r="H1291" s="11" t="n">
        <x:v>5</x:v>
      </x:c>
      <x:c r="I1291" s="19" t="n">
        <x:v>0.1</x:v>
      </x:c>
      <x:c r="J1291" s="11" t="n">
        <x:v>1</x:v>
      </x:c>
      <x:c r="K1291" s="20" t="n">
        <x:v>1200</x:v>
      </x:c>
      <x:c r="L1291" s="20" t="n">
        <x:v>120</x:v>
      </x:c>
      <x:c r="M1291" s="20" t="n">
        <x:v>0</x:v>
      </x:c>
      <x:c r="N1291" s="20" t="n">
        <x:f>IF(J1291=1,0,K1291-L1291)</x:f>
        <x:v>0</x:v>
      </x:c>
      <x:c r="O1291" s="20" t="n">
        <x:f>N1291-M1291</x:f>
        <x:v>0</x:v>
      </x:c>
    </x:row>
    <x:row r="1292" ht="22" customHeight="1">
      <x:c r="A1292" s="11" t="n">
        <x:v>1288</x:v>
      </x:c>
      <x:c r="B1292" s="11" t="n">
        <x:v>650</x:v>
      </x:c>
      <x:c r="C1292" s="18" t="n">
        <x:v>45300</x:v>
      </x:c>
      <x:c r="D1292" s="11" t="str">
        <x:v>2024-01</x:v>
      </x:c>
      <x:c r="E1292" s="11" t="str">
        <x:v>South</x:v>
      </x:c>
      <x:c r="F1292" s="11" t="str">
        <x:v>Technology</x:v>
      </x:c>
      <x:c r="G1292" s="11" t="str">
        <x:v>Keyboard</x:v>
      </x:c>
      <x:c r="H1292" s="11" t="n">
        <x:v>5</x:v>
      </x:c>
      <x:c r="I1292" s="19" t="n">
        <x:v>0.15</x:v>
      </x:c>
      <x:c r="J1292" s="11" t="n">
        <x:v>0</x:v>
      </x:c>
      <x:c r="K1292" s="20" t="n">
        <x:v>325</x:v>
      </x:c>
      <x:c r="L1292" s="20" t="n">
        <x:v>48.75</x:v>
      </x:c>
      <x:c r="M1292" s="20" t="n">
        <x:v>160</x:v>
      </x:c>
      <x:c r="N1292" s="20" t="n">
        <x:f>IF(J1292=1,0,K1292-L1292)</x:f>
        <x:v>276.25</x:v>
      </x:c>
      <x:c r="O1292" s="20" t="n">
        <x:f>N1292-M1292</x:f>
        <x:v>116.25</x:v>
      </x:c>
    </x:row>
    <x:row r="1293" ht="22" customHeight="1">
      <x:c r="A1293" s="11" t="n">
        <x:v>1289</x:v>
      </x:c>
      <x:c r="B1293" s="11" t="n">
        <x:v>650</x:v>
      </x:c>
      <x:c r="C1293" s="18" t="n">
        <x:v>45300</x:v>
      </x:c>
      <x:c r="D1293" s="11" t="str">
        <x:v>2024-01</x:v>
      </x:c>
      <x:c r="E1293" s="11" t="str">
        <x:v>South</x:v>
      </x:c>
      <x:c r="F1293" s="11" t="str">
        <x:v>Office Supplies</x:v>
      </x:c>
      <x:c r="G1293" s="11" t="str">
        <x:v>Notebook pack</x:v>
      </x:c>
      <x:c r="H1293" s="11" t="n">
        <x:v>1</x:v>
      </x:c>
      <x:c r="I1293" s="19" t="n">
        <x:v>0.1</x:v>
      </x:c>
      <x:c r="J1293" s="11" t="n">
        <x:v>0</x:v>
      </x:c>
      <x:c r="K1293" s="20" t="n">
        <x:v>18</x:v>
      </x:c>
      <x:c r="L1293" s="20" t="n">
        <x:v>1.8</x:v>
      </x:c>
      <x:c r="M1293" s="20" t="n">
        <x:v>7</x:v>
      </x:c>
      <x:c r="N1293" s="20" t="n">
        <x:f>IF(J1293=1,0,K1293-L1293)</x:f>
        <x:v>16.2</x:v>
      </x:c>
      <x:c r="O1293" s="20" t="n">
        <x:f>N1293-M1293</x:f>
        <x:v>9.2</x:v>
      </x:c>
    </x:row>
    <x:row r="1294" ht="22" customHeight="1">
      <x:c r="A1294" s="11" t="n">
        <x:v>1290</x:v>
      </x:c>
      <x:c r="B1294" s="11" t="n">
        <x:v>651</x:v>
      </x:c>
      <x:c r="C1294" s="18" t="n">
        <x:v>45817</x:v>
      </x:c>
      <x:c r="D1294" s="11" t="str">
        <x:v>2025-06</x:v>
      </x:c>
      <x:c r="E1294" s="11" t="str">
        <x:v>East</x:v>
      </x:c>
      <x:c r="F1294" s="11" t="str">
        <x:v>Office Supplies</x:v>
      </x:c>
      <x:c r="G1294" s="11" t="str">
        <x:v>Storage box</x:v>
      </x:c>
      <x:c r="H1294" s="11" t="n">
        <x:v>1</x:v>
      </x:c>
      <x:c r="I1294" s="19" t="n">
        <x:v>0.15</x:v>
      </x:c>
      <x:c r="J1294" s="11" t="n">
        <x:v>1</x:v>
      </x:c>
      <x:c r="K1294" s="20" t="n">
        <x:v>26</x:v>
      </x:c>
      <x:c r="L1294" s="20" t="n">
        <x:v>3.9</x:v>
      </x:c>
      <x:c r="M1294" s="20" t="n">
        <x:v>0</x:v>
      </x:c>
      <x:c r="N1294" s="20" t="n">
        <x:f>IF(J1294=1,0,K1294-L1294)</x:f>
        <x:v>0</x:v>
      </x:c>
      <x:c r="O1294" s="20" t="n">
        <x:f>N1294-M1294</x:f>
        <x:v>0</x:v>
      </x:c>
    </x:row>
    <x:row r="1295" ht="22" customHeight="1">
      <x:c r="A1295" s="11" t="n">
        <x:v>1291</x:v>
      </x:c>
      <x:c r="B1295" s="11" t="n">
        <x:v>652</x:v>
      </x:c>
      <x:c r="C1295" s="18" t="n">
        <x:v>45882</x:v>
      </x:c>
      <x:c r="D1295" s="11" t="str">
        <x:v>2025-08</x:v>
      </x:c>
      <x:c r="E1295" s="11" t="str">
        <x:v>East</x:v>
      </x:c>
      <x:c r="F1295" s="11" t="str">
        <x:v>Office Supplies</x:v>
      </x:c>
      <x:c r="G1295" s="11" t="str">
        <x:v>Storage box</x:v>
      </x:c>
      <x:c r="H1295" s="11" t="n">
        <x:v>4</x:v>
      </x:c>
      <x:c r="I1295" s="19" t="n">
        <x:v>0</x:v>
      </x:c>
      <x:c r="J1295" s="11" t="n">
        <x:v>0</x:v>
      </x:c>
      <x:c r="K1295" s="20" t="n">
        <x:v>104</x:v>
      </x:c>
      <x:c r="L1295" s="20" t="n">
        <x:v>0</x:v>
      </x:c>
      <x:c r="M1295" s="20" t="n">
        <x:v>48</x:v>
      </x:c>
      <x:c r="N1295" s="20" t="n">
        <x:f>IF(J1295=1,0,K1295-L1295)</x:f>
        <x:v>104</x:v>
      </x:c>
      <x:c r="O1295" s="20" t="n">
        <x:f>N1295-M1295</x:f>
        <x:v>56</x:v>
      </x:c>
    </x:row>
    <x:row r="1296" ht="22" customHeight="1">
      <x:c r="A1296" s="11" t="n">
        <x:v>1292</x:v>
      </x:c>
      <x:c r="B1296" s="11" t="n">
        <x:v>652</x:v>
      </x:c>
      <x:c r="C1296" s="18" t="n">
        <x:v>45882</x:v>
      </x:c>
      <x:c r="D1296" s="11" t="str">
        <x:v>2025-08</x:v>
      </x:c>
      <x:c r="E1296" s="11" t="str">
        <x:v>East</x:v>
      </x:c>
      <x:c r="F1296" s="11" t="str">
        <x:v>Technology</x:v>
      </x:c>
      <x:c r="G1296" s="11" t="str">
        <x:v>Keyboard</x:v>
      </x:c>
      <x:c r="H1296" s="11" t="n">
        <x:v>3</x:v>
      </x:c>
      <x:c r="I1296" s="19" t="n">
        <x:v>0.1</x:v>
      </x:c>
      <x:c r="J1296" s="11" t="n">
        <x:v>0</x:v>
      </x:c>
      <x:c r="K1296" s="20" t="n">
        <x:v>195</x:v>
      </x:c>
      <x:c r="L1296" s="20" t="n">
        <x:v>19.5</x:v>
      </x:c>
      <x:c r="M1296" s="20" t="n">
        <x:v>96</x:v>
      </x:c>
      <x:c r="N1296" s="20" t="n">
        <x:f>IF(J1296=1,0,K1296-L1296)</x:f>
        <x:v>175.5</x:v>
      </x:c>
      <x:c r="O1296" s="20" t="n">
        <x:f>N1296-M1296</x:f>
        <x:v>79.5</x:v>
      </x:c>
    </x:row>
    <x:row r="1297" ht="22" customHeight="1">
      <x:c r="A1297" s="11" t="n">
        <x:v>1293</x:v>
      </x:c>
      <x:c r="B1297" s="11" t="n">
        <x:v>653</x:v>
      </x:c>
      <x:c r="C1297" s="18" t="n">
        <x:v>45313</x:v>
      </x:c>
      <x:c r="D1297" s="11" t="str">
        <x:v>2024-01</x:v>
      </x:c>
      <x:c r="E1297" s="11" t="str">
        <x:v>Central</x:v>
      </x:c>
      <x:c r="F1297" s="11" t="str">
        <x:v>Furniture</x:v>
      </x:c>
      <x:c r="G1297" s="11" t="str">
        <x:v>Chair</x:v>
      </x:c>
      <x:c r="H1297" s="11" t="n">
        <x:v>4</x:v>
      </x:c>
      <x:c r="I1297" s="19" t="n">
        <x:v>0.05</x:v>
      </x:c>
      <x:c r="J1297" s="11" t="n">
        <x:v>0</x:v>
      </x:c>
      <x:c r="K1297" s="20" t="n">
        <x:v>680</x:v>
      </x:c>
      <x:c r="L1297" s="20" t="n">
        <x:v>34</x:v>
      </x:c>
      <x:c r="M1297" s="20" t="n">
        <x:v>440</x:v>
      </x:c>
      <x:c r="N1297" s="20" t="n">
        <x:f>IF(J1297=1,0,K1297-L1297)</x:f>
        <x:v>646</x:v>
      </x:c>
      <x:c r="O1297" s="20" t="n">
        <x:f>N1297-M1297</x:f>
        <x:v>206</x:v>
      </x:c>
    </x:row>
    <x:row r="1298" ht="22" customHeight="1">
      <x:c r="A1298" s="11" t="n">
        <x:v>1294</x:v>
      </x:c>
      <x:c r="B1298" s="11" t="n">
        <x:v>653</x:v>
      </x:c>
      <x:c r="C1298" s="18" t="n">
        <x:v>45313</x:v>
      </x:c>
      <x:c r="D1298" s="11" t="str">
        <x:v>2024-01</x:v>
      </x:c>
      <x:c r="E1298" s="11" t="str">
        <x:v>Central</x:v>
      </x:c>
      <x:c r="F1298" s="11" t="str">
        <x:v>Technology</x:v>
      </x:c>
      <x:c r="G1298" s="11" t="str">
        <x:v>Keyboard</x:v>
      </x:c>
      <x:c r="H1298" s="11" t="n">
        <x:v>5</x:v>
      </x:c>
      <x:c r="I1298" s="19" t="n">
        <x:v>0.05</x:v>
      </x:c>
      <x:c r="J1298" s="11" t="n">
        <x:v>0</x:v>
      </x:c>
      <x:c r="K1298" s="20" t="n">
        <x:v>325</x:v>
      </x:c>
      <x:c r="L1298" s="20" t="n">
        <x:v>16.25</x:v>
      </x:c>
      <x:c r="M1298" s="20" t="n">
        <x:v>160</x:v>
      </x:c>
      <x:c r="N1298" s="20" t="n">
        <x:f>IF(J1298=1,0,K1298-L1298)</x:f>
        <x:v>308.75</x:v>
      </x:c>
      <x:c r="O1298" s="20" t="n">
        <x:f>N1298-M1298</x:f>
        <x:v>148.75</x:v>
      </x:c>
    </x:row>
    <x:row r="1299" ht="22" customHeight="1">
      <x:c r="A1299" s="11" t="n">
        <x:v>1295</x:v>
      </x:c>
      <x:c r="B1299" s="11" t="n">
        <x:v>653</x:v>
      </x:c>
      <x:c r="C1299" s="18" t="n">
        <x:v>45313</x:v>
      </x:c>
      <x:c r="D1299" s="11" t="str">
        <x:v>2024-01</x:v>
      </x:c>
      <x:c r="E1299" s="11" t="str">
        <x:v>Central</x:v>
      </x:c>
      <x:c r="F1299" s="11" t="str">
        <x:v>Technology</x:v>
      </x:c>
      <x:c r="G1299" s="11" t="str">
        <x:v>Monitor</x:v>
      </x:c>
      <x:c r="H1299" s="11" t="n">
        <x:v>4</x:v>
      </x:c>
      <x:c r="I1299" s="19" t="n">
        <x:v>0</x:v>
      </x:c>
      <x:c r="J1299" s="11" t="n">
        <x:v>0</x:v>
      </x:c>
      <x:c r="K1299" s="20" t="n">
        <x:v>960</x:v>
      </x:c>
      <x:c r="L1299" s="20" t="n">
        <x:v>0</x:v>
      </x:c>
      <x:c r="M1299" s="20" t="n">
        <x:v>640</x:v>
      </x:c>
      <x:c r="N1299" s="20" t="n">
        <x:f>IF(J1299=1,0,K1299-L1299)</x:f>
        <x:v>960</x:v>
      </x:c>
      <x:c r="O1299" s="20" t="n">
        <x:f>N1299-M1299</x:f>
        <x:v>320</x:v>
      </x:c>
    </x:row>
    <x:row r="1300" ht="22" customHeight="1">
      <x:c r="A1300" s="11" t="n">
        <x:v>1296</x:v>
      </x:c>
      <x:c r="B1300" s="11" t="n">
        <x:v>654</x:v>
      </x:c>
      <x:c r="C1300" s="18" t="n">
        <x:v>46020</x:v>
      </x:c>
      <x:c r="D1300" s="11" t="str">
        <x:v>2025-12</x:v>
      </x:c>
      <x:c r="E1300" s="11" t="str">
        <x:v>South</x:v>
      </x:c>
      <x:c r="F1300" s="11" t="str">
        <x:v>Office Supplies</x:v>
      </x:c>
      <x:c r="G1300" s="11" t="str">
        <x:v>Storage box</x:v>
      </x:c>
      <x:c r="H1300" s="11" t="n">
        <x:v>2</x:v>
      </x:c>
      <x:c r="I1300" s="19" t="n">
        <x:v>0.15</x:v>
      </x:c>
      <x:c r="J1300" s="11" t="n">
        <x:v>0</x:v>
      </x:c>
      <x:c r="K1300" s="20" t="n">
        <x:v>52</x:v>
      </x:c>
      <x:c r="L1300" s="20" t="n">
        <x:v>7.8</x:v>
      </x:c>
      <x:c r="M1300" s="20" t="n">
        <x:v>24</x:v>
      </x:c>
      <x:c r="N1300" s="20" t="n">
        <x:f>IF(J1300=1,0,K1300-L1300)</x:f>
        <x:v>44.2</x:v>
      </x:c>
      <x:c r="O1300" s="20" t="n">
        <x:f>N1300-M1300</x:f>
        <x:v>20.200000000000003</x:v>
      </x:c>
    </x:row>
    <x:row r="1301" ht="22" customHeight="1">
      <x:c r="A1301" s="11" t="n">
        <x:v>1297</x:v>
      </x:c>
      <x:c r="B1301" s="11" t="n">
        <x:v>654</x:v>
      </x:c>
      <x:c r="C1301" s="18" t="n">
        <x:v>46020</x:v>
      </x:c>
      <x:c r="D1301" s="11" t="str">
        <x:v>2025-12</x:v>
      </x:c>
      <x:c r="E1301" s="11" t="str">
        <x:v>South</x:v>
      </x:c>
      <x:c r="F1301" s="11" t="str">
        <x:v>Technology</x:v>
      </x:c>
      <x:c r="G1301" s="11" t="str">
        <x:v>Monitor</x:v>
      </x:c>
      <x:c r="H1301" s="11" t="n">
        <x:v>1</x:v>
      </x:c>
      <x:c r="I1301" s="19" t="n">
        <x:v>0.1</x:v>
      </x:c>
      <x:c r="J1301" s="11" t="n">
        <x:v>0</x:v>
      </x:c>
      <x:c r="K1301" s="20" t="n">
        <x:v>240</x:v>
      </x:c>
      <x:c r="L1301" s="20" t="n">
        <x:v>24</x:v>
      </x:c>
      <x:c r="M1301" s="20" t="n">
        <x:v>160</x:v>
      </x:c>
      <x:c r="N1301" s="20" t="n">
        <x:f>IF(J1301=1,0,K1301-L1301)</x:f>
        <x:v>216</x:v>
      </x:c>
      <x:c r="O1301" s="20" t="n">
        <x:f>N1301-M1301</x:f>
        <x:v>56</x:v>
      </x:c>
    </x:row>
    <x:row r="1302" ht="22" customHeight="1">
      <x:c r="A1302" s="11" t="n">
        <x:v>1298</x:v>
      </x:c>
      <x:c r="B1302" s="11" t="n">
        <x:v>654</x:v>
      </x:c>
      <x:c r="C1302" s="18" t="n">
        <x:v>46020</x:v>
      </x:c>
      <x:c r="D1302" s="11" t="str">
        <x:v>2025-12</x:v>
      </x:c>
      <x:c r="E1302" s="11" t="str">
        <x:v>South</x:v>
      </x:c>
      <x:c r="F1302" s="11" t="str">
        <x:v>Technology</x:v>
      </x:c>
      <x:c r="G1302" s="11" t="str">
        <x:v>Keyboard</x:v>
      </x:c>
      <x:c r="H1302" s="11" t="n">
        <x:v>2</x:v>
      </x:c>
      <x:c r="I1302" s="19" t="n">
        <x:v>0</x:v>
      </x:c>
      <x:c r="J1302" s="11" t="n">
        <x:v>0</x:v>
      </x:c>
      <x:c r="K1302" s="20" t="n">
        <x:v>130</x:v>
      </x:c>
      <x:c r="L1302" s="20" t="n">
        <x:v>0</x:v>
      </x:c>
      <x:c r="M1302" s="20" t="n">
        <x:v>64</x:v>
      </x:c>
      <x:c r="N1302" s="20" t="n">
        <x:f>IF(J1302=1,0,K1302-L1302)</x:f>
        <x:v>130</x:v>
      </x:c>
      <x:c r="O1302" s="20" t="n">
        <x:f>N1302-M1302</x:f>
        <x:v>66</x:v>
      </x:c>
    </x:row>
    <x:row r="1303" ht="22" customHeight="1">
      <x:c r="A1303" s="11" t="n">
        <x:v>1299</x:v>
      </x:c>
      <x:c r="B1303" s="11" t="n">
        <x:v>655</x:v>
      </x:c>
      <x:c r="C1303" s="18" t="n">
        <x:v>45395</x:v>
      </x:c>
      <x:c r="D1303" s="11" t="str">
        <x:v>2024-04</x:v>
      </x:c>
      <x:c r="E1303" s="11" t="str">
        <x:v>South</x:v>
      </x:c>
      <x:c r="F1303" s="11" t="str">
        <x:v>Furniture</x:v>
      </x:c>
      <x:c r="G1303" s="11" t="str">
        <x:v>Chair</x:v>
      </x:c>
      <x:c r="H1303" s="11" t="n">
        <x:v>5</x:v>
      </x:c>
      <x:c r="I1303" s="19" t="n">
        <x:v>0</x:v>
      </x:c>
      <x:c r="J1303" s="11" t="n">
        <x:v>0</x:v>
      </x:c>
      <x:c r="K1303" s="20" t="n">
        <x:v>850</x:v>
      </x:c>
      <x:c r="L1303" s="20" t="n">
        <x:v>0</x:v>
      </x:c>
      <x:c r="M1303" s="20" t="n">
        <x:v>550</x:v>
      </x:c>
      <x:c r="N1303" s="20" t="n">
        <x:f>IF(J1303=1,0,K1303-L1303)</x:f>
        <x:v>850</x:v>
      </x:c>
      <x:c r="O1303" s="20" t="n">
        <x:f>N1303-M1303</x:f>
        <x:v>300</x:v>
      </x:c>
    </x:row>
    <x:row r="1304" ht="22" customHeight="1">
      <x:c r="A1304" s="11" t="n">
        <x:v>1300</x:v>
      </x:c>
      <x:c r="B1304" s="11" t="n">
        <x:v>655</x:v>
      </x:c>
      <x:c r="C1304" s="18" t="n">
        <x:v>45395</x:v>
      </x:c>
      <x:c r="D1304" s="11" t="str">
        <x:v>2024-04</x:v>
      </x:c>
      <x:c r="E1304" s="11" t="str">
        <x:v>South</x:v>
      </x:c>
      <x:c r="F1304" s="11" t="str">
        <x:v>Office Supplies</x:v>
      </x:c>
      <x:c r="G1304" s="11" t="str">
        <x:v>Storage box</x:v>
      </x:c>
      <x:c r="H1304" s="11" t="n">
        <x:v>3</x:v>
      </x:c>
      <x:c r="I1304" s="19" t="n">
        <x:v>0.05</x:v>
      </x:c>
      <x:c r="J1304" s="11" t="n">
        <x:v>0</x:v>
      </x:c>
      <x:c r="K1304" s="20" t="n">
        <x:v>78</x:v>
      </x:c>
      <x:c r="L1304" s="20" t="n">
        <x:v>3.9</x:v>
      </x:c>
      <x:c r="M1304" s="20" t="n">
        <x:v>36</x:v>
      </x:c>
      <x:c r="N1304" s="20" t="n">
        <x:f>IF(J1304=1,0,K1304-L1304)</x:f>
        <x:v>74.1</x:v>
      </x:c>
      <x:c r="O1304" s="20" t="n">
        <x:f>N1304-M1304</x:f>
        <x:v>38.099999999999994</x:v>
      </x:c>
    </x:row>
    <x:row r="1305" ht="22" customHeight="1">
      <x:c r="A1305" s="11" t="n">
        <x:v>1301</x:v>
      </x:c>
      <x:c r="B1305" s="11" t="n">
        <x:v>656</x:v>
      </x:c>
      <x:c r="C1305" s="18" t="n">
        <x:v>45454</x:v>
      </x:c>
      <x:c r="D1305" s="11" t="str">
        <x:v>2024-06</x:v>
      </x:c>
      <x:c r="E1305" s="11" t="str">
        <x:v>Central</x:v>
      </x:c>
      <x:c r="F1305" s="11" t="str">
        <x:v>Technology</x:v>
      </x:c>
      <x:c r="G1305" s="11" t="str">
        <x:v>Monitor</x:v>
      </x:c>
      <x:c r="H1305" s="11" t="n">
        <x:v>4</x:v>
      </x:c>
      <x:c r="I1305" s="19" t="n">
        <x:v>0</x:v>
      </x:c>
      <x:c r="J1305" s="11" t="n">
        <x:v>0</x:v>
      </x:c>
      <x:c r="K1305" s="20" t="n">
        <x:v>960</x:v>
      </x:c>
      <x:c r="L1305" s="20" t="n">
        <x:v>0</x:v>
      </x:c>
      <x:c r="M1305" s="20" t="n">
        <x:v>640</x:v>
      </x:c>
      <x:c r="N1305" s="20" t="n">
        <x:f>IF(J1305=1,0,K1305-L1305)</x:f>
        <x:v>960</x:v>
      </x:c>
      <x:c r="O1305" s="20" t="n">
        <x:f>N1305-M1305</x:f>
        <x:v>320</x:v>
      </x:c>
    </x:row>
    <x:row r="1306" ht="22" customHeight="1">
      <x:c r="A1306" s="11" t="n">
        <x:v>1302</x:v>
      </x:c>
      <x:c r="B1306" s="11" t="n">
        <x:v>657</x:v>
      </x:c>
      <x:c r="C1306" s="18" t="n">
        <x:v>45415</x:v>
      </x:c>
      <x:c r="D1306" s="11" t="str">
        <x:v>2024-05</x:v>
      </x:c>
      <x:c r="E1306" s="11" t="str">
        <x:v>East</x:v>
      </x:c>
      <x:c r="F1306" s="11" t="str">
        <x:v>Technology</x:v>
      </x:c>
      <x:c r="G1306" s="11" t="str">
        <x:v>Monitor</x:v>
      </x:c>
      <x:c r="H1306" s="11" t="n">
        <x:v>3</x:v>
      </x:c>
      <x:c r="I1306" s="19" t="n">
        <x:v>0</x:v>
      </x:c>
      <x:c r="J1306" s="11" t="n">
        <x:v>0</x:v>
      </x:c>
      <x:c r="K1306" s="20" t="n">
        <x:v>720</x:v>
      </x:c>
      <x:c r="L1306" s="20" t="n">
        <x:v>0</x:v>
      </x:c>
      <x:c r="M1306" s="20" t="n">
        <x:v>480</x:v>
      </x:c>
      <x:c r="N1306" s="20" t="n">
        <x:f>IF(J1306=1,0,K1306-L1306)</x:f>
        <x:v>720</x:v>
      </x:c>
      <x:c r="O1306" s="20" t="n">
        <x:f>N1306-M1306</x:f>
        <x:v>240</x:v>
      </x:c>
    </x:row>
    <x:row r="1307" ht="22" customHeight="1">
      <x:c r="A1307" s="11" t="n">
        <x:v>1303</x:v>
      </x:c>
      <x:c r="B1307" s="11" t="n">
        <x:v>657</x:v>
      </x:c>
      <x:c r="C1307" s="18" t="n">
        <x:v>45415</x:v>
      </x:c>
      <x:c r="D1307" s="11" t="str">
        <x:v>2024-05</x:v>
      </x:c>
      <x:c r="E1307" s="11" t="str">
        <x:v>East</x:v>
      </x:c>
      <x:c r="F1307" s="11" t="str">
        <x:v>Office Supplies</x:v>
      </x:c>
      <x:c r="G1307" s="11" t="str">
        <x:v>Storage box</x:v>
      </x:c>
      <x:c r="H1307" s="11" t="n">
        <x:v>5</x:v>
      </x:c>
      <x:c r="I1307" s="19" t="n">
        <x:v>0.05</x:v>
      </x:c>
      <x:c r="J1307" s="11" t="n">
        <x:v>0</x:v>
      </x:c>
      <x:c r="K1307" s="20" t="n">
        <x:v>130</x:v>
      </x:c>
      <x:c r="L1307" s="20" t="n">
        <x:v>6.5</x:v>
      </x:c>
      <x:c r="M1307" s="20" t="n">
        <x:v>60</x:v>
      </x:c>
      <x:c r="N1307" s="20" t="n">
        <x:f>IF(J1307=1,0,K1307-L1307)</x:f>
        <x:v>123.5</x:v>
      </x:c>
      <x:c r="O1307" s="20" t="n">
        <x:f>N1307-M1307</x:f>
        <x:v>63.5</x:v>
      </x:c>
    </x:row>
    <x:row r="1308" ht="22" customHeight="1">
      <x:c r="A1308" s="11" t="n">
        <x:v>1304</x:v>
      </x:c>
      <x:c r="B1308" s="11" t="n">
        <x:v>658</x:v>
      </x:c>
      <x:c r="C1308" s="18" t="n">
        <x:v>45998</x:v>
      </x:c>
      <x:c r="D1308" s="11" t="str">
        <x:v>2025-12</x:v>
      </x:c>
      <x:c r="E1308" s="11" t="str">
        <x:v>Central</x:v>
      </x:c>
      <x:c r="F1308" s="11" t="str">
        <x:v>Furniture</x:v>
      </x:c>
      <x:c r="G1308" s="11" t="str">
        <x:v>Desk</x:v>
      </x:c>
      <x:c r="H1308" s="11" t="n">
        <x:v>1</x:v>
      </x:c>
      <x:c r="I1308" s="19" t="n">
        <x:v>0</x:v>
      </x:c>
      <x:c r="J1308" s="11" t="n">
        <x:v>0</x:v>
      </x:c>
      <x:c r="K1308" s="20" t="n">
        <x:v>280</x:v>
      </x:c>
      <x:c r="L1308" s="20" t="n">
        <x:v>0</x:v>
      </x:c>
      <x:c r="M1308" s="20" t="n">
        <x:v>190</x:v>
      </x:c>
      <x:c r="N1308" s="20" t="n">
        <x:f>IF(J1308=1,0,K1308-L1308)</x:f>
        <x:v>280</x:v>
      </x:c>
      <x:c r="O1308" s="20" t="n">
        <x:f>N1308-M1308</x:f>
        <x:v>90</x:v>
      </x:c>
    </x:row>
    <x:row r="1309" ht="22" customHeight="1">
      <x:c r="A1309" s="11" t="n">
        <x:v>1305</x:v>
      </x:c>
      <x:c r="B1309" s="11" t="n">
        <x:v>658</x:v>
      </x:c>
      <x:c r="C1309" s="18" t="n">
        <x:v>45998</x:v>
      </x:c>
      <x:c r="D1309" s="11" t="str">
        <x:v>2025-12</x:v>
      </x:c>
      <x:c r="E1309" s="11" t="str">
        <x:v>Central</x:v>
      </x:c>
      <x:c r="F1309" s="11" t="str">
        <x:v>Technology</x:v>
      </x:c>
      <x:c r="G1309" s="11" t="str">
        <x:v>Keyboard</x:v>
      </x:c>
      <x:c r="H1309" s="11" t="n">
        <x:v>5</x:v>
      </x:c>
      <x:c r="I1309" s="19" t="n">
        <x:v>0</x:v>
      </x:c>
      <x:c r="J1309" s="11" t="n">
        <x:v>0</x:v>
      </x:c>
      <x:c r="K1309" s="20" t="n">
        <x:v>325</x:v>
      </x:c>
      <x:c r="L1309" s="20" t="n">
        <x:v>0</x:v>
      </x:c>
      <x:c r="M1309" s="20" t="n">
        <x:v>160</x:v>
      </x:c>
      <x:c r="N1309" s="20" t="n">
        <x:f>IF(J1309=1,0,K1309-L1309)</x:f>
        <x:v>325</x:v>
      </x:c>
      <x:c r="O1309" s="20" t="n">
        <x:f>N1309-M1309</x:f>
        <x:v>165</x:v>
      </x:c>
    </x:row>
    <x:row r="1310" ht="22" customHeight="1">
      <x:c r="A1310" s="11" t="n">
        <x:v>1306</x:v>
      </x:c>
      <x:c r="B1310" s="11" t="n">
        <x:v>658</x:v>
      </x:c>
      <x:c r="C1310" s="18" t="n">
        <x:v>45998</x:v>
      </x:c>
      <x:c r="D1310" s="11" t="str">
        <x:v>2025-12</x:v>
      </x:c>
      <x:c r="E1310" s="11" t="str">
        <x:v>Central</x:v>
      </x:c>
      <x:c r="F1310" s="11" t="str">
        <x:v>Office Supplies</x:v>
      </x:c>
      <x:c r="G1310" s="11" t="str">
        <x:v>Notebook pack</x:v>
      </x:c>
      <x:c r="H1310" s="11" t="n">
        <x:v>1</x:v>
      </x:c>
      <x:c r="I1310" s="19" t="n">
        <x:v>0.15</x:v>
      </x:c>
      <x:c r="J1310" s="11" t="n">
        <x:v>0</x:v>
      </x:c>
      <x:c r="K1310" s="20" t="n">
        <x:v>18</x:v>
      </x:c>
      <x:c r="L1310" s="20" t="n">
        <x:v>2.7</x:v>
      </x:c>
      <x:c r="M1310" s="20" t="n">
        <x:v>7</x:v>
      </x:c>
      <x:c r="N1310" s="20" t="n">
        <x:f>IF(J1310=1,0,K1310-L1310)</x:f>
        <x:v>15.3</x:v>
      </x:c>
      <x:c r="O1310" s="20" t="n">
        <x:f>N1310-M1310</x:f>
        <x:v>8.3</x:v>
      </x:c>
    </x:row>
    <x:row r="1311" ht="22" customHeight="1">
      <x:c r="A1311" s="11" t="n">
        <x:v>1307</x:v>
      </x:c>
      <x:c r="B1311" s="11" t="n">
        <x:v>659</x:v>
      </x:c>
      <x:c r="C1311" s="18" t="n">
        <x:v>45937</x:v>
      </x:c>
      <x:c r="D1311" s="11" t="str">
        <x:v>2025-10</x:v>
      </x:c>
      <x:c r="E1311" s="11" t="str">
        <x:v>West</x:v>
      </x:c>
      <x:c r="F1311" s="11" t="str">
        <x:v>Furniture</x:v>
      </x:c>
      <x:c r="G1311" s="11" t="str">
        <x:v>Chair</x:v>
      </x:c>
      <x:c r="H1311" s="11" t="n">
        <x:v>4</x:v>
      </x:c>
      <x:c r="I1311" s="19" t="n">
        <x:v>0.35</x:v>
      </x:c>
      <x:c r="J1311" s="11" t="n">
        <x:v>0</x:v>
      </x:c>
      <x:c r="K1311" s="20" t="n">
        <x:v>680</x:v>
      </x:c>
      <x:c r="L1311" s="20" t="n">
        <x:v>238</x:v>
      </x:c>
      <x:c r="M1311" s="20" t="n">
        <x:v>440</x:v>
      </x:c>
      <x:c r="N1311" s="20" t="n">
        <x:f>IF(J1311=1,0,K1311-L1311)</x:f>
        <x:v>442</x:v>
      </x:c>
      <x:c r="O1311" s="20" t="n">
        <x:f>N1311-M1311</x:f>
        <x:v>2</x:v>
      </x:c>
    </x:row>
    <x:row r="1312" ht="22" customHeight="1">
      <x:c r="A1312" s="11" t="n">
        <x:v>1308</x:v>
      </x:c>
      <x:c r="B1312" s="11" t="n">
        <x:v>659</x:v>
      </x:c>
      <x:c r="C1312" s="18" t="n">
        <x:v>45937</x:v>
      </x:c>
      <x:c r="D1312" s="11" t="str">
        <x:v>2025-10</x:v>
      </x:c>
      <x:c r="E1312" s="11" t="str">
        <x:v>West</x:v>
      </x:c>
      <x:c r="F1312" s="11" t="str">
        <x:v>Technology</x:v>
      </x:c>
      <x:c r="G1312" s="11" t="str">
        <x:v>Monitor</x:v>
      </x:c>
      <x:c r="H1312" s="11" t="n">
        <x:v>1</x:v>
      </x:c>
      <x:c r="I1312" s="19" t="n">
        <x:v>0</x:v>
      </x:c>
      <x:c r="J1312" s="11" t="n">
        <x:v>0</x:v>
      </x:c>
      <x:c r="K1312" s="20" t="n">
        <x:v>240</x:v>
      </x:c>
      <x:c r="L1312" s="20" t="n">
        <x:v>0</x:v>
      </x:c>
      <x:c r="M1312" s="20" t="n">
        <x:v>160</x:v>
      </x:c>
      <x:c r="N1312" s="20" t="n">
        <x:f>IF(J1312=1,0,K1312-L1312)</x:f>
        <x:v>240</x:v>
      </x:c>
      <x:c r="O1312" s="20" t="n">
        <x:f>N1312-M1312</x:f>
        <x:v>80</x:v>
      </x:c>
    </x:row>
    <x:row r="1313" ht="22" customHeight="1">
      <x:c r="A1313" s="11" t="n">
        <x:v>1309</x:v>
      </x:c>
      <x:c r="B1313" s="11" t="n">
        <x:v>660</x:v>
      </x:c>
      <x:c r="C1313" s="18" t="n">
        <x:v>45634</x:v>
      </x:c>
      <x:c r="D1313" s="11" t="str">
        <x:v>2024-12</x:v>
      </x:c>
      <x:c r="E1313" s="11" t="str">
        <x:v>East</x:v>
      </x:c>
      <x:c r="F1313" s="11" t="str">
        <x:v>Technology</x:v>
      </x:c>
      <x:c r="G1313" s="11" t="str">
        <x:v>Keyboard</x:v>
      </x:c>
      <x:c r="H1313" s="11" t="n">
        <x:v>4</x:v>
      </x:c>
      <x:c r="I1313" s="19" t="n">
        <x:v>0</x:v>
      </x:c>
      <x:c r="J1313" s="11" t="n">
        <x:v>0</x:v>
      </x:c>
      <x:c r="K1313" s="20" t="n">
        <x:v>260</x:v>
      </x:c>
      <x:c r="L1313" s="20" t="n">
        <x:v>0</x:v>
      </x:c>
      <x:c r="M1313" s="20" t="n">
        <x:v>128</x:v>
      </x:c>
      <x:c r="N1313" s="20" t="n">
        <x:f>IF(J1313=1,0,K1313-L1313)</x:f>
        <x:v>260</x:v>
      </x:c>
      <x:c r="O1313" s="20" t="n">
        <x:f>N1313-M1313</x:f>
        <x:v>132</x:v>
      </x:c>
    </x:row>
    <x:row r="1314" ht="22" customHeight="1">
      <x:c r="A1314" s="11" t="n">
        <x:v>1310</x:v>
      </x:c>
      <x:c r="B1314" s="11" t="n">
        <x:v>661</x:v>
      </x:c>
      <x:c r="C1314" s="18" t="n">
        <x:v>45777</x:v>
      </x:c>
      <x:c r="D1314" s="11" t="str">
        <x:v>2025-04</x:v>
      </x:c>
      <x:c r="E1314" s="11" t="str">
        <x:v>East</x:v>
      </x:c>
      <x:c r="F1314" s="11" t="str">
        <x:v>Furniture</x:v>
      </x:c>
      <x:c r="G1314" s="11" t="str">
        <x:v>Chair</x:v>
      </x:c>
      <x:c r="H1314" s="11" t="n">
        <x:v>3</x:v>
      </x:c>
      <x:c r="I1314" s="19" t="n">
        <x:v>0.25</x:v>
      </x:c>
      <x:c r="J1314" s="11" t="n">
        <x:v>0</x:v>
      </x:c>
      <x:c r="K1314" s="20" t="n">
        <x:v>510</x:v>
      </x:c>
      <x:c r="L1314" s="20" t="n">
        <x:v>127.5</x:v>
      </x:c>
      <x:c r="M1314" s="20" t="n">
        <x:v>330</x:v>
      </x:c>
      <x:c r="N1314" s="20" t="n">
        <x:f>IF(J1314=1,0,K1314-L1314)</x:f>
        <x:v>382.5</x:v>
      </x:c>
      <x:c r="O1314" s="20" t="n">
        <x:f>N1314-M1314</x:f>
        <x:v>52.5</x:v>
      </x:c>
    </x:row>
    <x:row r="1315" ht="22" customHeight="1">
      <x:c r="A1315" s="11" t="n">
        <x:v>1311</x:v>
      </x:c>
      <x:c r="B1315" s="11" t="n">
        <x:v>661</x:v>
      </x:c>
      <x:c r="C1315" s="18" t="n">
        <x:v>45777</x:v>
      </x:c>
      <x:c r="D1315" s="11" t="str">
        <x:v>2025-04</x:v>
      </x:c>
      <x:c r="E1315" s="11" t="str">
        <x:v>East</x:v>
      </x:c>
      <x:c r="F1315" s="11" t="str">
        <x:v>Furniture</x:v>
      </x:c>
      <x:c r="G1315" s="11" t="str">
        <x:v>Desk</x:v>
      </x:c>
      <x:c r="H1315" s="11" t="n">
        <x:v>2</x:v>
      </x:c>
      <x:c r="I1315" s="19" t="n">
        <x:v>0</x:v>
      </x:c>
      <x:c r="J1315" s="11" t="n">
        <x:v>0</x:v>
      </x:c>
      <x:c r="K1315" s="20" t="n">
        <x:v>560</x:v>
      </x:c>
      <x:c r="L1315" s="20" t="n">
        <x:v>0</x:v>
      </x:c>
      <x:c r="M1315" s="20" t="n">
        <x:v>380</x:v>
      </x:c>
      <x:c r="N1315" s="20" t="n">
        <x:f>IF(J1315=1,0,K1315-L1315)</x:f>
        <x:v>560</x:v>
      </x:c>
      <x:c r="O1315" s="20" t="n">
        <x:f>N1315-M1315</x:f>
        <x:v>180</x:v>
      </x:c>
    </x:row>
    <x:row r="1316" ht="22" customHeight="1">
      <x:c r="A1316" s="11" t="n">
        <x:v>1312</x:v>
      </x:c>
      <x:c r="B1316" s="11" t="n">
        <x:v>661</x:v>
      </x:c>
      <x:c r="C1316" s="18" t="n">
        <x:v>45777</x:v>
      </x:c>
      <x:c r="D1316" s="11" t="str">
        <x:v>2025-04</x:v>
      </x:c>
      <x:c r="E1316" s="11" t="str">
        <x:v>East</x:v>
      </x:c>
      <x:c r="F1316" s="11" t="str">
        <x:v>Technology</x:v>
      </x:c>
      <x:c r="G1316" s="11" t="str">
        <x:v>Monitor</x:v>
      </x:c>
      <x:c r="H1316" s="11" t="n">
        <x:v>5</x:v>
      </x:c>
      <x:c r="I1316" s="19" t="n">
        <x:v>0.1</x:v>
      </x:c>
      <x:c r="J1316" s="11" t="n">
        <x:v>0</x:v>
      </x:c>
      <x:c r="K1316" s="20" t="n">
        <x:v>1200</x:v>
      </x:c>
      <x:c r="L1316" s="20" t="n">
        <x:v>120</x:v>
      </x:c>
      <x:c r="M1316" s="20" t="n">
        <x:v>800</x:v>
      </x:c>
      <x:c r="N1316" s="20" t="n">
        <x:f>IF(J1316=1,0,K1316-L1316)</x:f>
        <x:v>1080</x:v>
      </x:c>
      <x:c r="O1316" s="20" t="n">
        <x:f>N1316-M1316</x:f>
        <x:v>280</x:v>
      </x:c>
    </x:row>
    <x:row r="1317" ht="22" customHeight="1">
      <x:c r="A1317" s="11" t="n">
        <x:v>1313</x:v>
      </x:c>
      <x:c r="B1317" s="11" t="n">
        <x:v>662</x:v>
      </x:c>
      <x:c r="C1317" s="18" t="n">
        <x:v>45433</x:v>
      </x:c>
      <x:c r="D1317" s="11" t="str">
        <x:v>2024-05</x:v>
      </x:c>
      <x:c r="E1317" s="11" t="str">
        <x:v>South</x:v>
      </x:c>
      <x:c r="F1317" s="11" t="str">
        <x:v>Technology</x:v>
      </x:c>
      <x:c r="G1317" s="11" t="str">
        <x:v>Keyboard</x:v>
      </x:c>
      <x:c r="H1317" s="11" t="n">
        <x:v>3</x:v>
      </x:c>
      <x:c r="I1317" s="19" t="n">
        <x:v>0</x:v>
      </x:c>
      <x:c r="J1317" s="11" t="n">
        <x:v>0</x:v>
      </x:c>
      <x:c r="K1317" s="20" t="n">
        <x:v>195</x:v>
      </x:c>
      <x:c r="L1317" s="20" t="n">
        <x:v>0</x:v>
      </x:c>
      <x:c r="M1317" s="20" t="n">
        <x:v>96</x:v>
      </x:c>
      <x:c r="N1317" s="20" t="n">
        <x:f>IF(J1317=1,0,K1317-L1317)</x:f>
        <x:v>195</x:v>
      </x:c>
      <x:c r="O1317" s="20" t="n">
        <x:f>N1317-M1317</x:f>
        <x:v>99</x:v>
      </x:c>
    </x:row>
    <x:row r="1318" ht="22" customHeight="1">
      <x:c r="A1318" s="11" t="n">
        <x:v>1314</x:v>
      </x:c>
      <x:c r="B1318" s="11" t="n">
        <x:v>662</x:v>
      </x:c>
      <x:c r="C1318" s="18" t="n">
        <x:v>45433</x:v>
      </x:c>
      <x:c r="D1318" s="11" t="str">
        <x:v>2024-05</x:v>
      </x:c>
      <x:c r="E1318" s="11" t="str">
        <x:v>South</x:v>
      </x:c>
      <x:c r="F1318" s="11" t="str">
        <x:v>Office Supplies</x:v>
      </x:c>
      <x:c r="G1318" s="11" t="str">
        <x:v>Notebook pack</x:v>
      </x:c>
      <x:c r="H1318" s="11" t="n">
        <x:v>1</x:v>
      </x:c>
      <x:c r="I1318" s="19" t="n">
        <x:v>0.15</x:v>
      </x:c>
      <x:c r="J1318" s="11" t="n">
        <x:v>0</x:v>
      </x:c>
      <x:c r="K1318" s="20" t="n">
        <x:v>18</x:v>
      </x:c>
      <x:c r="L1318" s="20" t="n">
        <x:v>2.7</x:v>
      </x:c>
      <x:c r="M1318" s="20" t="n">
        <x:v>7</x:v>
      </x:c>
      <x:c r="N1318" s="20" t="n">
        <x:f>IF(J1318=1,0,K1318-L1318)</x:f>
        <x:v>15.3</x:v>
      </x:c>
      <x:c r="O1318" s="20" t="n">
        <x:f>N1318-M1318</x:f>
        <x:v>8.3</x:v>
      </x:c>
    </x:row>
    <x:row r="1319" ht="22" customHeight="1">
      <x:c r="A1319" s="11" t="n">
        <x:v>1315</x:v>
      </x:c>
      <x:c r="B1319" s="11" t="n">
        <x:v>663</x:v>
      </x:c>
      <x:c r="C1319" s="18" t="n">
        <x:v>45378</x:v>
      </x:c>
      <x:c r="D1319" s="11" t="str">
        <x:v>2024-03</x:v>
      </x:c>
      <x:c r="E1319" s="11" t="str">
        <x:v>South</x:v>
      </x:c>
      <x:c r="F1319" s="11" t="str">
        <x:v>Furniture</x:v>
      </x:c>
      <x:c r="G1319" s="11" t="str">
        <x:v>Chair</x:v>
      </x:c>
      <x:c r="H1319" s="11" t="n">
        <x:v>1</x:v>
      </x:c>
      <x:c r="I1319" s="19" t="n">
        <x:v>0.25</x:v>
      </x:c>
      <x:c r="J1319" s="11" t="n">
        <x:v>0</x:v>
      </x:c>
      <x:c r="K1319" s="20" t="n">
        <x:v>170</x:v>
      </x:c>
      <x:c r="L1319" s="20" t="n">
        <x:v>42.5</x:v>
      </x:c>
      <x:c r="M1319" s="20" t="n">
        <x:v>110</x:v>
      </x:c>
      <x:c r="N1319" s="20" t="n">
        <x:f>IF(J1319=1,0,K1319-L1319)</x:f>
        <x:v>127.5</x:v>
      </x:c>
      <x:c r="O1319" s="20" t="n">
        <x:f>N1319-M1319</x:f>
        <x:v>17.5</x:v>
      </x:c>
    </x:row>
    <x:row r="1320" ht="22" customHeight="1">
      <x:c r="A1320" s="11" t="n">
        <x:v>1316</x:v>
      </x:c>
      <x:c r="B1320" s="11" t="n">
        <x:v>663</x:v>
      </x:c>
      <x:c r="C1320" s="18" t="n">
        <x:v>45378</x:v>
      </x:c>
      <x:c r="D1320" s="11" t="str">
        <x:v>2024-03</x:v>
      </x:c>
      <x:c r="E1320" s="11" t="str">
        <x:v>South</x:v>
      </x:c>
      <x:c r="F1320" s="11" t="str">
        <x:v>Technology</x:v>
      </x:c>
      <x:c r="G1320" s="11" t="str">
        <x:v>Keyboard</x:v>
      </x:c>
      <x:c r="H1320" s="11" t="n">
        <x:v>2</x:v>
      </x:c>
      <x:c r="I1320" s="19" t="n">
        <x:v>0.15</x:v>
      </x:c>
      <x:c r="J1320" s="11" t="n">
        <x:v>1</x:v>
      </x:c>
      <x:c r="K1320" s="20" t="n">
        <x:v>130</x:v>
      </x:c>
      <x:c r="L1320" s="20" t="n">
        <x:v>19.5</x:v>
      </x:c>
      <x:c r="M1320" s="20" t="n">
        <x:v>0</x:v>
      </x:c>
      <x:c r="N1320" s="20" t="n">
        <x:f>IF(J1320=1,0,K1320-L1320)</x:f>
        <x:v>0</x:v>
      </x:c>
      <x:c r="O1320" s="20" t="n">
        <x:f>N1320-M1320</x:f>
        <x:v>0</x:v>
      </x:c>
    </x:row>
    <x:row r="1321" ht="22" customHeight="1">
      <x:c r="A1321" s="11" t="n">
        <x:v>1317</x:v>
      </x:c>
      <x:c r="B1321" s="11" t="n">
        <x:v>664</x:v>
      </x:c>
      <x:c r="C1321" s="18" t="n">
        <x:v>45938</x:v>
      </x:c>
      <x:c r="D1321" s="11" t="str">
        <x:v>2025-10</x:v>
      </x:c>
      <x:c r="E1321" s="11" t="str">
        <x:v>Central</x:v>
      </x:c>
      <x:c r="F1321" s="11" t="str">
        <x:v>Technology</x:v>
      </x:c>
      <x:c r="G1321" s="11" t="str">
        <x:v>Keyboard</x:v>
      </x:c>
      <x:c r="H1321" s="11" t="n">
        <x:v>3</x:v>
      </x:c>
      <x:c r="I1321" s="19" t="n">
        <x:v>0.05</x:v>
      </x:c>
      <x:c r="J1321" s="11" t="n">
        <x:v>0</x:v>
      </x:c>
      <x:c r="K1321" s="20" t="n">
        <x:v>195</x:v>
      </x:c>
      <x:c r="L1321" s="20" t="n">
        <x:v>9.75</x:v>
      </x:c>
      <x:c r="M1321" s="20" t="n">
        <x:v>96</x:v>
      </x:c>
      <x:c r="N1321" s="20" t="n">
        <x:f>IF(J1321=1,0,K1321-L1321)</x:f>
        <x:v>185.25</x:v>
      </x:c>
      <x:c r="O1321" s="20" t="n">
        <x:f>N1321-M1321</x:f>
        <x:v>89.25</x:v>
      </x:c>
    </x:row>
    <x:row r="1322" ht="22" customHeight="1">
      <x:c r="A1322" s="11" t="n">
        <x:v>1318</x:v>
      </x:c>
      <x:c r="B1322" s="11" t="n">
        <x:v>664</x:v>
      </x:c>
      <x:c r="C1322" s="18" t="n">
        <x:v>45938</x:v>
      </x:c>
      <x:c r="D1322" s="11" t="str">
        <x:v>2025-10</x:v>
      </x:c>
      <x:c r="E1322" s="11" t="str">
        <x:v>Central</x:v>
      </x:c>
      <x:c r="F1322" s="11" t="str">
        <x:v>Office Supplies</x:v>
      </x:c>
      <x:c r="G1322" s="11" t="str">
        <x:v>Notebook pack</x:v>
      </x:c>
      <x:c r="H1322" s="11" t="n">
        <x:v>1</x:v>
      </x:c>
      <x:c r="I1322" s="19" t="n">
        <x:v>0.05</x:v>
      </x:c>
      <x:c r="J1322" s="11" t="n">
        <x:v>0</x:v>
      </x:c>
      <x:c r="K1322" s="20" t="n">
        <x:v>18</x:v>
      </x:c>
      <x:c r="L1322" s="20" t="n">
        <x:v>0.9</x:v>
      </x:c>
      <x:c r="M1322" s="20" t="n">
        <x:v>7</x:v>
      </x:c>
      <x:c r="N1322" s="20" t="n">
        <x:f>IF(J1322=1,0,K1322-L1322)</x:f>
        <x:v>17.1</x:v>
      </x:c>
      <x:c r="O1322" s="20" t="n">
        <x:f>N1322-M1322</x:f>
        <x:v>10.100000000000001</x:v>
      </x:c>
    </x:row>
    <x:row r="1323" ht="22" customHeight="1">
      <x:c r="A1323" s="11" t="n">
        <x:v>1319</x:v>
      </x:c>
      <x:c r="B1323" s="11" t="n">
        <x:v>665</x:v>
      </x:c>
      <x:c r="C1323" s="18" t="n">
        <x:v>45917</x:v>
      </x:c>
      <x:c r="D1323" s="11" t="str">
        <x:v>2025-09</x:v>
      </x:c>
      <x:c r="E1323" s="11" t="str">
        <x:v>East</x:v>
      </x:c>
      <x:c r="F1323" s="11" t="str">
        <x:v>Office Supplies</x:v>
      </x:c>
      <x:c r="G1323" s="11" t="str">
        <x:v>Storage box</x:v>
      </x:c>
      <x:c r="H1323" s="11" t="n">
        <x:v>5</x:v>
      </x:c>
      <x:c r="I1323" s="19" t="n">
        <x:v>0.15</x:v>
      </x:c>
      <x:c r="J1323" s="11" t="n">
        <x:v>0</x:v>
      </x:c>
      <x:c r="K1323" s="20" t="n">
        <x:v>130</x:v>
      </x:c>
      <x:c r="L1323" s="20" t="n">
        <x:v>19.5</x:v>
      </x:c>
      <x:c r="M1323" s="20" t="n">
        <x:v>60</x:v>
      </x:c>
      <x:c r="N1323" s="20" t="n">
        <x:f>IF(J1323=1,0,K1323-L1323)</x:f>
        <x:v>110.5</x:v>
      </x:c>
      <x:c r="O1323" s="20" t="n">
        <x:f>N1323-M1323</x:f>
        <x:v>50.5</x:v>
      </x:c>
    </x:row>
    <x:row r="1324" ht="22" customHeight="1">
      <x:c r="A1324" s="11" t="n">
        <x:v>1320</x:v>
      </x:c>
      <x:c r="B1324" s="11" t="n">
        <x:v>665</x:v>
      </x:c>
      <x:c r="C1324" s="18" t="n">
        <x:v>45917</x:v>
      </x:c>
      <x:c r="D1324" s="11" t="str">
        <x:v>2025-09</x:v>
      </x:c>
      <x:c r="E1324" s="11" t="str">
        <x:v>East</x:v>
      </x:c>
      <x:c r="F1324" s="11" t="str">
        <x:v>Furniture</x:v>
      </x:c>
      <x:c r="G1324" s="11" t="str">
        <x:v>Chair</x:v>
      </x:c>
      <x:c r="H1324" s="11" t="n">
        <x:v>4</x:v>
      </x:c>
      <x:c r="I1324" s="19" t="n">
        <x:v>0.15</x:v>
      </x:c>
      <x:c r="J1324" s="11" t="n">
        <x:v>0</x:v>
      </x:c>
      <x:c r="K1324" s="20" t="n">
        <x:v>680</x:v>
      </x:c>
      <x:c r="L1324" s="20" t="n">
        <x:v>102</x:v>
      </x:c>
      <x:c r="M1324" s="20" t="n">
        <x:v>440</x:v>
      </x:c>
      <x:c r="N1324" s="20" t="n">
        <x:f>IF(J1324=1,0,K1324-L1324)</x:f>
        <x:v>578</x:v>
      </x:c>
      <x:c r="O1324" s="20" t="n">
        <x:f>N1324-M1324</x:f>
        <x:v>138</x:v>
      </x:c>
    </x:row>
    <x:row r="1325" ht="22" customHeight="1">
      <x:c r="A1325" s="11" t="n">
        <x:v>1321</x:v>
      </x:c>
      <x:c r="B1325" s="11" t="n">
        <x:v>666</x:v>
      </x:c>
      <x:c r="C1325" s="18" t="n">
        <x:v>45956</x:v>
      </x:c>
      <x:c r="D1325" s="11" t="str">
        <x:v>2025-10</x:v>
      </x:c>
      <x:c r="E1325" s="11" t="str">
        <x:v>South</x:v>
      </x:c>
      <x:c r="F1325" s="11" t="str">
        <x:v>Furniture</x:v>
      </x:c>
      <x:c r="G1325" s="11" t="str">
        <x:v>Desk</x:v>
      </x:c>
      <x:c r="H1325" s="11" t="n">
        <x:v>5</x:v>
      </x:c>
      <x:c r="I1325" s="19" t="n">
        <x:v>0.15</x:v>
      </x:c>
      <x:c r="J1325" s="11" t="n">
        <x:v>0</x:v>
      </x:c>
      <x:c r="K1325" s="20" t="n">
        <x:v>1400</x:v>
      </x:c>
      <x:c r="L1325" s="20" t="n">
        <x:v>210</x:v>
      </x:c>
      <x:c r="M1325" s="20" t="n">
        <x:v>950</x:v>
      </x:c>
      <x:c r="N1325" s="20" t="n">
        <x:f>IF(J1325=1,0,K1325-L1325)</x:f>
        <x:v>1190</x:v>
      </x:c>
      <x:c r="O1325" s="20" t="n">
        <x:f>N1325-M1325</x:f>
        <x:v>240</x:v>
      </x:c>
    </x:row>
    <x:row r="1326" ht="22" customHeight="1">
      <x:c r="A1326" s="11" t="n">
        <x:v>1322</x:v>
      </x:c>
      <x:c r="B1326" s="11" t="n">
        <x:v>666</x:v>
      </x:c>
      <x:c r="C1326" s="18" t="n">
        <x:v>45956</x:v>
      </x:c>
      <x:c r="D1326" s="11" t="str">
        <x:v>2025-10</x:v>
      </x:c>
      <x:c r="E1326" s="11" t="str">
        <x:v>South</x:v>
      </x:c>
      <x:c r="F1326" s="11" t="str">
        <x:v>Office Supplies</x:v>
      </x:c>
      <x:c r="G1326" s="11" t="str">
        <x:v>Storage box</x:v>
      </x:c>
      <x:c r="H1326" s="11" t="n">
        <x:v>2</x:v>
      </x:c>
      <x:c r="I1326" s="19" t="n">
        <x:v>0.15</x:v>
      </x:c>
      <x:c r="J1326" s="11" t="n">
        <x:v>0</x:v>
      </x:c>
      <x:c r="K1326" s="20" t="n">
        <x:v>52</x:v>
      </x:c>
      <x:c r="L1326" s="20" t="n">
        <x:v>7.8</x:v>
      </x:c>
      <x:c r="M1326" s="20" t="n">
        <x:v>24</x:v>
      </x:c>
      <x:c r="N1326" s="20" t="n">
        <x:f>IF(J1326=1,0,K1326-L1326)</x:f>
        <x:v>44.2</x:v>
      </x:c>
      <x:c r="O1326" s="20" t="n">
        <x:f>N1326-M1326</x:f>
        <x:v>20.200000000000003</x:v>
      </x:c>
    </x:row>
    <x:row r="1327" ht="22" customHeight="1">
      <x:c r="A1327" s="11" t="n">
        <x:v>1323</x:v>
      </x:c>
      <x:c r="B1327" s="11" t="n">
        <x:v>667</x:v>
      </x:c>
      <x:c r="C1327" s="18" t="n">
        <x:v>45582</x:v>
      </x:c>
      <x:c r="D1327" s="11" t="str">
        <x:v>2024-10</x:v>
      </x:c>
      <x:c r="E1327" s="11" t="str">
        <x:v>Central</x:v>
      </x:c>
      <x:c r="F1327" s="11" t="str">
        <x:v>Office Supplies</x:v>
      </x:c>
      <x:c r="G1327" s="11" t="str">
        <x:v>Notebook pack</x:v>
      </x:c>
      <x:c r="H1327" s="11" t="n">
        <x:v>2</x:v>
      </x:c>
      <x:c r="I1327" s="19" t="n">
        <x:v>0</x:v>
      </x:c>
      <x:c r="J1327" s="11" t="n">
        <x:v>1</x:v>
      </x:c>
      <x:c r="K1327" s="20" t="n">
        <x:v>36</x:v>
      </x:c>
      <x:c r="L1327" s="20" t="n">
        <x:v>0</x:v>
      </x:c>
      <x:c r="M1327" s="20" t="n">
        <x:v>0</x:v>
      </x:c>
      <x:c r="N1327" s="20" t="n">
        <x:f>IF(J1327=1,0,K1327-L1327)</x:f>
        <x:v>0</x:v>
      </x:c>
      <x:c r="O1327" s="20" t="n">
        <x:f>N1327-M1327</x:f>
        <x:v>0</x:v>
      </x:c>
    </x:row>
    <x:row r="1328" ht="22" customHeight="1">
      <x:c r="A1328" s="11" t="n">
        <x:v>1324</x:v>
      </x:c>
      <x:c r="B1328" s="11" t="n">
        <x:v>667</x:v>
      </x:c>
      <x:c r="C1328" s="18" t="n">
        <x:v>45582</x:v>
      </x:c>
      <x:c r="D1328" s="11" t="str">
        <x:v>2024-10</x:v>
      </x:c>
      <x:c r="E1328" s="11" t="str">
        <x:v>Central</x:v>
      </x:c>
      <x:c r="F1328" s="11" t="str">
        <x:v>Technology</x:v>
      </x:c>
      <x:c r="G1328" s="11" t="str">
        <x:v>Monitor</x:v>
      </x:c>
      <x:c r="H1328" s="11" t="n">
        <x:v>5</x:v>
      </x:c>
      <x:c r="I1328" s="19" t="n">
        <x:v>0.15</x:v>
      </x:c>
      <x:c r="J1328" s="11" t="n">
        <x:v>0</x:v>
      </x:c>
      <x:c r="K1328" s="20" t="n">
        <x:v>1200</x:v>
      </x:c>
      <x:c r="L1328" s="20" t="n">
        <x:v>180</x:v>
      </x:c>
      <x:c r="M1328" s="20" t="n">
        <x:v>800</x:v>
      </x:c>
      <x:c r="N1328" s="20" t="n">
        <x:f>IF(J1328=1,0,K1328-L1328)</x:f>
        <x:v>1020</x:v>
      </x:c>
      <x:c r="O1328" s="20" t="n">
        <x:f>N1328-M1328</x:f>
        <x:v>220</x:v>
      </x:c>
    </x:row>
    <x:row r="1329" ht="22" customHeight="1">
      <x:c r="A1329" s="11" t="n">
        <x:v>1325</x:v>
      </x:c>
      <x:c r="B1329" s="11" t="n">
        <x:v>667</x:v>
      </x:c>
      <x:c r="C1329" s="18" t="n">
        <x:v>45582</x:v>
      </x:c>
      <x:c r="D1329" s="11" t="str">
        <x:v>2024-10</x:v>
      </x:c>
      <x:c r="E1329" s="11" t="str">
        <x:v>Central</x:v>
      </x:c>
      <x:c r="F1329" s="11" t="str">
        <x:v>Office Supplies</x:v>
      </x:c>
      <x:c r="G1329" s="11" t="str">
        <x:v>Storage box</x:v>
      </x:c>
      <x:c r="H1329" s="11" t="n">
        <x:v>3</x:v>
      </x:c>
      <x:c r="I1329" s="19" t="n">
        <x:v>0.1</x:v>
      </x:c>
      <x:c r="J1329" s="11" t="n">
        <x:v>0</x:v>
      </x:c>
      <x:c r="K1329" s="20" t="n">
        <x:v>78</x:v>
      </x:c>
      <x:c r="L1329" s="20" t="n">
        <x:v>7.8</x:v>
      </x:c>
      <x:c r="M1329" s="20" t="n">
        <x:v>36</x:v>
      </x:c>
      <x:c r="N1329" s="20" t="n">
        <x:f>IF(J1329=1,0,K1329-L1329)</x:f>
        <x:v>70.2</x:v>
      </x:c>
      <x:c r="O1329" s="20" t="n">
        <x:f>N1329-M1329</x:f>
        <x:v>34.2</x:v>
      </x:c>
    </x:row>
    <x:row r="1330" ht="22" customHeight="1">
      <x:c r="A1330" s="11" t="n">
        <x:v>1326</x:v>
      </x:c>
      <x:c r="B1330" s="11" t="n">
        <x:v>668</x:v>
      </x:c>
      <x:c r="C1330" s="18" t="n">
        <x:v>45405</x:v>
      </x:c>
      <x:c r="D1330" s="11" t="str">
        <x:v>2024-04</x:v>
      </x:c>
      <x:c r="E1330" s="11" t="str">
        <x:v>East</x:v>
      </x:c>
      <x:c r="F1330" s="11" t="str">
        <x:v>Technology</x:v>
      </x:c>
      <x:c r="G1330" s="11" t="str">
        <x:v>Monitor</x:v>
      </x:c>
      <x:c r="H1330" s="11" t="n">
        <x:v>3</x:v>
      </x:c>
      <x:c r="I1330" s="19" t="n">
        <x:v>0</x:v>
      </x:c>
      <x:c r="J1330" s="11" t="n">
        <x:v>1</x:v>
      </x:c>
      <x:c r="K1330" s="20" t="n">
        <x:v>720</x:v>
      </x:c>
      <x:c r="L1330" s="20" t="n">
        <x:v>0</x:v>
      </x:c>
      <x:c r="M1330" s="20" t="n">
        <x:v>0</x:v>
      </x:c>
      <x:c r="N1330" s="20" t="n">
        <x:f>IF(J1330=1,0,K1330-L1330)</x:f>
        <x:v>0</x:v>
      </x:c>
      <x:c r="O1330" s="20" t="n">
        <x:f>N1330-M1330</x:f>
        <x:v>0</x:v>
      </x:c>
    </x:row>
    <x:row r="1331" ht="22" customHeight="1">
      <x:c r="A1331" s="11" t="n">
        <x:v>1327</x:v>
      </x:c>
      <x:c r="B1331" s="11" t="n">
        <x:v>668</x:v>
      </x:c>
      <x:c r="C1331" s="18" t="n">
        <x:v>45405</x:v>
      </x:c>
      <x:c r="D1331" s="11" t="str">
        <x:v>2024-04</x:v>
      </x:c>
      <x:c r="E1331" s="11" t="str">
        <x:v>East</x:v>
      </x:c>
      <x:c r="F1331" s="11" t="str">
        <x:v>Office Supplies</x:v>
      </x:c>
      <x:c r="G1331" s="11" t="str">
        <x:v>Notebook pack</x:v>
      </x:c>
      <x:c r="H1331" s="11" t="n">
        <x:v>1</x:v>
      </x:c>
      <x:c r="I1331" s="19" t="n">
        <x:v>0.1</x:v>
      </x:c>
      <x:c r="J1331" s="11" t="n">
        <x:v>0</x:v>
      </x:c>
      <x:c r="K1331" s="20" t="n">
        <x:v>18</x:v>
      </x:c>
      <x:c r="L1331" s="20" t="n">
        <x:v>1.8</x:v>
      </x:c>
      <x:c r="M1331" s="20" t="n">
        <x:v>7</x:v>
      </x:c>
      <x:c r="N1331" s="20" t="n">
        <x:f>IF(J1331=1,0,K1331-L1331)</x:f>
        <x:v>16.2</x:v>
      </x:c>
      <x:c r="O1331" s="20" t="n">
        <x:f>N1331-M1331</x:f>
        <x:v>9.2</x:v>
      </x:c>
    </x:row>
    <x:row r="1332" ht="22" customHeight="1">
      <x:c r="A1332" s="11" t="n">
        <x:v>1328</x:v>
      </x:c>
      <x:c r="B1332" s="11" t="n">
        <x:v>669</x:v>
      </x:c>
      <x:c r="C1332" s="18" t="n">
        <x:v>45297</x:v>
      </x:c>
      <x:c r="D1332" s="11" t="str">
        <x:v>2024-01</x:v>
      </x:c>
      <x:c r="E1332" s="11" t="str">
        <x:v>East</x:v>
      </x:c>
      <x:c r="F1332" s="11" t="str">
        <x:v>Office Supplies</x:v>
      </x:c>
      <x:c r="G1332" s="11" t="str">
        <x:v>Storage box</x:v>
      </x:c>
      <x:c r="H1332" s="11" t="n">
        <x:v>5</x:v>
      </x:c>
      <x:c r="I1332" s="19" t="n">
        <x:v>0.15</x:v>
      </x:c>
      <x:c r="J1332" s="11" t="n">
        <x:v>0</x:v>
      </x:c>
      <x:c r="K1332" s="20" t="n">
        <x:v>130</x:v>
      </x:c>
      <x:c r="L1332" s="20" t="n">
        <x:v>19.5</x:v>
      </x:c>
      <x:c r="M1332" s="20" t="n">
        <x:v>60</x:v>
      </x:c>
      <x:c r="N1332" s="20" t="n">
        <x:f>IF(J1332=1,0,K1332-L1332)</x:f>
        <x:v>110.5</x:v>
      </x:c>
      <x:c r="O1332" s="20" t="n">
        <x:f>N1332-M1332</x:f>
        <x:v>50.5</x:v>
      </x:c>
    </x:row>
    <x:row r="1333" ht="22" customHeight="1">
      <x:c r="A1333" s="11" t="n">
        <x:v>1329</x:v>
      </x:c>
      <x:c r="B1333" s="11" t="n">
        <x:v>670</x:v>
      </x:c>
      <x:c r="C1333" s="18" t="n">
        <x:v>45934</x:v>
      </x:c>
      <x:c r="D1333" s="11" t="str">
        <x:v>2025-10</x:v>
      </x:c>
      <x:c r="E1333" s="11" t="str">
        <x:v>East</x:v>
      </x:c>
      <x:c r="F1333" s="11" t="str">
        <x:v>Technology</x:v>
      </x:c>
      <x:c r="G1333" s="11" t="str">
        <x:v>Monitor</x:v>
      </x:c>
      <x:c r="H1333" s="11" t="n">
        <x:v>5</x:v>
      </x:c>
      <x:c r="I1333" s="19" t="n">
        <x:v>0</x:v>
      </x:c>
      <x:c r="J1333" s="11" t="n">
        <x:v>0</x:v>
      </x:c>
      <x:c r="K1333" s="20" t="n">
        <x:v>1200</x:v>
      </x:c>
      <x:c r="L1333" s="20" t="n">
        <x:v>0</x:v>
      </x:c>
      <x:c r="M1333" s="20" t="n">
        <x:v>800</x:v>
      </x:c>
      <x:c r="N1333" s="20" t="n">
        <x:f>IF(J1333=1,0,K1333-L1333)</x:f>
        <x:v>1200</x:v>
      </x:c>
      <x:c r="O1333" s="20" t="n">
        <x:f>N1333-M1333</x:f>
        <x:v>400</x:v>
      </x:c>
    </x:row>
    <x:row r="1334" ht="22" customHeight="1">
      <x:c r="A1334" s="11" t="n">
        <x:v>1330</x:v>
      </x:c>
      <x:c r="B1334" s="11" t="n">
        <x:v>670</x:v>
      </x:c>
      <x:c r="C1334" s="18" t="n">
        <x:v>45934</x:v>
      </x:c>
      <x:c r="D1334" s="11" t="str">
        <x:v>2025-10</x:v>
      </x:c>
      <x:c r="E1334" s="11" t="str">
        <x:v>East</x:v>
      </x:c>
      <x:c r="F1334" s="11" t="str">
        <x:v>Office Supplies</x:v>
      </x:c>
      <x:c r="G1334" s="11" t="str">
        <x:v>Storage box</x:v>
      </x:c>
      <x:c r="H1334" s="11" t="n">
        <x:v>5</x:v>
      </x:c>
      <x:c r="I1334" s="19" t="n">
        <x:v>0</x:v>
      </x:c>
      <x:c r="J1334" s="11" t="n">
        <x:v>0</x:v>
      </x:c>
      <x:c r="K1334" s="20" t="n">
        <x:v>130</x:v>
      </x:c>
      <x:c r="L1334" s="20" t="n">
        <x:v>0</x:v>
      </x:c>
      <x:c r="M1334" s="20" t="n">
        <x:v>60</x:v>
      </x:c>
      <x:c r="N1334" s="20" t="n">
        <x:f>IF(J1334=1,0,K1334-L1334)</x:f>
        <x:v>130</x:v>
      </x:c>
      <x:c r="O1334" s="20" t="n">
        <x:f>N1334-M1334</x:f>
        <x:v>70</x:v>
      </x:c>
    </x:row>
    <x:row r="1335" ht="22" customHeight="1">
      <x:c r="A1335" s="11" t="n">
        <x:v>1331</x:v>
      </x:c>
      <x:c r="B1335" s="11" t="n">
        <x:v>671</x:v>
      </x:c>
      <x:c r="C1335" s="18" t="n">
        <x:v>45820</x:v>
      </x:c>
      <x:c r="D1335" s="11" t="str">
        <x:v>2025-06</x:v>
      </x:c>
      <x:c r="E1335" s="11" t="str">
        <x:v>East</x:v>
      </x:c>
      <x:c r="F1335" s="11" t="str">
        <x:v>Technology</x:v>
      </x:c>
      <x:c r="G1335" s="11" t="str">
        <x:v>Keyboard</x:v>
      </x:c>
      <x:c r="H1335" s="11" t="n">
        <x:v>2</x:v>
      </x:c>
      <x:c r="I1335" s="19" t="n">
        <x:v>0.1</x:v>
      </x:c>
      <x:c r="J1335" s="11" t="n">
        <x:v>0</x:v>
      </x:c>
      <x:c r="K1335" s="20" t="n">
        <x:v>130</x:v>
      </x:c>
      <x:c r="L1335" s="20" t="n">
        <x:v>13</x:v>
      </x:c>
      <x:c r="M1335" s="20" t="n">
        <x:v>64</x:v>
      </x:c>
      <x:c r="N1335" s="20" t="n">
        <x:f>IF(J1335=1,0,K1335-L1335)</x:f>
        <x:v>117</x:v>
      </x:c>
      <x:c r="O1335" s="20" t="n">
        <x:f>N1335-M1335</x:f>
        <x:v>53</x:v>
      </x:c>
    </x:row>
    <x:row r="1336" ht="22" customHeight="1">
      <x:c r="A1336" s="11" t="n">
        <x:v>1332</x:v>
      </x:c>
      <x:c r="B1336" s="11" t="n">
        <x:v>671</x:v>
      </x:c>
      <x:c r="C1336" s="18" t="n">
        <x:v>45820</x:v>
      </x:c>
      <x:c r="D1336" s="11" t="str">
        <x:v>2025-06</x:v>
      </x:c>
      <x:c r="E1336" s="11" t="str">
        <x:v>East</x:v>
      </x:c>
      <x:c r="F1336" s="11" t="str">
        <x:v>Furniture</x:v>
      </x:c>
      <x:c r="G1336" s="11" t="str">
        <x:v>Desk</x:v>
      </x:c>
      <x:c r="H1336" s="11" t="n">
        <x:v>1</x:v>
      </x:c>
      <x:c r="I1336" s="19" t="n">
        <x:v>0</x:v>
      </x:c>
      <x:c r="J1336" s="11" t="n">
        <x:v>0</x:v>
      </x:c>
      <x:c r="K1336" s="20" t="n">
        <x:v>280</x:v>
      </x:c>
      <x:c r="L1336" s="20" t="n">
        <x:v>0</x:v>
      </x:c>
      <x:c r="M1336" s="20" t="n">
        <x:v>190</x:v>
      </x:c>
      <x:c r="N1336" s="20" t="n">
        <x:f>IF(J1336=1,0,K1336-L1336)</x:f>
        <x:v>280</x:v>
      </x:c>
      <x:c r="O1336" s="20" t="n">
        <x:f>N1336-M1336</x:f>
        <x:v>90</x:v>
      </x:c>
    </x:row>
    <x:row r="1337" ht="22" customHeight="1">
      <x:c r="A1337" s="11" t="n">
        <x:v>1333</x:v>
      </x:c>
      <x:c r="B1337" s="11" t="n">
        <x:v>672</x:v>
      </x:c>
      <x:c r="C1337" s="18" t="n">
        <x:v>45425</x:v>
      </x:c>
      <x:c r="D1337" s="11" t="str">
        <x:v>2024-05</x:v>
      </x:c>
      <x:c r="E1337" s="11" t="str">
        <x:v>South</x:v>
      </x:c>
      <x:c r="F1337" s="11" t="str">
        <x:v>Furniture</x:v>
      </x:c>
      <x:c r="G1337" s="11" t="str">
        <x:v>Desk</x:v>
      </x:c>
      <x:c r="H1337" s="11" t="n">
        <x:v>5</x:v>
      </x:c>
      <x:c r="I1337" s="19" t="n">
        <x:v>0.25</x:v>
      </x:c>
      <x:c r="J1337" s="11" t="n">
        <x:v>0</x:v>
      </x:c>
      <x:c r="K1337" s="20" t="n">
        <x:v>1400</x:v>
      </x:c>
      <x:c r="L1337" s="20" t="n">
        <x:v>350</x:v>
      </x:c>
      <x:c r="M1337" s="20" t="n">
        <x:v>950</x:v>
      </x:c>
      <x:c r="N1337" s="20" t="n">
        <x:f>IF(J1337=1,0,K1337-L1337)</x:f>
        <x:v>1050</x:v>
      </x:c>
      <x:c r="O1337" s="20" t="n">
        <x:f>N1337-M1337</x:f>
        <x:v>100</x:v>
      </x:c>
    </x:row>
    <x:row r="1338" ht="22" customHeight="1">
      <x:c r="A1338" s="11" t="n">
        <x:v>1334</x:v>
      </x:c>
      <x:c r="B1338" s="11" t="n">
        <x:v>672</x:v>
      </x:c>
      <x:c r="C1338" s="18" t="n">
        <x:v>45425</x:v>
      </x:c>
      <x:c r="D1338" s="11" t="str">
        <x:v>2024-05</x:v>
      </x:c>
      <x:c r="E1338" s="11" t="str">
        <x:v>South</x:v>
      </x:c>
      <x:c r="F1338" s="11" t="str">
        <x:v>Technology</x:v>
      </x:c>
      <x:c r="G1338" s="11" t="str">
        <x:v>Monitor</x:v>
      </x:c>
      <x:c r="H1338" s="11" t="n">
        <x:v>5</x:v>
      </x:c>
      <x:c r="I1338" s="19" t="n">
        <x:v>0.1</x:v>
      </x:c>
      <x:c r="J1338" s="11" t="n">
        <x:v>0</x:v>
      </x:c>
      <x:c r="K1338" s="20" t="n">
        <x:v>1200</x:v>
      </x:c>
      <x:c r="L1338" s="20" t="n">
        <x:v>120</x:v>
      </x:c>
      <x:c r="M1338" s="20" t="n">
        <x:v>800</x:v>
      </x:c>
      <x:c r="N1338" s="20" t="n">
        <x:f>IF(J1338=1,0,K1338-L1338)</x:f>
        <x:v>1080</x:v>
      </x:c>
      <x:c r="O1338" s="20" t="n">
        <x:f>N1338-M1338</x:f>
        <x:v>280</x:v>
      </x:c>
    </x:row>
    <x:row r="1339" ht="22" customHeight="1">
      <x:c r="A1339" s="11" t="n">
        <x:v>1335</x:v>
      </x:c>
      <x:c r="B1339" s="11" t="n">
        <x:v>673</x:v>
      </x:c>
      <x:c r="C1339" s="18" t="n">
        <x:v>45890</x:v>
      </x:c>
      <x:c r="D1339" s="11" t="str">
        <x:v>2025-08</x:v>
      </x:c>
      <x:c r="E1339" s="11" t="str">
        <x:v>East</x:v>
      </x:c>
      <x:c r="F1339" s="11" t="str">
        <x:v>Office Supplies</x:v>
      </x:c>
      <x:c r="G1339" s="11" t="str">
        <x:v>Storage box</x:v>
      </x:c>
      <x:c r="H1339" s="11" t="n">
        <x:v>4</x:v>
      </x:c>
      <x:c r="I1339" s="19" t="n">
        <x:v>0</x:v>
      </x:c>
      <x:c r="J1339" s="11" t="n">
        <x:v>0</x:v>
      </x:c>
      <x:c r="K1339" s="20" t="n">
        <x:v>104</x:v>
      </x:c>
      <x:c r="L1339" s="20" t="n">
        <x:v>0</x:v>
      </x:c>
      <x:c r="M1339" s="20" t="n">
        <x:v>48</x:v>
      </x:c>
      <x:c r="N1339" s="20" t="n">
        <x:f>IF(J1339=1,0,K1339-L1339)</x:f>
        <x:v>104</x:v>
      </x:c>
      <x:c r="O1339" s="20" t="n">
        <x:f>N1339-M1339</x:f>
        <x:v>56</x:v>
      </x:c>
    </x:row>
    <x:row r="1340" ht="22" customHeight="1">
      <x:c r="A1340" s="11" t="n">
        <x:v>1336</x:v>
      </x:c>
      <x:c r="B1340" s="11" t="n">
        <x:v>673</x:v>
      </x:c>
      <x:c r="C1340" s="18" t="n">
        <x:v>45890</x:v>
      </x:c>
      <x:c r="D1340" s="11" t="str">
        <x:v>2025-08</x:v>
      </x:c>
      <x:c r="E1340" s="11" t="str">
        <x:v>East</x:v>
      </x:c>
      <x:c r="F1340" s="11" t="str">
        <x:v>Technology</x:v>
      </x:c>
      <x:c r="G1340" s="11" t="str">
        <x:v>Keyboard</x:v>
      </x:c>
      <x:c r="H1340" s="11" t="n">
        <x:v>2</x:v>
      </x:c>
      <x:c r="I1340" s="19" t="n">
        <x:v>0.1</x:v>
      </x:c>
      <x:c r="J1340" s="11" t="n">
        <x:v>0</x:v>
      </x:c>
      <x:c r="K1340" s="20" t="n">
        <x:v>130</x:v>
      </x:c>
      <x:c r="L1340" s="20" t="n">
        <x:v>13</x:v>
      </x:c>
      <x:c r="M1340" s="20" t="n">
        <x:v>64</x:v>
      </x:c>
      <x:c r="N1340" s="20" t="n">
        <x:f>IF(J1340=1,0,K1340-L1340)</x:f>
        <x:v>117</x:v>
      </x:c>
      <x:c r="O1340" s="20" t="n">
        <x:f>N1340-M1340</x:f>
        <x:v>53</x:v>
      </x:c>
    </x:row>
    <x:row r="1341" ht="22" customHeight="1">
      <x:c r="A1341" s="11" t="n">
        <x:v>1337</x:v>
      </x:c>
      <x:c r="B1341" s="11" t="n">
        <x:v>674</x:v>
      </x:c>
      <x:c r="C1341" s="18" t="n">
        <x:v>45424</x:v>
      </x:c>
      <x:c r="D1341" s="11" t="str">
        <x:v>2024-05</x:v>
      </x:c>
      <x:c r="E1341" s="11" t="str">
        <x:v>South</x:v>
      </x:c>
      <x:c r="F1341" s="11" t="str">
        <x:v>Furniture</x:v>
      </x:c>
      <x:c r="G1341" s="11" t="str">
        <x:v>Chair</x:v>
      </x:c>
      <x:c r="H1341" s="11" t="n">
        <x:v>1</x:v>
      </x:c>
      <x:c r="I1341" s="19" t="n">
        <x:v>0</x:v>
      </x:c>
      <x:c r="J1341" s="11" t="n">
        <x:v>0</x:v>
      </x:c>
      <x:c r="K1341" s="20" t="n">
        <x:v>170</x:v>
      </x:c>
      <x:c r="L1341" s="20" t="n">
        <x:v>0</x:v>
      </x:c>
      <x:c r="M1341" s="20" t="n">
        <x:v>110</x:v>
      </x:c>
      <x:c r="N1341" s="20" t="n">
        <x:f>IF(J1341=1,0,K1341-L1341)</x:f>
        <x:v>170</x:v>
      </x:c>
      <x:c r="O1341" s="20" t="n">
        <x:f>N1341-M1341</x:f>
        <x:v>60</x:v>
      </x:c>
    </x:row>
    <x:row r="1342" ht="22" customHeight="1">
      <x:c r="A1342" s="11" t="n">
        <x:v>1338</x:v>
      </x:c>
      <x:c r="B1342" s="11" t="n">
        <x:v>674</x:v>
      </x:c>
      <x:c r="C1342" s="18" t="n">
        <x:v>45424</x:v>
      </x:c>
      <x:c r="D1342" s="11" t="str">
        <x:v>2024-05</x:v>
      </x:c>
      <x:c r="E1342" s="11" t="str">
        <x:v>South</x:v>
      </x:c>
      <x:c r="F1342" s="11" t="str">
        <x:v>Technology</x:v>
      </x:c>
      <x:c r="G1342" s="11" t="str">
        <x:v>Keyboard</x:v>
      </x:c>
      <x:c r="H1342" s="11" t="n">
        <x:v>3</x:v>
      </x:c>
      <x:c r="I1342" s="19" t="n">
        <x:v>0</x:v>
      </x:c>
      <x:c r="J1342" s="11" t="n">
        <x:v>0</x:v>
      </x:c>
      <x:c r="K1342" s="20" t="n">
        <x:v>195</x:v>
      </x:c>
      <x:c r="L1342" s="20" t="n">
        <x:v>0</x:v>
      </x:c>
      <x:c r="M1342" s="20" t="n">
        <x:v>96</x:v>
      </x:c>
      <x:c r="N1342" s="20" t="n">
        <x:f>IF(J1342=1,0,K1342-L1342)</x:f>
        <x:v>195</x:v>
      </x:c>
      <x:c r="O1342" s="20" t="n">
        <x:f>N1342-M1342</x:f>
        <x:v>99</x:v>
      </x:c>
    </x:row>
    <x:row r="1343" ht="22" customHeight="1">
      <x:c r="A1343" s="11" t="n">
        <x:v>1339</x:v>
      </x:c>
      <x:c r="B1343" s="11" t="n">
        <x:v>674</x:v>
      </x:c>
      <x:c r="C1343" s="18" t="n">
        <x:v>45424</x:v>
      </x:c>
      <x:c r="D1343" s="11" t="str">
        <x:v>2024-05</x:v>
      </x:c>
      <x:c r="E1343" s="11" t="str">
        <x:v>South</x:v>
      </x:c>
      <x:c r="F1343" s="11" t="str">
        <x:v>Office Supplies</x:v>
      </x:c>
      <x:c r="G1343" s="11" t="str">
        <x:v>Notebook pack</x:v>
      </x:c>
      <x:c r="H1343" s="11" t="n">
        <x:v>4</x:v>
      </x:c>
      <x:c r="I1343" s="19" t="n">
        <x:v>0</x:v>
      </x:c>
      <x:c r="J1343" s="11" t="n">
        <x:v>0</x:v>
      </x:c>
      <x:c r="K1343" s="20" t="n">
        <x:v>72</x:v>
      </x:c>
      <x:c r="L1343" s="20" t="n">
        <x:v>0</x:v>
      </x:c>
      <x:c r="M1343" s="20" t="n">
        <x:v>28</x:v>
      </x:c>
      <x:c r="N1343" s="20" t="n">
        <x:f>IF(J1343=1,0,K1343-L1343)</x:f>
        <x:v>72</x:v>
      </x:c>
      <x:c r="O1343" s="20" t="n">
        <x:f>N1343-M1343</x:f>
        <x:v>44</x:v>
      </x:c>
    </x:row>
    <x:row r="1344" ht="22" customHeight="1">
      <x:c r="A1344" s="11" t="n">
        <x:v>1340</x:v>
      </x:c>
      <x:c r="B1344" s="11" t="n">
        <x:v>675</x:v>
      </x:c>
      <x:c r="C1344" s="18" t="n">
        <x:v>45877</x:v>
      </x:c>
      <x:c r="D1344" s="11" t="str">
        <x:v>2025-08</x:v>
      </x:c>
      <x:c r="E1344" s="11" t="str">
        <x:v>East</x:v>
      </x:c>
      <x:c r="F1344" s="11" t="str">
        <x:v>Furniture</x:v>
      </x:c>
      <x:c r="G1344" s="11" t="str">
        <x:v>Chair</x:v>
      </x:c>
      <x:c r="H1344" s="11" t="n">
        <x:v>3</x:v>
      </x:c>
      <x:c r="I1344" s="19" t="n">
        <x:v>0.15</x:v>
      </x:c>
      <x:c r="J1344" s="11" t="n">
        <x:v>0</x:v>
      </x:c>
      <x:c r="K1344" s="20" t="n">
        <x:v>510</x:v>
      </x:c>
      <x:c r="L1344" s="20" t="n">
        <x:v>76.5</x:v>
      </x:c>
      <x:c r="M1344" s="20" t="n">
        <x:v>330</x:v>
      </x:c>
      <x:c r="N1344" s="20" t="n">
        <x:f>IF(J1344=1,0,K1344-L1344)</x:f>
        <x:v>433.5</x:v>
      </x:c>
      <x:c r="O1344" s="20" t="n">
        <x:f>N1344-M1344</x:f>
        <x:v>103.5</x:v>
      </x:c>
    </x:row>
    <x:row r="1345" ht="22" customHeight="1">
      <x:c r="A1345" s="11" t="n">
        <x:v>1341</x:v>
      </x:c>
      <x:c r="B1345" s="11" t="n">
        <x:v>675</x:v>
      </x:c>
      <x:c r="C1345" s="18" t="n">
        <x:v>45877</x:v>
      </x:c>
      <x:c r="D1345" s="11" t="str">
        <x:v>2025-08</x:v>
      </x:c>
      <x:c r="E1345" s="11" t="str">
        <x:v>East</x:v>
      </x:c>
      <x:c r="F1345" s="11" t="str">
        <x:v>Furniture</x:v>
      </x:c>
      <x:c r="G1345" s="11" t="str">
        <x:v>Desk</x:v>
      </x:c>
      <x:c r="H1345" s="11" t="n">
        <x:v>4</x:v>
      </x:c>
      <x:c r="I1345" s="19" t="n">
        <x:v>0</x:v>
      </x:c>
      <x:c r="J1345" s="11" t="n">
        <x:v>0</x:v>
      </x:c>
      <x:c r="K1345" s="20" t="n">
        <x:v>1120</x:v>
      </x:c>
      <x:c r="L1345" s="20" t="n">
        <x:v>0</x:v>
      </x:c>
      <x:c r="M1345" s="20" t="n">
        <x:v>760</x:v>
      </x:c>
      <x:c r="N1345" s="20" t="n">
        <x:f>IF(J1345=1,0,K1345-L1345)</x:f>
        <x:v>1120</x:v>
      </x:c>
      <x:c r="O1345" s="20" t="n">
        <x:f>N1345-M1345</x:f>
        <x:v>360</x:v>
      </x:c>
    </x:row>
    <x:row r="1346" ht="22" customHeight="1">
      <x:c r="A1346" s="11" t="n">
        <x:v>1342</x:v>
      </x:c>
      <x:c r="B1346" s="11" t="n">
        <x:v>675</x:v>
      </x:c>
      <x:c r="C1346" s="18" t="n">
        <x:v>45877</x:v>
      </x:c>
      <x:c r="D1346" s="11" t="str">
        <x:v>2025-08</x:v>
      </x:c>
      <x:c r="E1346" s="11" t="str">
        <x:v>East</x:v>
      </x:c>
      <x:c r="F1346" s="11" t="str">
        <x:v>Technology</x:v>
      </x:c>
      <x:c r="G1346" s="11" t="str">
        <x:v>Monitor</x:v>
      </x:c>
      <x:c r="H1346" s="11" t="n">
        <x:v>2</x:v>
      </x:c>
      <x:c r="I1346" s="19" t="n">
        <x:v>0.15</x:v>
      </x:c>
      <x:c r="J1346" s="11" t="n">
        <x:v>0</x:v>
      </x:c>
      <x:c r="K1346" s="20" t="n">
        <x:v>480</x:v>
      </x:c>
      <x:c r="L1346" s="20" t="n">
        <x:v>72</x:v>
      </x:c>
      <x:c r="M1346" s="20" t="n">
        <x:v>320</x:v>
      </x:c>
      <x:c r="N1346" s="20" t="n">
        <x:f>IF(J1346=1,0,K1346-L1346)</x:f>
        <x:v>408</x:v>
      </x:c>
      <x:c r="O1346" s="20" t="n">
        <x:f>N1346-M1346</x:f>
        <x:v>88</x:v>
      </x:c>
    </x:row>
    <x:row r="1347" ht="22" customHeight="1">
      <x:c r="A1347" s="11" t="n">
        <x:v>1343</x:v>
      </x:c>
      <x:c r="B1347" s="11" t="n">
        <x:v>676</x:v>
      </x:c>
      <x:c r="C1347" s="18" t="n">
        <x:v>45604</x:v>
      </x:c>
      <x:c r="D1347" s="11" t="str">
        <x:v>2024-11</x:v>
      </x:c>
      <x:c r="E1347" s="11" t="str">
        <x:v>South</x:v>
      </x:c>
      <x:c r="F1347" s="11" t="str">
        <x:v>Office Supplies</x:v>
      </x:c>
      <x:c r="G1347" s="11" t="str">
        <x:v>Storage box</x:v>
      </x:c>
      <x:c r="H1347" s="11" t="n">
        <x:v>4</x:v>
      </x:c>
      <x:c r="I1347" s="19" t="n">
        <x:v>0</x:v>
      </x:c>
      <x:c r="J1347" s="11" t="n">
        <x:v>0</x:v>
      </x:c>
      <x:c r="K1347" s="20" t="n">
        <x:v>104</x:v>
      </x:c>
      <x:c r="L1347" s="20" t="n">
        <x:v>0</x:v>
      </x:c>
      <x:c r="M1347" s="20" t="n">
        <x:v>48</x:v>
      </x:c>
      <x:c r="N1347" s="20" t="n">
        <x:f>IF(J1347=1,0,K1347-L1347)</x:f>
        <x:v>104</x:v>
      </x:c>
      <x:c r="O1347" s="20" t="n">
        <x:f>N1347-M1347</x:f>
        <x:v>56</x:v>
      </x:c>
    </x:row>
    <x:row r="1348" ht="22" customHeight="1">
      <x:c r="A1348" s="11" t="n">
        <x:v>1344</x:v>
      </x:c>
      <x:c r="B1348" s="11" t="n">
        <x:v>677</x:v>
      </x:c>
      <x:c r="C1348" s="18" t="n">
        <x:v>45649</x:v>
      </x:c>
      <x:c r="D1348" s="11" t="str">
        <x:v>2024-12</x:v>
      </x:c>
      <x:c r="E1348" s="11" t="str">
        <x:v>Central</x:v>
      </x:c>
      <x:c r="F1348" s="11" t="str">
        <x:v>Technology</x:v>
      </x:c>
      <x:c r="G1348" s="11" t="str">
        <x:v>Keyboard</x:v>
      </x:c>
      <x:c r="H1348" s="11" t="n">
        <x:v>3</x:v>
      </x:c>
      <x:c r="I1348" s="19" t="n">
        <x:v>0.15</x:v>
      </x:c>
      <x:c r="J1348" s="11" t="n">
        <x:v>0</x:v>
      </x:c>
      <x:c r="K1348" s="20" t="n">
        <x:v>195</x:v>
      </x:c>
      <x:c r="L1348" s="20" t="n">
        <x:v>29.25</x:v>
      </x:c>
      <x:c r="M1348" s="20" t="n">
        <x:v>96</x:v>
      </x:c>
      <x:c r="N1348" s="20" t="n">
        <x:f>IF(J1348=1,0,K1348-L1348)</x:f>
        <x:v>165.75</x:v>
      </x:c>
      <x:c r="O1348" s="20" t="n">
        <x:f>N1348-M1348</x:f>
        <x:v>69.75</x:v>
      </x:c>
    </x:row>
    <x:row r="1349" ht="22" customHeight="1">
      <x:c r="A1349" s="11" t="n">
        <x:v>1345</x:v>
      </x:c>
      <x:c r="B1349" s="11" t="n">
        <x:v>677</x:v>
      </x:c>
      <x:c r="C1349" s="18" t="n">
        <x:v>45649</x:v>
      </x:c>
      <x:c r="D1349" s="11" t="str">
        <x:v>2024-12</x:v>
      </x:c>
      <x:c r="E1349" s="11" t="str">
        <x:v>Central</x:v>
      </x:c>
      <x:c r="F1349" s="11" t="str">
        <x:v>Office Supplies</x:v>
      </x:c>
      <x:c r="G1349" s="11" t="str">
        <x:v>Notebook pack</x:v>
      </x:c>
      <x:c r="H1349" s="11" t="n">
        <x:v>3</x:v>
      </x:c>
      <x:c r="I1349" s="19" t="n">
        <x:v>0.1</x:v>
      </x:c>
      <x:c r="J1349" s="11" t="n">
        <x:v>0</x:v>
      </x:c>
      <x:c r="K1349" s="20" t="n">
        <x:v>54</x:v>
      </x:c>
      <x:c r="L1349" s="20" t="n">
        <x:v>5.4</x:v>
      </x:c>
      <x:c r="M1349" s="20" t="n">
        <x:v>21</x:v>
      </x:c>
      <x:c r="N1349" s="20" t="n">
        <x:f>IF(J1349=1,0,K1349-L1349)</x:f>
        <x:v>48.6</x:v>
      </x:c>
      <x:c r="O1349" s="20" t="n">
        <x:f>N1349-M1349</x:f>
        <x:v>27.6</x:v>
      </x:c>
    </x:row>
    <x:row r="1350" ht="22" customHeight="1">
      <x:c r="A1350" s="11" t="n">
        <x:v>1346</x:v>
      </x:c>
      <x:c r="B1350" s="11" t="n">
        <x:v>678</x:v>
      </x:c>
      <x:c r="C1350" s="18" t="n">
        <x:v>45912</x:v>
      </x:c>
      <x:c r="D1350" s="11" t="str">
        <x:v>2025-09</x:v>
      </x:c>
      <x:c r="E1350" s="11" t="str">
        <x:v>West</x:v>
      </x:c>
      <x:c r="F1350" s="11" t="str">
        <x:v>Office Supplies</x:v>
      </x:c>
      <x:c r="G1350" s="11" t="str">
        <x:v>Storage box</x:v>
      </x:c>
      <x:c r="H1350" s="11" t="n">
        <x:v>4</x:v>
      </x:c>
      <x:c r="I1350" s="19" t="n">
        <x:v>0</x:v>
      </x:c>
      <x:c r="J1350" s="11" t="n">
        <x:v>0</x:v>
      </x:c>
      <x:c r="K1350" s="20" t="n">
        <x:v>104</x:v>
      </x:c>
      <x:c r="L1350" s="20" t="n">
        <x:v>0</x:v>
      </x:c>
      <x:c r="M1350" s="20" t="n">
        <x:v>48</x:v>
      </x:c>
      <x:c r="N1350" s="20" t="n">
        <x:f>IF(J1350=1,0,K1350-L1350)</x:f>
        <x:v>104</x:v>
      </x:c>
      <x:c r="O1350" s="20" t="n">
        <x:f>N1350-M1350</x:f>
        <x:v>56</x:v>
      </x:c>
    </x:row>
    <x:row r="1351" ht="22" customHeight="1">
      <x:c r="A1351" s="11" t="n">
        <x:v>1347</x:v>
      </x:c>
      <x:c r="B1351" s="11" t="n">
        <x:v>678</x:v>
      </x:c>
      <x:c r="C1351" s="18" t="n">
        <x:v>45912</x:v>
      </x:c>
      <x:c r="D1351" s="11" t="str">
        <x:v>2025-09</x:v>
      </x:c>
      <x:c r="E1351" s="11" t="str">
        <x:v>West</x:v>
      </x:c>
      <x:c r="F1351" s="11" t="str">
        <x:v>Technology</x:v>
      </x:c>
      <x:c r="G1351" s="11" t="str">
        <x:v>Keyboard</x:v>
      </x:c>
      <x:c r="H1351" s="11" t="n">
        <x:v>3</x:v>
      </x:c>
      <x:c r="I1351" s="19" t="n">
        <x:v>0</x:v>
      </x:c>
      <x:c r="J1351" s="11" t="n">
        <x:v>0</x:v>
      </x:c>
      <x:c r="K1351" s="20" t="n">
        <x:v>195</x:v>
      </x:c>
      <x:c r="L1351" s="20" t="n">
        <x:v>0</x:v>
      </x:c>
      <x:c r="M1351" s="20" t="n">
        <x:v>96</x:v>
      </x:c>
      <x:c r="N1351" s="20" t="n">
        <x:f>IF(J1351=1,0,K1351-L1351)</x:f>
        <x:v>195</x:v>
      </x:c>
      <x:c r="O1351" s="20" t="n">
        <x:f>N1351-M1351</x:f>
        <x:v>99</x:v>
      </x:c>
    </x:row>
    <x:row r="1352" ht="22" customHeight="1">
      <x:c r="A1352" s="11" t="n">
        <x:v>1348</x:v>
      </x:c>
      <x:c r="B1352" s="11" t="n">
        <x:v>678</x:v>
      </x:c>
      <x:c r="C1352" s="18" t="n">
        <x:v>45912</x:v>
      </x:c>
      <x:c r="D1352" s="11" t="str">
        <x:v>2025-09</x:v>
      </x:c>
      <x:c r="E1352" s="11" t="str">
        <x:v>West</x:v>
      </x:c>
      <x:c r="F1352" s="11" t="str">
        <x:v>Office Supplies</x:v>
      </x:c>
      <x:c r="G1352" s="11" t="str">
        <x:v>Notebook pack</x:v>
      </x:c>
      <x:c r="H1352" s="11" t="n">
        <x:v>5</x:v>
      </x:c>
      <x:c r="I1352" s="19" t="n">
        <x:v>0.1</x:v>
      </x:c>
      <x:c r="J1352" s="11" t="n">
        <x:v>0</x:v>
      </x:c>
      <x:c r="K1352" s="20" t="n">
        <x:v>90</x:v>
      </x:c>
      <x:c r="L1352" s="20" t="n">
        <x:v>9</x:v>
      </x:c>
      <x:c r="M1352" s="20" t="n">
        <x:v>35</x:v>
      </x:c>
      <x:c r="N1352" s="20" t="n">
        <x:f>IF(J1352=1,0,K1352-L1352)</x:f>
        <x:v>81</x:v>
      </x:c>
      <x:c r="O1352" s="20" t="n">
        <x:f>N1352-M1352</x:f>
        <x:v>46</x:v>
      </x:c>
    </x:row>
    <x:row r="1353" ht="22" customHeight="1">
      <x:c r="A1353" s="11" t="n">
        <x:v>1349</x:v>
      </x:c>
      <x:c r="B1353" s="11" t="n">
        <x:v>679</x:v>
      </x:c>
      <x:c r="C1353" s="18" t="n">
        <x:v>45696</x:v>
      </x:c>
      <x:c r="D1353" s="11" t="str">
        <x:v>2025-02</x:v>
      </x:c>
      <x:c r="E1353" s="11" t="str">
        <x:v>South</x:v>
      </x:c>
      <x:c r="F1353" s="11" t="str">
        <x:v>Technology</x:v>
      </x:c>
      <x:c r="G1353" s="11" t="str">
        <x:v>Keyboard</x:v>
      </x:c>
      <x:c r="H1353" s="11" t="n">
        <x:v>2</x:v>
      </x:c>
      <x:c r="I1353" s="19" t="n">
        <x:v>0</x:v>
      </x:c>
      <x:c r="J1353" s="11" t="n">
        <x:v>0</x:v>
      </x:c>
      <x:c r="K1353" s="20" t="n">
        <x:v>130</x:v>
      </x:c>
      <x:c r="L1353" s="20" t="n">
        <x:v>0</x:v>
      </x:c>
      <x:c r="M1353" s="20" t="n">
        <x:v>64</x:v>
      </x:c>
      <x:c r="N1353" s="20" t="n">
        <x:f>IF(J1353=1,0,K1353-L1353)</x:f>
        <x:v>130</x:v>
      </x:c>
      <x:c r="O1353" s="20" t="n">
        <x:f>N1353-M1353</x:f>
        <x:v>66</x:v>
      </x:c>
    </x:row>
    <x:row r="1354" ht="22" customHeight="1">
      <x:c r="A1354" s="11" t="n">
        <x:v>1350</x:v>
      </x:c>
      <x:c r="B1354" s="11" t="n">
        <x:v>679</x:v>
      </x:c>
      <x:c r="C1354" s="18" t="n">
        <x:v>45696</x:v>
      </x:c>
      <x:c r="D1354" s="11" t="str">
        <x:v>2025-02</x:v>
      </x:c>
      <x:c r="E1354" s="11" t="str">
        <x:v>South</x:v>
      </x:c>
      <x:c r="F1354" s="11" t="str">
        <x:v>Technology</x:v>
      </x:c>
      <x:c r="G1354" s="11" t="str">
        <x:v>Monitor</x:v>
      </x:c>
      <x:c r="H1354" s="11" t="n">
        <x:v>3</x:v>
      </x:c>
      <x:c r="I1354" s="19" t="n">
        <x:v>0.15</x:v>
      </x:c>
      <x:c r="J1354" s="11" t="n">
        <x:v>0</x:v>
      </x:c>
      <x:c r="K1354" s="20" t="n">
        <x:v>720</x:v>
      </x:c>
      <x:c r="L1354" s="20" t="n">
        <x:v>108</x:v>
      </x:c>
      <x:c r="M1354" s="20" t="n">
        <x:v>480</x:v>
      </x:c>
      <x:c r="N1354" s="20" t="n">
        <x:f>IF(J1354=1,0,K1354-L1354)</x:f>
        <x:v>612</x:v>
      </x:c>
      <x:c r="O1354" s="20" t="n">
        <x:f>N1354-M1354</x:f>
        <x:v>132</x:v>
      </x:c>
    </x:row>
    <x:row r="1355" ht="22" customHeight="1">
      <x:c r="A1355" s="11" t="n">
        <x:v>1351</x:v>
      </x:c>
      <x:c r="B1355" s="11" t="n">
        <x:v>679</x:v>
      </x:c>
      <x:c r="C1355" s="18" t="n">
        <x:v>45696</x:v>
      </x:c>
      <x:c r="D1355" s="11" t="str">
        <x:v>2025-02</x:v>
      </x:c>
      <x:c r="E1355" s="11" t="str">
        <x:v>South</x:v>
      </x:c>
      <x:c r="F1355" s="11" t="str">
        <x:v>Furniture</x:v>
      </x:c>
      <x:c r="G1355" s="11" t="str">
        <x:v>Desk</x:v>
      </x:c>
      <x:c r="H1355" s="11" t="n">
        <x:v>5</x:v>
      </x:c>
      <x:c r="I1355" s="19" t="n">
        <x:v>0</x:v>
      </x:c>
      <x:c r="J1355" s="11" t="n">
        <x:v>0</x:v>
      </x:c>
      <x:c r="K1355" s="20" t="n">
        <x:v>1400</x:v>
      </x:c>
      <x:c r="L1355" s="20" t="n">
        <x:v>0</x:v>
      </x:c>
      <x:c r="M1355" s="20" t="n">
        <x:v>950</x:v>
      </x:c>
      <x:c r="N1355" s="20" t="n">
        <x:f>IF(J1355=1,0,K1355-L1355)</x:f>
        <x:v>1400</x:v>
      </x:c>
      <x:c r="O1355" s="20" t="n">
        <x:f>N1355-M1355</x:f>
        <x:v>450</x:v>
      </x:c>
    </x:row>
    <x:row r="1356" ht="22" customHeight="1">
      <x:c r="A1356" s="11" t="n">
        <x:v>1352</x:v>
      </x:c>
      <x:c r="B1356" s="11" t="n">
        <x:v>680</x:v>
      </x:c>
      <x:c r="C1356" s="18" t="n">
        <x:v>45925</x:v>
      </x:c>
      <x:c r="D1356" s="11" t="str">
        <x:v>2025-09</x:v>
      </x:c>
      <x:c r="E1356" s="11" t="str">
        <x:v>East</x:v>
      </x:c>
      <x:c r="F1356" s="11" t="str">
        <x:v>Office Supplies</x:v>
      </x:c>
      <x:c r="G1356" s="11" t="str">
        <x:v>Notebook pack</x:v>
      </x:c>
      <x:c r="H1356" s="11" t="n">
        <x:v>5</x:v>
      </x:c>
      <x:c r="I1356" s="19" t="n">
        <x:v>0</x:v>
      </x:c>
      <x:c r="J1356" s="11" t="n">
        <x:v>0</x:v>
      </x:c>
      <x:c r="K1356" s="20" t="n">
        <x:v>90</x:v>
      </x:c>
      <x:c r="L1356" s="20" t="n">
        <x:v>0</x:v>
      </x:c>
      <x:c r="M1356" s="20" t="n">
        <x:v>35</x:v>
      </x:c>
      <x:c r="N1356" s="20" t="n">
        <x:f>IF(J1356=1,0,K1356-L1356)</x:f>
        <x:v>90</x:v>
      </x:c>
      <x:c r="O1356" s="20" t="n">
        <x:f>N1356-M1356</x:f>
        <x:v>55</x:v>
      </x:c>
    </x:row>
    <x:row r="1357" ht="22" customHeight="1">
      <x:c r="A1357" s="11" t="n">
        <x:v>1353</x:v>
      </x:c>
      <x:c r="B1357" s="11" t="n">
        <x:v>680</x:v>
      </x:c>
      <x:c r="C1357" s="18" t="n">
        <x:v>45925</x:v>
      </x:c>
      <x:c r="D1357" s="11" t="str">
        <x:v>2025-09</x:v>
      </x:c>
      <x:c r="E1357" s="11" t="str">
        <x:v>East</x:v>
      </x:c>
      <x:c r="F1357" s="11" t="str">
        <x:v>Furniture</x:v>
      </x:c>
      <x:c r="G1357" s="11" t="str">
        <x:v>Chair</x:v>
      </x:c>
      <x:c r="H1357" s="11" t="n">
        <x:v>5</x:v>
      </x:c>
      <x:c r="I1357" s="19" t="n">
        <x:v>0</x:v>
      </x:c>
      <x:c r="J1357" s="11" t="n">
        <x:v>0</x:v>
      </x:c>
      <x:c r="K1357" s="20" t="n">
        <x:v>850</x:v>
      </x:c>
      <x:c r="L1357" s="20" t="n">
        <x:v>0</x:v>
      </x:c>
      <x:c r="M1357" s="20" t="n">
        <x:v>550</x:v>
      </x:c>
      <x:c r="N1357" s="20" t="n">
        <x:f>IF(J1357=1,0,K1357-L1357)</x:f>
        <x:v>850</x:v>
      </x:c>
      <x:c r="O1357" s="20" t="n">
        <x:f>N1357-M1357</x:f>
        <x:v>300</x:v>
      </x:c>
    </x:row>
    <x:row r="1358" ht="22" customHeight="1">
      <x:c r="A1358" s="11" t="n">
        <x:v>1354</x:v>
      </x:c>
      <x:c r="B1358" s="11" t="n">
        <x:v>680</x:v>
      </x:c>
      <x:c r="C1358" s="18" t="n">
        <x:v>45925</x:v>
      </x:c>
      <x:c r="D1358" s="11" t="str">
        <x:v>2025-09</x:v>
      </x:c>
      <x:c r="E1358" s="11" t="str">
        <x:v>East</x:v>
      </x:c>
      <x:c r="F1358" s="11" t="str">
        <x:v>Technology</x:v>
      </x:c>
      <x:c r="G1358" s="11" t="str">
        <x:v>Keyboard</x:v>
      </x:c>
      <x:c r="H1358" s="11" t="n">
        <x:v>3</x:v>
      </x:c>
      <x:c r="I1358" s="19" t="n">
        <x:v>0</x:v>
      </x:c>
      <x:c r="J1358" s="11" t="n">
        <x:v>0</x:v>
      </x:c>
      <x:c r="K1358" s="20" t="n">
        <x:v>195</x:v>
      </x:c>
      <x:c r="L1358" s="20" t="n">
        <x:v>0</x:v>
      </x:c>
      <x:c r="M1358" s="20" t="n">
        <x:v>96</x:v>
      </x:c>
      <x:c r="N1358" s="20" t="n">
        <x:f>IF(J1358=1,0,K1358-L1358)</x:f>
        <x:v>195</x:v>
      </x:c>
      <x:c r="O1358" s="20" t="n">
        <x:f>N1358-M1358</x:f>
        <x:v>99</x:v>
      </x:c>
    </x:row>
    <x:row r="1359" ht="22" customHeight="1">
      <x:c r="A1359" s="11" t="n">
        <x:v>1355</x:v>
      </x:c>
      <x:c r="B1359" s="11" t="n">
        <x:v>681</x:v>
      </x:c>
      <x:c r="C1359" s="18" t="n">
        <x:v>46014</x:v>
      </x:c>
      <x:c r="D1359" s="11" t="str">
        <x:v>2025-12</x:v>
      </x:c>
      <x:c r="E1359" s="11" t="str">
        <x:v>South</x:v>
      </x:c>
      <x:c r="F1359" s="11" t="str">
        <x:v>Office Supplies</x:v>
      </x:c>
      <x:c r="G1359" s="11" t="str">
        <x:v>Notebook pack</x:v>
      </x:c>
      <x:c r="H1359" s="11" t="n">
        <x:v>5</x:v>
      </x:c>
      <x:c r="I1359" s="19" t="n">
        <x:v>0.05</x:v>
      </x:c>
      <x:c r="J1359" s="11" t="n">
        <x:v>0</x:v>
      </x:c>
      <x:c r="K1359" s="20" t="n">
        <x:v>90</x:v>
      </x:c>
      <x:c r="L1359" s="20" t="n">
        <x:v>4.5</x:v>
      </x:c>
      <x:c r="M1359" s="20" t="n">
        <x:v>35</x:v>
      </x:c>
      <x:c r="N1359" s="20" t="n">
        <x:f>IF(J1359=1,0,K1359-L1359)</x:f>
        <x:v>85.5</x:v>
      </x:c>
      <x:c r="O1359" s="20" t="n">
        <x:f>N1359-M1359</x:f>
        <x:v>50.5</x:v>
      </x:c>
    </x:row>
    <x:row r="1360" ht="22" customHeight="1">
      <x:c r="A1360" s="11" t="n">
        <x:v>1356</x:v>
      </x:c>
      <x:c r="B1360" s="11" t="n">
        <x:v>682</x:v>
      </x:c>
      <x:c r="C1360" s="18" t="n">
        <x:v>45338</x:v>
      </x:c>
      <x:c r="D1360" s="11" t="str">
        <x:v>2024-02</x:v>
      </x:c>
      <x:c r="E1360" s="11" t="str">
        <x:v>West</x:v>
      </x:c>
      <x:c r="F1360" s="11" t="str">
        <x:v>Technology</x:v>
      </x:c>
      <x:c r="G1360" s="11" t="str">
        <x:v>Keyboard</x:v>
      </x:c>
      <x:c r="H1360" s="11" t="n">
        <x:v>4</x:v>
      </x:c>
      <x:c r="I1360" s="19" t="n">
        <x:v>0</x:v>
      </x:c>
      <x:c r="J1360" s="11" t="n">
        <x:v>0</x:v>
      </x:c>
      <x:c r="K1360" s="20" t="n">
        <x:v>260</x:v>
      </x:c>
      <x:c r="L1360" s="20" t="n">
        <x:v>0</x:v>
      </x:c>
      <x:c r="M1360" s="20" t="n">
        <x:v>128</x:v>
      </x:c>
      <x:c r="N1360" s="20" t="n">
        <x:f>IF(J1360=1,0,K1360-L1360)</x:f>
        <x:v>260</x:v>
      </x:c>
      <x:c r="O1360" s="20" t="n">
        <x:f>N1360-M1360</x:f>
        <x:v>132</x:v>
      </x:c>
    </x:row>
    <x:row r="1361" ht="22" customHeight="1">
      <x:c r="A1361" s="11" t="n">
        <x:v>1357</x:v>
      </x:c>
      <x:c r="B1361" s="11" t="n">
        <x:v>682</x:v>
      </x:c>
      <x:c r="C1361" s="18" t="n">
        <x:v>45338</x:v>
      </x:c>
      <x:c r="D1361" s="11" t="str">
        <x:v>2024-02</x:v>
      </x:c>
      <x:c r="E1361" s="11" t="str">
        <x:v>West</x:v>
      </x:c>
      <x:c r="F1361" s="11" t="str">
        <x:v>Furniture</x:v>
      </x:c>
      <x:c r="G1361" s="11" t="str">
        <x:v>Chair</x:v>
      </x:c>
      <x:c r="H1361" s="11" t="n">
        <x:v>3</x:v>
      </x:c>
      <x:c r="I1361" s="19" t="n">
        <x:v>0.25</x:v>
      </x:c>
      <x:c r="J1361" s="11" t="n">
        <x:v>0</x:v>
      </x:c>
      <x:c r="K1361" s="20" t="n">
        <x:v>510</x:v>
      </x:c>
      <x:c r="L1361" s="20" t="n">
        <x:v>127.5</x:v>
      </x:c>
      <x:c r="M1361" s="20" t="n">
        <x:v>330</x:v>
      </x:c>
      <x:c r="N1361" s="20" t="n">
        <x:f>IF(J1361=1,0,K1361-L1361)</x:f>
        <x:v>382.5</x:v>
      </x:c>
      <x:c r="O1361" s="20" t="n">
        <x:f>N1361-M1361</x:f>
        <x:v>52.5</x:v>
      </x:c>
    </x:row>
    <x:row r="1362" ht="22" customHeight="1">
      <x:c r="A1362" s="11" t="n">
        <x:v>1358</x:v>
      </x:c>
      <x:c r="B1362" s="11" t="n">
        <x:v>683</x:v>
      </x:c>
      <x:c r="C1362" s="18" t="n">
        <x:v>45409</x:v>
      </x:c>
      <x:c r="D1362" s="11" t="str">
        <x:v>2024-04</x:v>
      </x:c>
      <x:c r="E1362" s="11" t="str">
        <x:v>South</x:v>
      </x:c>
      <x:c r="F1362" s="11" t="str">
        <x:v>Furniture</x:v>
      </x:c>
      <x:c r="G1362" s="11" t="str">
        <x:v>Chair</x:v>
      </x:c>
      <x:c r="H1362" s="11" t="n">
        <x:v>3</x:v>
      </x:c>
      <x:c r="I1362" s="19" t="n">
        <x:v>0</x:v>
      </x:c>
      <x:c r="J1362" s="11" t="n">
        <x:v>0</x:v>
      </x:c>
      <x:c r="K1362" s="20" t="n">
        <x:v>510</x:v>
      </x:c>
      <x:c r="L1362" s="20" t="n">
        <x:v>0</x:v>
      </x:c>
      <x:c r="M1362" s="20" t="n">
        <x:v>330</x:v>
      </x:c>
      <x:c r="N1362" s="20" t="n">
        <x:f>IF(J1362=1,0,K1362-L1362)</x:f>
        <x:v>510</x:v>
      </x:c>
      <x:c r="O1362" s="20" t="n">
        <x:f>N1362-M1362</x:f>
        <x:v>180</x:v>
      </x:c>
    </x:row>
    <x:row r="1363" ht="22" customHeight="1">
      <x:c r="A1363" s="11" t="n">
        <x:v>1359</x:v>
      </x:c>
      <x:c r="B1363" s="11" t="n">
        <x:v>683</x:v>
      </x:c>
      <x:c r="C1363" s="18" t="n">
        <x:v>45409</x:v>
      </x:c>
      <x:c r="D1363" s="11" t="str">
        <x:v>2024-04</x:v>
      </x:c>
      <x:c r="E1363" s="11" t="str">
        <x:v>South</x:v>
      </x:c>
      <x:c r="F1363" s="11" t="str">
        <x:v>Office Supplies</x:v>
      </x:c>
      <x:c r="G1363" s="11" t="str">
        <x:v>Storage box</x:v>
      </x:c>
      <x:c r="H1363" s="11" t="n">
        <x:v>4</x:v>
      </x:c>
      <x:c r="I1363" s="19" t="n">
        <x:v>0</x:v>
      </x:c>
      <x:c r="J1363" s="11" t="n">
        <x:v>1</x:v>
      </x:c>
      <x:c r="K1363" s="20" t="n">
        <x:v>104</x:v>
      </x:c>
      <x:c r="L1363" s="20" t="n">
        <x:v>0</x:v>
      </x:c>
      <x:c r="M1363" s="20" t="n">
        <x:v>0</x:v>
      </x:c>
      <x:c r="N1363" s="20" t="n">
        <x:f>IF(J1363=1,0,K1363-L1363)</x:f>
        <x:v>0</x:v>
      </x:c>
      <x:c r="O1363" s="20" t="n">
        <x:f>N1363-M1363</x:f>
        <x:v>0</x:v>
      </x:c>
    </x:row>
    <x:row r="1364" ht="22" customHeight="1">
      <x:c r="A1364" s="11" t="n">
        <x:v>1360</x:v>
      </x:c>
      <x:c r="B1364" s="11" t="n">
        <x:v>684</x:v>
      </x:c>
      <x:c r="C1364" s="18" t="n">
        <x:v>45625</x:v>
      </x:c>
      <x:c r="D1364" s="11" t="str">
        <x:v>2024-11</x:v>
      </x:c>
      <x:c r="E1364" s="11" t="str">
        <x:v>East</x:v>
      </x:c>
      <x:c r="F1364" s="11" t="str">
        <x:v>Furniture</x:v>
      </x:c>
      <x:c r="G1364" s="11" t="str">
        <x:v>Desk</x:v>
      </x:c>
      <x:c r="H1364" s="11" t="n">
        <x:v>1</x:v>
      </x:c>
      <x:c r="I1364" s="19" t="n">
        <x:v>0.15</x:v>
      </x:c>
      <x:c r="J1364" s="11" t="n">
        <x:v>0</x:v>
      </x:c>
      <x:c r="K1364" s="20" t="n">
        <x:v>280</x:v>
      </x:c>
      <x:c r="L1364" s="20" t="n">
        <x:v>42</x:v>
      </x:c>
      <x:c r="M1364" s="20" t="n">
        <x:v>190</x:v>
      </x:c>
      <x:c r="N1364" s="20" t="n">
        <x:f>IF(J1364=1,0,K1364-L1364)</x:f>
        <x:v>238</x:v>
      </x:c>
      <x:c r="O1364" s="20" t="n">
        <x:f>N1364-M1364</x:f>
        <x:v>48</x:v>
      </x:c>
    </x:row>
    <x:row r="1365" ht="22" customHeight="1">
      <x:c r="A1365" s="11" t="n">
        <x:v>1361</x:v>
      </x:c>
      <x:c r="B1365" s="11" t="n">
        <x:v>684</x:v>
      </x:c>
      <x:c r="C1365" s="18" t="n">
        <x:v>45625</x:v>
      </x:c>
      <x:c r="D1365" s="11" t="str">
        <x:v>2024-11</x:v>
      </x:c>
      <x:c r="E1365" s="11" t="str">
        <x:v>East</x:v>
      </x:c>
      <x:c r="F1365" s="11" t="str">
        <x:v>Technology</x:v>
      </x:c>
      <x:c r="G1365" s="11" t="str">
        <x:v>Monitor</x:v>
      </x:c>
      <x:c r="H1365" s="11" t="n">
        <x:v>3</x:v>
      </x:c>
      <x:c r="I1365" s="19" t="n">
        <x:v>0.05</x:v>
      </x:c>
      <x:c r="J1365" s="11" t="n">
        <x:v>0</x:v>
      </x:c>
      <x:c r="K1365" s="20" t="n">
        <x:v>720</x:v>
      </x:c>
      <x:c r="L1365" s="20" t="n">
        <x:v>36</x:v>
      </x:c>
      <x:c r="M1365" s="20" t="n">
        <x:v>480</x:v>
      </x:c>
      <x:c r="N1365" s="20" t="n">
        <x:f>IF(J1365=1,0,K1365-L1365)</x:f>
        <x:v>684</x:v>
      </x:c>
      <x:c r="O1365" s="20" t="n">
        <x:f>N1365-M1365</x:f>
        <x:v>204</x:v>
      </x:c>
    </x:row>
    <x:row r="1366" ht="22" customHeight="1">
      <x:c r="A1366" s="11" t="n">
        <x:v>1362</x:v>
      </x:c>
      <x:c r="B1366" s="11" t="n">
        <x:v>684</x:v>
      </x:c>
      <x:c r="C1366" s="18" t="n">
        <x:v>45625</x:v>
      </x:c>
      <x:c r="D1366" s="11" t="str">
        <x:v>2024-11</x:v>
      </x:c>
      <x:c r="E1366" s="11" t="str">
        <x:v>East</x:v>
      </x:c>
      <x:c r="F1366" s="11" t="str">
        <x:v>Technology</x:v>
      </x:c>
      <x:c r="G1366" s="11" t="str">
        <x:v>Keyboard</x:v>
      </x:c>
      <x:c r="H1366" s="11" t="n">
        <x:v>1</x:v>
      </x:c>
      <x:c r="I1366" s="19" t="n">
        <x:v>0</x:v>
      </x:c>
      <x:c r="J1366" s="11" t="n">
        <x:v>0</x:v>
      </x:c>
      <x:c r="K1366" s="20" t="n">
        <x:v>65</x:v>
      </x:c>
      <x:c r="L1366" s="20" t="n">
        <x:v>0</x:v>
      </x:c>
      <x:c r="M1366" s="20" t="n">
        <x:v>32</x:v>
      </x:c>
      <x:c r="N1366" s="20" t="n">
        <x:f>IF(J1366=1,0,K1366-L1366)</x:f>
        <x:v>65</x:v>
      </x:c>
      <x:c r="O1366" s="20" t="n">
        <x:f>N1366-M1366</x:f>
        <x:v>33</x:v>
      </x:c>
    </x:row>
    <x:row r="1367" ht="22" customHeight="1">
      <x:c r="A1367" s="11" t="n">
        <x:v>1363</x:v>
      </x:c>
      <x:c r="B1367" s="11" t="n">
        <x:v>685</x:v>
      </x:c>
      <x:c r="C1367" s="18" t="n">
        <x:v>45903</x:v>
      </x:c>
      <x:c r="D1367" s="11" t="str">
        <x:v>2025-09</x:v>
      </x:c>
      <x:c r="E1367" s="11" t="str">
        <x:v>East</x:v>
      </x:c>
      <x:c r="F1367" s="11" t="str">
        <x:v>Office Supplies</x:v>
      </x:c>
      <x:c r="G1367" s="11" t="str">
        <x:v>Notebook pack</x:v>
      </x:c>
      <x:c r="H1367" s="11" t="n">
        <x:v>4</x:v>
      </x:c>
      <x:c r="I1367" s="19" t="n">
        <x:v>0</x:v>
      </x:c>
      <x:c r="J1367" s="11" t="n">
        <x:v>0</x:v>
      </x:c>
      <x:c r="K1367" s="20" t="n">
        <x:v>72</x:v>
      </x:c>
      <x:c r="L1367" s="20" t="n">
        <x:v>0</x:v>
      </x:c>
      <x:c r="M1367" s="20" t="n">
        <x:v>28</x:v>
      </x:c>
      <x:c r="N1367" s="20" t="n">
        <x:f>IF(J1367=1,0,K1367-L1367)</x:f>
        <x:v>72</x:v>
      </x:c>
      <x:c r="O1367" s="20" t="n">
        <x:f>N1367-M1367</x:f>
        <x:v>44</x:v>
      </x:c>
    </x:row>
    <x:row r="1368" ht="22" customHeight="1">
      <x:c r="A1368" s="11" t="n">
        <x:v>1364</x:v>
      </x:c>
      <x:c r="B1368" s="11" t="n">
        <x:v>685</x:v>
      </x:c>
      <x:c r="C1368" s="18" t="n">
        <x:v>45903</x:v>
      </x:c>
      <x:c r="D1368" s="11" t="str">
        <x:v>2025-09</x:v>
      </x:c>
      <x:c r="E1368" s="11" t="str">
        <x:v>East</x:v>
      </x:c>
      <x:c r="F1368" s="11" t="str">
        <x:v>Office Supplies</x:v>
      </x:c>
      <x:c r="G1368" s="11" t="str">
        <x:v>Storage box</x:v>
      </x:c>
      <x:c r="H1368" s="11" t="n">
        <x:v>3</x:v>
      </x:c>
      <x:c r="I1368" s="19" t="n">
        <x:v>0.1</x:v>
      </x:c>
      <x:c r="J1368" s="11" t="n">
        <x:v>0</x:v>
      </x:c>
      <x:c r="K1368" s="20" t="n">
        <x:v>78</x:v>
      </x:c>
      <x:c r="L1368" s="20" t="n">
        <x:v>7.8</x:v>
      </x:c>
      <x:c r="M1368" s="20" t="n">
        <x:v>36</x:v>
      </x:c>
      <x:c r="N1368" s="20" t="n">
        <x:f>IF(J1368=1,0,K1368-L1368)</x:f>
        <x:v>70.2</x:v>
      </x:c>
      <x:c r="O1368" s="20" t="n">
        <x:f>N1368-M1368</x:f>
        <x:v>34.2</x:v>
      </x:c>
    </x:row>
    <x:row r="1369" ht="22" customHeight="1">
      <x:c r="A1369" s="11" t="n">
        <x:v>1365</x:v>
      </x:c>
      <x:c r="B1369" s="11" t="n">
        <x:v>686</x:v>
      </x:c>
      <x:c r="C1369" s="18" t="n">
        <x:v>45359</x:v>
      </x:c>
      <x:c r="D1369" s="11" t="str">
        <x:v>2024-03</x:v>
      </x:c>
      <x:c r="E1369" s="11" t="str">
        <x:v>Central</x:v>
      </x:c>
      <x:c r="F1369" s="11" t="str">
        <x:v>Office Supplies</x:v>
      </x:c>
      <x:c r="G1369" s="11" t="str">
        <x:v>Storage box</x:v>
      </x:c>
      <x:c r="H1369" s="11" t="n">
        <x:v>1</x:v>
      </x:c>
      <x:c r="I1369" s="19" t="n">
        <x:v>0.05</x:v>
      </x:c>
      <x:c r="J1369" s="11" t="n">
        <x:v>0</x:v>
      </x:c>
      <x:c r="K1369" s="20" t="n">
        <x:v>26</x:v>
      </x:c>
      <x:c r="L1369" s="20" t="n">
        <x:v>1.3</x:v>
      </x:c>
      <x:c r="M1369" s="20" t="n">
        <x:v>12</x:v>
      </x:c>
      <x:c r="N1369" s="20" t="n">
        <x:f>IF(J1369=1,0,K1369-L1369)</x:f>
        <x:v>24.7</x:v>
      </x:c>
      <x:c r="O1369" s="20" t="n">
        <x:f>N1369-M1369</x:f>
        <x:v>12.7</x:v>
      </x:c>
    </x:row>
    <x:row r="1370" ht="22" customHeight="1">
      <x:c r="A1370" s="11" t="n">
        <x:v>1366</x:v>
      </x:c>
      <x:c r="B1370" s="11" t="n">
        <x:v>686</x:v>
      </x:c>
      <x:c r="C1370" s="18" t="n">
        <x:v>45359</x:v>
      </x:c>
      <x:c r="D1370" s="11" t="str">
        <x:v>2024-03</x:v>
      </x:c>
      <x:c r="E1370" s="11" t="str">
        <x:v>Central</x:v>
      </x:c>
      <x:c r="F1370" s="11" t="str">
        <x:v>Furniture</x:v>
      </x:c>
      <x:c r="G1370" s="11" t="str">
        <x:v>Chair</x:v>
      </x:c>
      <x:c r="H1370" s="11" t="n">
        <x:v>5</x:v>
      </x:c>
      <x:c r="I1370" s="19" t="n">
        <x:v>0</x:v>
      </x:c>
      <x:c r="J1370" s="11" t="n">
        <x:v>0</x:v>
      </x:c>
      <x:c r="K1370" s="20" t="n">
        <x:v>850</x:v>
      </x:c>
      <x:c r="L1370" s="20" t="n">
        <x:v>0</x:v>
      </x:c>
      <x:c r="M1370" s="20" t="n">
        <x:v>550</x:v>
      </x:c>
      <x:c r="N1370" s="20" t="n">
        <x:f>IF(J1370=1,0,K1370-L1370)</x:f>
        <x:v>850</x:v>
      </x:c>
      <x:c r="O1370" s="20" t="n">
        <x:f>N1370-M1370</x:f>
        <x:v>300</x:v>
      </x:c>
    </x:row>
    <x:row r="1371" ht="22" customHeight="1">
      <x:c r="A1371" s="11" t="n">
        <x:v>1367</x:v>
      </x:c>
      <x:c r="B1371" s="11" t="n">
        <x:v>687</x:v>
      </x:c>
      <x:c r="C1371" s="18" t="n">
        <x:v>45860</x:v>
      </x:c>
      <x:c r="D1371" s="11" t="str">
        <x:v>2025-07</x:v>
      </x:c>
      <x:c r="E1371" s="11" t="str">
        <x:v>South</x:v>
      </x:c>
      <x:c r="F1371" s="11" t="str">
        <x:v>Office Supplies</x:v>
      </x:c>
      <x:c r="G1371" s="11" t="str">
        <x:v>Notebook pack</x:v>
      </x:c>
      <x:c r="H1371" s="11" t="n">
        <x:v>4</x:v>
      </x:c>
      <x:c r="I1371" s="19" t="n">
        <x:v>0</x:v>
      </x:c>
      <x:c r="J1371" s="11" t="n">
        <x:v>0</x:v>
      </x:c>
      <x:c r="K1371" s="20" t="n">
        <x:v>72</x:v>
      </x:c>
      <x:c r="L1371" s="20" t="n">
        <x:v>0</x:v>
      </x:c>
      <x:c r="M1371" s="20" t="n">
        <x:v>28</x:v>
      </x:c>
      <x:c r="N1371" s="20" t="n">
        <x:f>IF(J1371=1,0,K1371-L1371)</x:f>
        <x:v>72</x:v>
      </x:c>
      <x:c r="O1371" s="20" t="n">
        <x:f>N1371-M1371</x:f>
        <x:v>44</x:v>
      </x:c>
    </x:row>
    <x:row r="1372" ht="22" customHeight="1">
      <x:c r="A1372" s="11" t="n">
        <x:v>1368</x:v>
      </x:c>
      <x:c r="B1372" s="11" t="n">
        <x:v>687</x:v>
      </x:c>
      <x:c r="C1372" s="18" t="n">
        <x:v>45860</x:v>
      </x:c>
      <x:c r="D1372" s="11" t="str">
        <x:v>2025-07</x:v>
      </x:c>
      <x:c r="E1372" s="11" t="str">
        <x:v>South</x:v>
      </x:c>
      <x:c r="F1372" s="11" t="str">
        <x:v>Technology</x:v>
      </x:c>
      <x:c r="G1372" s="11" t="str">
        <x:v>Keyboard</x:v>
      </x:c>
      <x:c r="H1372" s="11" t="n">
        <x:v>5</x:v>
      </x:c>
      <x:c r="I1372" s="19" t="n">
        <x:v>0</x:v>
      </x:c>
      <x:c r="J1372" s="11" t="n">
        <x:v>0</x:v>
      </x:c>
      <x:c r="K1372" s="20" t="n">
        <x:v>325</x:v>
      </x:c>
      <x:c r="L1372" s="20" t="n">
        <x:v>0</x:v>
      </x:c>
      <x:c r="M1372" s="20" t="n">
        <x:v>160</x:v>
      </x:c>
      <x:c r="N1372" s="20" t="n">
        <x:f>IF(J1372=1,0,K1372-L1372)</x:f>
        <x:v>325</x:v>
      </x:c>
      <x:c r="O1372" s="20" t="n">
        <x:f>N1372-M1372</x:f>
        <x:v>165</x:v>
      </x:c>
    </x:row>
    <x:row r="1373" ht="22" customHeight="1">
      <x:c r="A1373" s="11" t="n">
        <x:v>1369</x:v>
      </x:c>
      <x:c r="B1373" s="11" t="n">
        <x:v>688</x:v>
      </x:c>
      <x:c r="C1373" s="18" t="n">
        <x:v>45437</x:v>
      </x:c>
      <x:c r="D1373" s="11" t="str">
        <x:v>2024-05</x:v>
      </x:c>
      <x:c r="E1373" s="11" t="str">
        <x:v>South</x:v>
      </x:c>
      <x:c r="F1373" s="11" t="str">
        <x:v>Office Supplies</x:v>
      </x:c>
      <x:c r="G1373" s="11" t="str">
        <x:v>Notebook pack</x:v>
      </x:c>
      <x:c r="H1373" s="11" t="n">
        <x:v>4</x:v>
      </x:c>
      <x:c r="I1373" s="19" t="n">
        <x:v>0.15</x:v>
      </x:c>
      <x:c r="J1373" s="11" t="n">
        <x:v>0</x:v>
      </x:c>
      <x:c r="K1373" s="20" t="n">
        <x:v>72</x:v>
      </x:c>
      <x:c r="L1373" s="20" t="n">
        <x:v>10.8</x:v>
      </x:c>
      <x:c r="M1373" s="20" t="n">
        <x:v>28</x:v>
      </x:c>
      <x:c r="N1373" s="20" t="n">
        <x:f>IF(J1373=1,0,K1373-L1373)</x:f>
        <x:v>61.2</x:v>
      </x:c>
      <x:c r="O1373" s="20" t="n">
        <x:f>N1373-M1373</x:f>
        <x:v>33.2</x:v>
      </x:c>
    </x:row>
    <x:row r="1374" ht="22" customHeight="1">
      <x:c r="A1374" s="11" t="n">
        <x:v>1370</x:v>
      </x:c>
      <x:c r="B1374" s="11" t="n">
        <x:v>689</x:v>
      </x:c>
      <x:c r="C1374" s="18" t="n">
        <x:v>45293</x:v>
      </x:c>
      <x:c r="D1374" s="11" t="str">
        <x:v>2024-01</x:v>
      </x:c>
      <x:c r="E1374" s="11" t="str">
        <x:v>West</x:v>
      </x:c>
      <x:c r="F1374" s="11" t="str">
        <x:v>Furniture</x:v>
      </x:c>
      <x:c r="G1374" s="11" t="str">
        <x:v>Chair</x:v>
      </x:c>
      <x:c r="H1374" s="11" t="n">
        <x:v>4</x:v>
      </x:c>
      <x:c r="I1374" s="19" t="n">
        <x:v>0.1</x:v>
      </x:c>
      <x:c r="J1374" s="11" t="n">
        <x:v>0</x:v>
      </x:c>
      <x:c r="K1374" s="20" t="n">
        <x:v>680</x:v>
      </x:c>
      <x:c r="L1374" s="20" t="n">
        <x:v>68</x:v>
      </x:c>
      <x:c r="M1374" s="20" t="n">
        <x:v>440</x:v>
      </x:c>
      <x:c r="N1374" s="20" t="n">
        <x:f>IF(J1374=1,0,K1374-L1374)</x:f>
        <x:v>612</x:v>
      </x:c>
      <x:c r="O1374" s="20" t="n">
        <x:f>N1374-M1374</x:f>
        <x:v>172</x:v>
      </x:c>
    </x:row>
    <x:row r="1375" ht="22" customHeight="1">
      <x:c r="A1375" s="11" t="n">
        <x:v>1371</x:v>
      </x:c>
      <x:c r="B1375" s="11" t="n">
        <x:v>689</x:v>
      </x:c>
      <x:c r="C1375" s="18" t="n">
        <x:v>45293</x:v>
      </x:c>
      <x:c r="D1375" s="11" t="str">
        <x:v>2024-01</x:v>
      </x:c>
      <x:c r="E1375" s="11" t="str">
        <x:v>West</x:v>
      </x:c>
      <x:c r="F1375" s="11" t="str">
        <x:v>Furniture</x:v>
      </x:c>
      <x:c r="G1375" s="11" t="str">
        <x:v>Desk</x:v>
      </x:c>
      <x:c r="H1375" s="11" t="n">
        <x:v>4</x:v>
      </x:c>
      <x:c r="I1375" s="19" t="n">
        <x:v>0.15</x:v>
      </x:c>
      <x:c r="J1375" s="11" t="n">
        <x:v>0</x:v>
      </x:c>
      <x:c r="K1375" s="20" t="n">
        <x:v>1120</x:v>
      </x:c>
      <x:c r="L1375" s="20" t="n">
        <x:v>168</x:v>
      </x:c>
      <x:c r="M1375" s="20" t="n">
        <x:v>760</x:v>
      </x:c>
      <x:c r="N1375" s="20" t="n">
        <x:f>IF(J1375=1,0,K1375-L1375)</x:f>
        <x:v>952</x:v>
      </x:c>
      <x:c r="O1375" s="20" t="n">
        <x:f>N1375-M1375</x:f>
        <x:v>192</x:v>
      </x:c>
    </x:row>
    <x:row r="1376" ht="22" customHeight="1">
      <x:c r="A1376" s="11" t="n">
        <x:v>1372</x:v>
      </x:c>
      <x:c r="B1376" s="11" t="n">
        <x:v>689</x:v>
      </x:c>
      <x:c r="C1376" s="18" t="n">
        <x:v>45293</x:v>
      </x:c>
      <x:c r="D1376" s="11" t="str">
        <x:v>2024-01</x:v>
      </x:c>
      <x:c r="E1376" s="11" t="str">
        <x:v>West</x:v>
      </x:c>
      <x:c r="F1376" s="11" t="str">
        <x:v>Office Supplies</x:v>
      </x:c>
      <x:c r="G1376" s="11" t="str">
        <x:v>Notebook pack</x:v>
      </x:c>
      <x:c r="H1376" s="11" t="n">
        <x:v>2</x:v>
      </x:c>
      <x:c r="I1376" s="19" t="n">
        <x:v>0.15</x:v>
      </x:c>
      <x:c r="J1376" s="11" t="n">
        <x:v>0</x:v>
      </x:c>
      <x:c r="K1376" s="20" t="n">
        <x:v>36</x:v>
      </x:c>
      <x:c r="L1376" s="20" t="n">
        <x:v>5.4</x:v>
      </x:c>
      <x:c r="M1376" s="20" t="n">
        <x:v>14</x:v>
      </x:c>
      <x:c r="N1376" s="20" t="n">
        <x:f>IF(J1376=1,0,K1376-L1376)</x:f>
        <x:v>30.6</x:v>
      </x:c>
      <x:c r="O1376" s="20" t="n">
        <x:f>N1376-M1376</x:f>
        <x:v>16.6</x:v>
      </x:c>
    </x:row>
    <x:row r="1377" ht="22" customHeight="1">
      <x:c r="A1377" s="11" t="n">
        <x:v>1373</x:v>
      </x:c>
      <x:c r="B1377" s="11" t="n">
        <x:v>690</x:v>
      </x:c>
      <x:c r="C1377" s="18" t="n">
        <x:v>45580</x:v>
      </x:c>
      <x:c r="D1377" s="11" t="str">
        <x:v>2024-10</x:v>
      </x:c>
      <x:c r="E1377" s="11" t="str">
        <x:v>South</x:v>
      </x:c>
      <x:c r="F1377" s="11" t="str">
        <x:v>Office Supplies</x:v>
      </x:c>
      <x:c r="G1377" s="11" t="str">
        <x:v>Notebook pack</x:v>
      </x:c>
      <x:c r="H1377" s="11" t="n">
        <x:v>3</x:v>
      </x:c>
      <x:c r="I1377" s="19" t="n">
        <x:v>0</x:v>
      </x:c>
      <x:c r="J1377" s="11" t="n">
        <x:v>0</x:v>
      </x:c>
      <x:c r="K1377" s="20" t="n">
        <x:v>54</x:v>
      </x:c>
      <x:c r="L1377" s="20" t="n">
        <x:v>0</x:v>
      </x:c>
      <x:c r="M1377" s="20" t="n">
        <x:v>21</x:v>
      </x:c>
      <x:c r="N1377" s="20" t="n">
        <x:f>IF(J1377=1,0,K1377-L1377)</x:f>
        <x:v>54</x:v>
      </x:c>
      <x:c r="O1377" s="20" t="n">
        <x:f>N1377-M1377</x:f>
        <x:v>33</x:v>
      </x:c>
    </x:row>
    <x:row r="1378" ht="22" customHeight="1">
      <x:c r="A1378" s="11" t="n">
        <x:v>1374</x:v>
      </x:c>
      <x:c r="B1378" s="11" t="n">
        <x:v>690</x:v>
      </x:c>
      <x:c r="C1378" s="18" t="n">
        <x:v>45580</x:v>
      </x:c>
      <x:c r="D1378" s="11" t="str">
        <x:v>2024-10</x:v>
      </x:c>
      <x:c r="E1378" s="11" t="str">
        <x:v>South</x:v>
      </x:c>
      <x:c r="F1378" s="11" t="str">
        <x:v>Office Supplies</x:v>
      </x:c>
      <x:c r="G1378" s="11" t="str">
        <x:v>Storage box</x:v>
      </x:c>
      <x:c r="H1378" s="11" t="n">
        <x:v>1</x:v>
      </x:c>
      <x:c r="I1378" s="19" t="n">
        <x:v>0</x:v>
      </x:c>
      <x:c r="J1378" s="11" t="n">
        <x:v>0</x:v>
      </x:c>
      <x:c r="K1378" s="20" t="n">
        <x:v>26</x:v>
      </x:c>
      <x:c r="L1378" s="20" t="n">
        <x:v>0</x:v>
      </x:c>
      <x:c r="M1378" s="20" t="n">
        <x:v>12</x:v>
      </x:c>
      <x:c r="N1378" s="20" t="n">
        <x:f>IF(J1378=1,0,K1378-L1378)</x:f>
        <x:v>26</x:v>
      </x:c>
      <x:c r="O1378" s="20" t="n">
        <x:f>N1378-M1378</x:f>
        <x:v>14</x:v>
      </x:c>
    </x:row>
    <x:row r="1379" ht="22" customHeight="1">
      <x:c r="A1379" s="11" t="n">
        <x:v>1375</x:v>
      </x:c>
      <x:c r="B1379" s="11" t="n">
        <x:v>690</x:v>
      </x:c>
      <x:c r="C1379" s="18" t="n">
        <x:v>45580</x:v>
      </x:c>
      <x:c r="D1379" s="11" t="str">
        <x:v>2024-10</x:v>
      </x:c>
      <x:c r="E1379" s="11" t="str">
        <x:v>South</x:v>
      </x:c>
      <x:c r="F1379" s="11" t="str">
        <x:v>Furniture</x:v>
      </x:c>
      <x:c r="G1379" s="11" t="str">
        <x:v>Desk</x:v>
      </x:c>
      <x:c r="H1379" s="11" t="n">
        <x:v>3</x:v>
      </x:c>
      <x:c r="I1379" s="19" t="n">
        <x:v>0.25</x:v>
      </x:c>
      <x:c r="J1379" s="11" t="n">
        <x:v>0</x:v>
      </x:c>
      <x:c r="K1379" s="20" t="n">
        <x:v>840</x:v>
      </x:c>
      <x:c r="L1379" s="20" t="n">
        <x:v>210</x:v>
      </x:c>
      <x:c r="M1379" s="20" t="n">
        <x:v>570</x:v>
      </x:c>
      <x:c r="N1379" s="20" t="n">
        <x:f>IF(J1379=1,0,K1379-L1379)</x:f>
        <x:v>630</x:v>
      </x:c>
      <x:c r="O1379" s="20" t="n">
        <x:f>N1379-M1379</x:f>
        <x:v>60</x:v>
      </x:c>
    </x:row>
    <x:row r="1380" ht="22" customHeight="1">
      <x:c r="A1380" s="11" t="n">
        <x:v>1376</x:v>
      </x:c>
      <x:c r="B1380" s="11" t="n">
        <x:v>691</x:v>
      </x:c>
      <x:c r="C1380" s="18" t="n">
        <x:v>45808</x:v>
      </x:c>
      <x:c r="D1380" s="11" t="str">
        <x:v>2025-05</x:v>
      </x:c>
      <x:c r="E1380" s="11" t="str">
        <x:v>Central</x:v>
      </x:c>
      <x:c r="F1380" s="11" t="str">
        <x:v>Technology</x:v>
      </x:c>
      <x:c r="G1380" s="11" t="str">
        <x:v>Monitor</x:v>
      </x:c>
      <x:c r="H1380" s="11" t="n">
        <x:v>2</x:v>
      </x:c>
      <x:c r="I1380" s="19" t="n">
        <x:v>0.05</x:v>
      </x:c>
      <x:c r="J1380" s="11" t="n">
        <x:v>0</x:v>
      </x:c>
      <x:c r="K1380" s="20" t="n">
        <x:v>480</x:v>
      </x:c>
      <x:c r="L1380" s="20" t="n">
        <x:v>24</x:v>
      </x:c>
      <x:c r="M1380" s="20" t="n">
        <x:v>320</x:v>
      </x:c>
      <x:c r="N1380" s="20" t="n">
        <x:f>IF(J1380=1,0,K1380-L1380)</x:f>
        <x:v>456</x:v>
      </x:c>
      <x:c r="O1380" s="20" t="n">
        <x:f>N1380-M1380</x:f>
        <x:v>136</x:v>
      </x:c>
    </x:row>
    <x:row r="1381" ht="22" customHeight="1">
      <x:c r="A1381" s="11" t="n">
        <x:v>1377</x:v>
      </x:c>
      <x:c r="B1381" s="11" t="n">
        <x:v>691</x:v>
      </x:c>
      <x:c r="C1381" s="18" t="n">
        <x:v>45808</x:v>
      </x:c>
      <x:c r="D1381" s="11" t="str">
        <x:v>2025-05</x:v>
      </x:c>
      <x:c r="E1381" s="11" t="str">
        <x:v>Central</x:v>
      </x:c>
      <x:c r="F1381" s="11" t="str">
        <x:v>Technology</x:v>
      </x:c>
      <x:c r="G1381" s="11" t="str">
        <x:v>Keyboard</x:v>
      </x:c>
      <x:c r="H1381" s="11" t="n">
        <x:v>4</x:v>
      </x:c>
      <x:c r="I1381" s="19" t="n">
        <x:v>0.15</x:v>
      </x:c>
      <x:c r="J1381" s="11" t="n">
        <x:v>0</x:v>
      </x:c>
      <x:c r="K1381" s="20" t="n">
        <x:v>260</x:v>
      </x:c>
      <x:c r="L1381" s="20" t="n">
        <x:v>39</x:v>
      </x:c>
      <x:c r="M1381" s="20" t="n">
        <x:v>128</x:v>
      </x:c>
      <x:c r="N1381" s="20" t="n">
        <x:f>IF(J1381=1,0,K1381-L1381)</x:f>
        <x:v>221</x:v>
      </x:c>
      <x:c r="O1381" s="20" t="n">
        <x:f>N1381-M1381</x:f>
        <x:v>93</x:v>
      </x:c>
    </x:row>
    <x:row r="1382" ht="22" customHeight="1">
      <x:c r="A1382" s="11" t="n">
        <x:v>1378</x:v>
      </x:c>
      <x:c r="B1382" s="11" t="n">
        <x:v>691</x:v>
      </x:c>
      <x:c r="C1382" s="18" t="n">
        <x:v>45808</x:v>
      </x:c>
      <x:c r="D1382" s="11" t="str">
        <x:v>2025-05</x:v>
      </x:c>
      <x:c r="E1382" s="11" t="str">
        <x:v>Central</x:v>
      </x:c>
      <x:c r="F1382" s="11" t="str">
        <x:v>Office Supplies</x:v>
      </x:c>
      <x:c r="G1382" s="11" t="str">
        <x:v>Storage box</x:v>
      </x:c>
      <x:c r="H1382" s="11" t="n">
        <x:v>2</x:v>
      </x:c>
      <x:c r="I1382" s="19" t="n">
        <x:v>0</x:v>
      </x:c>
      <x:c r="J1382" s="11" t="n">
        <x:v>0</x:v>
      </x:c>
      <x:c r="K1382" s="20" t="n">
        <x:v>52</x:v>
      </x:c>
      <x:c r="L1382" s="20" t="n">
        <x:v>0</x:v>
      </x:c>
      <x:c r="M1382" s="20" t="n">
        <x:v>24</x:v>
      </x:c>
      <x:c r="N1382" s="20" t="n">
        <x:f>IF(J1382=1,0,K1382-L1382)</x:f>
        <x:v>52</x:v>
      </x:c>
      <x:c r="O1382" s="20" t="n">
        <x:f>N1382-M1382</x:f>
        <x:v>28</x:v>
      </x:c>
    </x:row>
    <x:row r="1383" ht="22" customHeight="1">
      <x:c r="A1383" s="11" t="n">
        <x:v>1379</x:v>
      </x:c>
      <x:c r="B1383" s="11" t="n">
        <x:v>692</x:v>
      </x:c>
      <x:c r="C1383" s="18" t="n">
        <x:v>45296</x:v>
      </x:c>
      <x:c r="D1383" s="11" t="str">
        <x:v>2024-01</x:v>
      </x:c>
      <x:c r="E1383" s="11" t="str">
        <x:v>West</x:v>
      </x:c>
      <x:c r="F1383" s="11" t="str">
        <x:v>Office Supplies</x:v>
      </x:c>
      <x:c r="G1383" s="11" t="str">
        <x:v>Notebook pack</x:v>
      </x:c>
      <x:c r="H1383" s="11" t="n">
        <x:v>4</x:v>
      </x:c>
      <x:c r="I1383" s="19" t="n">
        <x:v>0.15</x:v>
      </x:c>
      <x:c r="J1383" s="11" t="n">
        <x:v>0</x:v>
      </x:c>
      <x:c r="K1383" s="20" t="n">
        <x:v>72</x:v>
      </x:c>
      <x:c r="L1383" s="20" t="n">
        <x:v>10.8</x:v>
      </x:c>
      <x:c r="M1383" s="20" t="n">
        <x:v>28</x:v>
      </x:c>
      <x:c r="N1383" s="20" t="n">
        <x:f>IF(J1383=1,0,K1383-L1383)</x:f>
        <x:v>61.2</x:v>
      </x:c>
      <x:c r="O1383" s="20" t="n">
        <x:f>N1383-M1383</x:f>
        <x:v>33.2</x:v>
      </x:c>
    </x:row>
    <x:row r="1384" ht="22" customHeight="1">
      <x:c r="A1384" s="11" t="n">
        <x:v>1380</x:v>
      </x:c>
      <x:c r="B1384" s="11" t="n">
        <x:v>692</x:v>
      </x:c>
      <x:c r="C1384" s="18" t="n">
        <x:v>45296</x:v>
      </x:c>
      <x:c r="D1384" s="11" t="str">
        <x:v>2024-01</x:v>
      </x:c>
      <x:c r="E1384" s="11" t="str">
        <x:v>West</x:v>
      </x:c>
      <x:c r="F1384" s="11" t="str">
        <x:v>Technology</x:v>
      </x:c>
      <x:c r="G1384" s="11" t="str">
        <x:v>Keyboard</x:v>
      </x:c>
      <x:c r="H1384" s="11" t="n">
        <x:v>1</x:v>
      </x:c>
      <x:c r="I1384" s="19" t="n">
        <x:v>0.15</x:v>
      </x:c>
      <x:c r="J1384" s="11" t="n">
        <x:v>1</x:v>
      </x:c>
      <x:c r="K1384" s="20" t="n">
        <x:v>65</x:v>
      </x:c>
      <x:c r="L1384" s="20" t="n">
        <x:v>9.75</x:v>
      </x:c>
      <x:c r="M1384" s="20" t="n">
        <x:v>0</x:v>
      </x:c>
      <x:c r="N1384" s="20" t="n">
        <x:f>IF(J1384=1,0,K1384-L1384)</x:f>
        <x:v>0</x:v>
      </x:c>
      <x:c r="O1384" s="20" t="n">
        <x:f>N1384-M1384</x:f>
        <x:v>0</x:v>
      </x:c>
    </x:row>
    <x:row r="1385" ht="22" customHeight="1">
      <x:c r="A1385" s="11" t="n">
        <x:v>1381</x:v>
      </x:c>
      <x:c r="B1385" s="11" t="n">
        <x:v>693</x:v>
      </x:c>
      <x:c r="C1385" s="18" t="n">
        <x:v>45979</x:v>
      </x:c>
      <x:c r="D1385" s="11" t="str">
        <x:v>2025-11</x:v>
      </x:c>
      <x:c r="E1385" s="11" t="str">
        <x:v>Central</x:v>
      </x:c>
      <x:c r="F1385" s="11" t="str">
        <x:v>Technology</x:v>
      </x:c>
      <x:c r="G1385" s="11" t="str">
        <x:v>Keyboard</x:v>
      </x:c>
      <x:c r="H1385" s="11" t="n">
        <x:v>3</x:v>
      </x:c>
      <x:c r="I1385" s="19" t="n">
        <x:v>0.1</x:v>
      </x:c>
      <x:c r="J1385" s="11" t="n">
        <x:v>0</x:v>
      </x:c>
      <x:c r="K1385" s="20" t="n">
        <x:v>195</x:v>
      </x:c>
      <x:c r="L1385" s="20" t="n">
        <x:v>19.5</x:v>
      </x:c>
      <x:c r="M1385" s="20" t="n">
        <x:v>96</x:v>
      </x:c>
      <x:c r="N1385" s="20" t="n">
        <x:f>IF(J1385=1,0,K1385-L1385)</x:f>
        <x:v>175.5</x:v>
      </x:c>
      <x:c r="O1385" s="20" t="n">
        <x:f>N1385-M1385</x:f>
        <x:v>79.5</x:v>
      </x:c>
    </x:row>
    <x:row r="1386" ht="22" customHeight="1">
      <x:c r="A1386" s="11" t="n">
        <x:v>1382</x:v>
      </x:c>
      <x:c r="B1386" s="11" t="n">
        <x:v>693</x:v>
      </x:c>
      <x:c r="C1386" s="18" t="n">
        <x:v>45979</x:v>
      </x:c>
      <x:c r="D1386" s="11" t="str">
        <x:v>2025-11</x:v>
      </x:c>
      <x:c r="E1386" s="11" t="str">
        <x:v>Central</x:v>
      </x:c>
      <x:c r="F1386" s="11" t="str">
        <x:v>Office Supplies</x:v>
      </x:c>
      <x:c r="G1386" s="11" t="str">
        <x:v>Notebook pack</x:v>
      </x:c>
      <x:c r="H1386" s="11" t="n">
        <x:v>1</x:v>
      </x:c>
      <x:c r="I1386" s="19" t="n">
        <x:v>0</x:v>
      </x:c>
      <x:c r="J1386" s="11" t="n">
        <x:v>0</x:v>
      </x:c>
      <x:c r="K1386" s="20" t="n">
        <x:v>18</x:v>
      </x:c>
      <x:c r="L1386" s="20" t="n">
        <x:v>0</x:v>
      </x:c>
      <x:c r="M1386" s="20" t="n">
        <x:v>7</x:v>
      </x:c>
      <x:c r="N1386" s="20" t="n">
        <x:f>IF(J1386=1,0,K1386-L1386)</x:f>
        <x:v>18</x:v>
      </x:c>
      <x:c r="O1386" s="20" t="n">
        <x:f>N1386-M1386</x:f>
        <x:v>11</x:v>
      </x:c>
    </x:row>
    <x:row r="1387" ht="22" customHeight="1">
      <x:c r="A1387" s="11" t="n">
        <x:v>1383</x:v>
      </x:c>
      <x:c r="B1387" s="11" t="n">
        <x:v>694</x:v>
      </x:c>
      <x:c r="C1387" s="18" t="n">
        <x:v>45489</x:v>
      </x:c>
      <x:c r="D1387" s="11" t="str">
        <x:v>2024-07</x:v>
      </x:c>
      <x:c r="E1387" s="11" t="str">
        <x:v>Central</x:v>
      </x:c>
      <x:c r="F1387" s="11" t="str">
        <x:v>Office Supplies</x:v>
      </x:c>
      <x:c r="G1387" s="11" t="str">
        <x:v>Storage box</x:v>
      </x:c>
      <x:c r="H1387" s="11" t="n">
        <x:v>1</x:v>
      </x:c>
      <x:c r="I1387" s="19" t="n">
        <x:v>0.05</x:v>
      </x:c>
      <x:c r="J1387" s="11" t="n">
        <x:v>0</x:v>
      </x:c>
      <x:c r="K1387" s="20" t="n">
        <x:v>26</x:v>
      </x:c>
      <x:c r="L1387" s="20" t="n">
        <x:v>1.3</x:v>
      </x:c>
      <x:c r="M1387" s="20" t="n">
        <x:v>12</x:v>
      </x:c>
      <x:c r="N1387" s="20" t="n">
        <x:f>IF(J1387=1,0,K1387-L1387)</x:f>
        <x:v>24.7</x:v>
      </x:c>
      <x:c r="O1387" s="20" t="n">
        <x:f>N1387-M1387</x:f>
        <x:v>12.7</x:v>
      </x:c>
    </x:row>
    <x:row r="1388" ht="22" customHeight="1">
      <x:c r="A1388" s="11" t="n">
        <x:v>1384</x:v>
      </x:c>
      <x:c r="B1388" s="11" t="n">
        <x:v>695</x:v>
      </x:c>
      <x:c r="C1388" s="18" t="n">
        <x:v>46018</x:v>
      </x:c>
      <x:c r="D1388" s="11" t="str">
        <x:v>2025-12</x:v>
      </x:c>
      <x:c r="E1388" s="11" t="str">
        <x:v>East</x:v>
      </x:c>
      <x:c r="F1388" s="11" t="str">
        <x:v>Office Supplies</x:v>
      </x:c>
      <x:c r="G1388" s="11" t="str">
        <x:v>Notebook pack</x:v>
      </x:c>
      <x:c r="H1388" s="11" t="n">
        <x:v>3</x:v>
      </x:c>
      <x:c r="I1388" s="19" t="n">
        <x:v>0</x:v>
      </x:c>
      <x:c r="J1388" s="11" t="n">
        <x:v>0</x:v>
      </x:c>
      <x:c r="K1388" s="20" t="n">
        <x:v>54</x:v>
      </x:c>
      <x:c r="L1388" s="20" t="n">
        <x:v>0</x:v>
      </x:c>
      <x:c r="M1388" s="20" t="n">
        <x:v>21</x:v>
      </x:c>
      <x:c r="N1388" s="20" t="n">
        <x:f>IF(J1388=1,0,K1388-L1388)</x:f>
        <x:v>54</x:v>
      </x:c>
      <x:c r="O1388" s="20" t="n">
        <x:f>N1388-M1388</x:f>
        <x:v>33</x:v>
      </x:c>
    </x:row>
    <x:row r="1389" ht="22" customHeight="1">
      <x:c r="A1389" s="11" t="n">
        <x:v>1385</x:v>
      </x:c>
      <x:c r="B1389" s="11" t="n">
        <x:v>696</x:v>
      </x:c>
      <x:c r="C1389" s="18" t="n">
        <x:v>45797</x:v>
      </x:c>
      <x:c r="D1389" s="11" t="str">
        <x:v>2025-05</x:v>
      </x:c>
      <x:c r="E1389" s="11" t="str">
        <x:v>South</x:v>
      </x:c>
      <x:c r="F1389" s="11" t="str">
        <x:v>Technology</x:v>
      </x:c>
      <x:c r="G1389" s="11" t="str">
        <x:v>Keyboard</x:v>
      </x:c>
      <x:c r="H1389" s="11" t="n">
        <x:v>2</x:v>
      </x:c>
      <x:c r="I1389" s="19" t="n">
        <x:v>0</x:v>
      </x:c>
      <x:c r="J1389" s="11" t="n">
        <x:v>0</x:v>
      </x:c>
      <x:c r="K1389" s="20" t="n">
        <x:v>130</x:v>
      </x:c>
      <x:c r="L1389" s="20" t="n">
        <x:v>0</x:v>
      </x:c>
      <x:c r="M1389" s="20" t="n">
        <x:v>64</x:v>
      </x:c>
      <x:c r="N1389" s="20" t="n">
        <x:f>IF(J1389=1,0,K1389-L1389)</x:f>
        <x:v>130</x:v>
      </x:c>
      <x:c r="O1389" s="20" t="n">
        <x:f>N1389-M1389</x:f>
        <x:v>66</x:v>
      </x:c>
    </x:row>
    <x:row r="1390" ht="22" customHeight="1">
      <x:c r="A1390" s="11" t="n">
        <x:v>1386</x:v>
      </x:c>
      <x:c r="B1390" s="11" t="n">
        <x:v>696</x:v>
      </x:c>
      <x:c r="C1390" s="18" t="n">
        <x:v>45797</x:v>
      </x:c>
      <x:c r="D1390" s="11" t="str">
        <x:v>2025-05</x:v>
      </x:c>
      <x:c r="E1390" s="11" t="str">
        <x:v>South</x:v>
      </x:c>
      <x:c r="F1390" s="11" t="str">
        <x:v>Office Supplies</x:v>
      </x:c>
      <x:c r="G1390" s="11" t="str">
        <x:v>Notebook pack</x:v>
      </x:c>
      <x:c r="H1390" s="11" t="n">
        <x:v>4</x:v>
      </x:c>
      <x:c r="I1390" s="19" t="n">
        <x:v>0</x:v>
      </x:c>
      <x:c r="J1390" s="11" t="n">
        <x:v>0</x:v>
      </x:c>
      <x:c r="K1390" s="20" t="n">
        <x:v>72</x:v>
      </x:c>
      <x:c r="L1390" s="20" t="n">
        <x:v>0</x:v>
      </x:c>
      <x:c r="M1390" s="20" t="n">
        <x:v>28</x:v>
      </x:c>
      <x:c r="N1390" s="20" t="n">
        <x:f>IF(J1390=1,0,K1390-L1390)</x:f>
        <x:v>72</x:v>
      </x:c>
      <x:c r="O1390" s="20" t="n">
        <x:f>N1390-M1390</x:f>
        <x:v>44</x:v>
      </x:c>
    </x:row>
    <x:row r="1391" ht="22" customHeight="1">
      <x:c r="A1391" s="11" t="n">
        <x:v>1387</x:v>
      </x:c>
      <x:c r="B1391" s="11" t="n">
        <x:v>697</x:v>
      </x:c>
      <x:c r="C1391" s="18" t="n">
        <x:v>45874</x:v>
      </x:c>
      <x:c r="D1391" s="11" t="str">
        <x:v>2025-08</x:v>
      </x:c>
      <x:c r="E1391" s="11" t="str">
        <x:v>South</x:v>
      </x:c>
      <x:c r="F1391" s="11" t="str">
        <x:v>Office Supplies</x:v>
      </x:c>
      <x:c r="G1391" s="11" t="str">
        <x:v>Notebook pack</x:v>
      </x:c>
      <x:c r="H1391" s="11" t="n">
        <x:v>2</x:v>
      </x:c>
      <x:c r="I1391" s="19" t="n">
        <x:v>0.15</x:v>
      </x:c>
      <x:c r="J1391" s="11" t="n">
        <x:v>0</x:v>
      </x:c>
      <x:c r="K1391" s="20" t="n">
        <x:v>36</x:v>
      </x:c>
      <x:c r="L1391" s="20" t="n">
        <x:v>5.4</x:v>
      </x:c>
      <x:c r="M1391" s="20" t="n">
        <x:v>14</x:v>
      </x:c>
      <x:c r="N1391" s="20" t="n">
        <x:f>IF(J1391=1,0,K1391-L1391)</x:f>
        <x:v>30.6</x:v>
      </x:c>
      <x:c r="O1391" s="20" t="n">
        <x:f>N1391-M1391</x:f>
        <x:v>16.6</x:v>
      </x:c>
    </x:row>
    <x:row r="1392" ht="22" customHeight="1">
      <x:c r="A1392" s="11" t="n">
        <x:v>1388</x:v>
      </x:c>
      <x:c r="B1392" s="11" t="n">
        <x:v>698</x:v>
      </x:c>
      <x:c r="C1392" s="18" t="n">
        <x:v>45909</x:v>
      </x:c>
      <x:c r="D1392" s="11" t="str">
        <x:v>2025-09</x:v>
      </x:c>
      <x:c r="E1392" s="11" t="str">
        <x:v>South</x:v>
      </x:c>
      <x:c r="F1392" s="11" t="str">
        <x:v>Office Supplies</x:v>
      </x:c>
      <x:c r="G1392" s="11" t="str">
        <x:v>Notebook pack</x:v>
      </x:c>
      <x:c r="H1392" s="11" t="n">
        <x:v>2</x:v>
      </x:c>
      <x:c r="I1392" s="19" t="n">
        <x:v>0</x:v>
      </x:c>
      <x:c r="J1392" s="11" t="n">
        <x:v>0</x:v>
      </x:c>
      <x:c r="K1392" s="20" t="n">
        <x:v>36</x:v>
      </x:c>
      <x:c r="L1392" s="20" t="n">
        <x:v>0</x:v>
      </x:c>
      <x:c r="M1392" s="20" t="n">
        <x:v>14</x:v>
      </x:c>
      <x:c r="N1392" s="20" t="n">
        <x:f>IF(J1392=1,0,K1392-L1392)</x:f>
        <x:v>36</x:v>
      </x:c>
      <x:c r="O1392" s="20" t="n">
        <x:f>N1392-M1392</x:f>
        <x:v>22</x:v>
      </x:c>
    </x:row>
    <x:row r="1393" ht="22" customHeight="1">
      <x:c r="A1393" s="11" t="n">
        <x:v>1389</x:v>
      </x:c>
      <x:c r="B1393" s="11" t="n">
        <x:v>699</x:v>
      </x:c>
      <x:c r="C1393" s="18" t="n">
        <x:v>45875</x:v>
      </x:c>
      <x:c r="D1393" s="11" t="str">
        <x:v>2025-08</x:v>
      </x:c>
      <x:c r="E1393" s="11" t="str">
        <x:v>Central</x:v>
      </x:c>
      <x:c r="F1393" s="11" t="str">
        <x:v>Office Supplies</x:v>
      </x:c>
      <x:c r="G1393" s="11" t="str">
        <x:v>Storage box</x:v>
      </x:c>
      <x:c r="H1393" s="11" t="n">
        <x:v>1</x:v>
      </x:c>
      <x:c r="I1393" s="19" t="n">
        <x:v>0.15</x:v>
      </x:c>
      <x:c r="J1393" s="11" t="n">
        <x:v>0</x:v>
      </x:c>
      <x:c r="K1393" s="20" t="n">
        <x:v>26</x:v>
      </x:c>
      <x:c r="L1393" s="20" t="n">
        <x:v>3.9</x:v>
      </x:c>
      <x:c r="M1393" s="20" t="n">
        <x:v>12</x:v>
      </x:c>
      <x:c r="N1393" s="20" t="n">
        <x:f>IF(J1393=1,0,K1393-L1393)</x:f>
        <x:v>22.1</x:v>
      </x:c>
      <x:c r="O1393" s="20" t="n">
        <x:f>N1393-M1393</x:f>
        <x:v>10.100000000000001</x:v>
      </x:c>
    </x:row>
    <x:row r="1394" ht="22" customHeight="1">
      <x:c r="A1394" s="11" t="n">
        <x:v>1390</x:v>
      </x:c>
      <x:c r="B1394" s="11" t="n">
        <x:v>700</x:v>
      </x:c>
      <x:c r="C1394" s="18" t="n">
        <x:v>45989</x:v>
      </x:c>
      <x:c r="D1394" s="11" t="str">
        <x:v>2025-11</x:v>
      </x:c>
      <x:c r="E1394" s="11" t="str">
        <x:v>East</x:v>
      </x:c>
      <x:c r="F1394" s="11" t="str">
        <x:v>Technology</x:v>
      </x:c>
      <x:c r="G1394" s="11" t="str">
        <x:v>Keyboard</x:v>
      </x:c>
      <x:c r="H1394" s="11" t="n">
        <x:v>1</x:v>
      </x:c>
      <x:c r="I1394" s="19" t="n">
        <x:v>0.05</x:v>
      </x:c>
      <x:c r="J1394" s="11" t="n">
        <x:v>0</x:v>
      </x:c>
      <x:c r="K1394" s="20" t="n">
        <x:v>65</x:v>
      </x:c>
      <x:c r="L1394" s="20" t="n">
        <x:v>3.25</x:v>
      </x:c>
      <x:c r="M1394" s="20" t="n">
        <x:v>32</x:v>
      </x:c>
      <x:c r="N1394" s="20" t="n">
        <x:f>IF(J1394=1,0,K1394-L1394)</x:f>
        <x:v>61.75</x:v>
      </x:c>
      <x:c r="O1394" s="20" t="n">
        <x:f>N1394-M1394</x:f>
        <x:v>29.75</x:v>
      </x:c>
    </x:row>
    <x:row r="1395" ht="22" customHeight="1">
      <x:c r="A1395" s="11" t="n">
        <x:v>1391</x:v>
      </x:c>
      <x:c r="B1395" s="11" t="n">
        <x:v>701</x:v>
      </x:c>
      <x:c r="C1395" s="18" t="n">
        <x:v>45708</x:v>
      </x:c>
      <x:c r="D1395" s="11" t="str">
        <x:v>2025-02</x:v>
      </x:c>
      <x:c r="E1395" s="11" t="str">
        <x:v>South</x:v>
      </x:c>
      <x:c r="F1395" s="11" t="str">
        <x:v>Office Supplies</x:v>
      </x:c>
      <x:c r="G1395" s="11" t="str">
        <x:v>Notebook pack</x:v>
      </x:c>
      <x:c r="H1395" s="11" t="n">
        <x:v>3</x:v>
      </x:c>
      <x:c r="I1395" s="19" t="n">
        <x:v>0.15</x:v>
      </x:c>
      <x:c r="J1395" s="11" t="n">
        <x:v>0</x:v>
      </x:c>
      <x:c r="K1395" s="20" t="n">
        <x:v>54</x:v>
      </x:c>
      <x:c r="L1395" s="20" t="n">
        <x:v>8.1</x:v>
      </x:c>
      <x:c r="M1395" s="20" t="n">
        <x:v>21</x:v>
      </x:c>
      <x:c r="N1395" s="20" t="n">
        <x:f>IF(J1395=1,0,K1395-L1395)</x:f>
        <x:v>45.9</x:v>
      </x:c>
      <x:c r="O1395" s="20" t="n">
        <x:f>N1395-M1395</x:f>
        <x:v>24.9</x:v>
      </x:c>
    </x:row>
    <x:row r="1396" ht="22" customHeight="1">
      <x:c r="A1396" s="11" t="n">
        <x:v>1392</x:v>
      </x:c>
      <x:c r="B1396" s="11" t="n">
        <x:v>701</x:v>
      </x:c>
      <x:c r="C1396" s="18" t="n">
        <x:v>45708</x:v>
      </x:c>
      <x:c r="D1396" s="11" t="str">
        <x:v>2025-02</x:v>
      </x:c>
      <x:c r="E1396" s="11" t="str">
        <x:v>South</x:v>
      </x:c>
      <x:c r="F1396" s="11" t="str">
        <x:v>Technology</x:v>
      </x:c>
      <x:c r="G1396" s="11" t="str">
        <x:v>Keyboard</x:v>
      </x:c>
      <x:c r="H1396" s="11" t="n">
        <x:v>2</x:v>
      </x:c>
      <x:c r="I1396" s="19" t="n">
        <x:v>0</x:v>
      </x:c>
      <x:c r="J1396" s="11" t="n">
        <x:v>0</x:v>
      </x:c>
      <x:c r="K1396" s="20" t="n">
        <x:v>130</x:v>
      </x:c>
      <x:c r="L1396" s="20" t="n">
        <x:v>0</x:v>
      </x:c>
      <x:c r="M1396" s="20" t="n">
        <x:v>64</x:v>
      </x:c>
      <x:c r="N1396" s="20" t="n">
        <x:f>IF(J1396=1,0,K1396-L1396)</x:f>
        <x:v>130</x:v>
      </x:c>
      <x:c r="O1396" s="20" t="n">
        <x:f>N1396-M1396</x:f>
        <x:v>66</x:v>
      </x:c>
    </x:row>
    <x:row r="1397" ht="22" customHeight="1">
      <x:c r="A1397" s="11" t="n">
        <x:v>1393</x:v>
      </x:c>
      <x:c r="B1397" s="11" t="n">
        <x:v>701</x:v>
      </x:c>
      <x:c r="C1397" s="18" t="n">
        <x:v>45708</x:v>
      </x:c>
      <x:c r="D1397" s="11" t="str">
        <x:v>2025-02</x:v>
      </x:c>
      <x:c r="E1397" s="11" t="str">
        <x:v>South</x:v>
      </x:c>
      <x:c r="F1397" s="11" t="str">
        <x:v>Office Supplies</x:v>
      </x:c>
      <x:c r="G1397" s="11" t="str">
        <x:v>Storage box</x:v>
      </x:c>
      <x:c r="H1397" s="11" t="n">
        <x:v>4</x:v>
      </x:c>
      <x:c r="I1397" s="19" t="n">
        <x:v>0.15</x:v>
      </x:c>
      <x:c r="J1397" s="11" t="n">
        <x:v>0</x:v>
      </x:c>
      <x:c r="K1397" s="20" t="n">
        <x:v>104</x:v>
      </x:c>
      <x:c r="L1397" s="20" t="n">
        <x:v>15.6</x:v>
      </x:c>
      <x:c r="M1397" s="20" t="n">
        <x:v>48</x:v>
      </x:c>
      <x:c r="N1397" s="20" t="n">
        <x:f>IF(J1397=1,0,K1397-L1397)</x:f>
        <x:v>88.4</x:v>
      </x:c>
      <x:c r="O1397" s="20" t="n">
        <x:f>N1397-M1397</x:f>
        <x:v>40.400000000000006</x:v>
      </x:c>
    </x:row>
    <x:row r="1398" ht="22" customHeight="1">
      <x:c r="A1398" s="11" t="n">
        <x:v>1394</x:v>
      </x:c>
      <x:c r="B1398" s="11" t="n">
        <x:v>702</x:v>
      </x:c>
      <x:c r="C1398" s="18" t="n">
        <x:v>45297</x:v>
      </x:c>
      <x:c r="D1398" s="11" t="str">
        <x:v>2024-01</x:v>
      </x:c>
      <x:c r="E1398" s="11" t="str">
        <x:v>East</x:v>
      </x:c>
      <x:c r="F1398" s="11" t="str">
        <x:v>Furniture</x:v>
      </x:c>
      <x:c r="G1398" s="11" t="str">
        <x:v>Desk</x:v>
      </x:c>
      <x:c r="H1398" s="11" t="n">
        <x:v>1</x:v>
      </x:c>
      <x:c r="I1398" s="19" t="n">
        <x:v>0.05</x:v>
      </x:c>
      <x:c r="J1398" s="11" t="n">
        <x:v>0</x:v>
      </x:c>
      <x:c r="K1398" s="20" t="n">
        <x:v>280</x:v>
      </x:c>
      <x:c r="L1398" s="20" t="n">
        <x:v>14</x:v>
      </x:c>
      <x:c r="M1398" s="20" t="n">
        <x:v>190</x:v>
      </x:c>
      <x:c r="N1398" s="20" t="n">
        <x:f>IF(J1398=1,0,K1398-L1398)</x:f>
        <x:v>266</x:v>
      </x:c>
      <x:c r="O1398" s="20" t="n">
        <x:f>N1398-M1398</x:f>
        <x:v>76</x:v>
      </x:c>
    </x:row>
    <x:row r="1399" ht="22" customHeight="1">
      <x:c r="A1399" s="11" t="n">
        <x:v>1395</x:v>
      </x:c>
      <x:c r="B1399" s="11" t="n">
        <x:v>702</x:v>
      </x:c>
      <x:c r="C1399" s="18" t="n">
        <x:v>45297</x:v>
      </x:c>
      <x:c r="D1399" s="11" t="str">
        <x:v>2024-01</x:v>
      </x:c>
      <x:c r="E1399" s="11" t="str">
        <x:v>East</x:v>
      </x:c>
      <x:c r="F1399" s="11" t="str">
        <x:v>Office Supplies</x:v>
      </x:c>
      <x:c r="G1399" s="11" t="str">
        <x:v>Notebook pack</x:v>
      </x:c>
      <x:c r="H1399" s="11" t="n">
        <x:v>4</x:v>
      </x:c>
      <x:c r="I1399" s="19" t="n">
        <x:v>0</x:v>
      </x:c>
      <x:c r="J1399" s="11" t="n">
        <x:v>0</x:v>
      </x:c>
      <x:c r="K1399" s="20" t="n">
        <x:v>72</x:v>
      </x:c>
      <x:c r="L1399" s="20" t="n">
        <x:v>0</x:v>
      </x:c>
      <x:c r="M1399" s="20" t="n">
        <x:v>28</x:v>
      </x:c>
      <x:c r="N1399" s="20" t="n">
        <x:f>IF(J1399=1,0,K1399-L1399)</x:f>
        <x:v>72</x:v>
      </x:c>
      <x:c r="O1399" s="20" t="n">
        <x:f>N1399-M1399</x:f>
        <x:v>44</x:v>
      </x:c>
    </x:row>
    <x:row r="1400" ht="22" customHeight="1">
      <x:c r="A1400" s="11" t="n">
        <x:v>1396</x:v>
      </x:c>
      <x:c r="B1400" s="11" t="n">
        <x:v>703</x:v>
      </x:c>
      <x:c r="C1400" s="18" t="n">
        <x:v>45493</x:v>
      </x:c>
      <x:c r="D1400" s="11" t="str">
        <x:v>2024-07</x:v>
      </x:c>
      <x:c r="E1400" s="11" t="str">
        <x:v>West</x:v>
      </x:c>
      <x:c r="F1400" s="11" t="str">
        <x:v>Furniture</x:v>
      </x:c>
      <x:c r="G1400" s="11" t="str">
        <x:v>Desk</x:v>
      </x:c>
      <x:c r="H1400" s="11" t="n">
        <x:v>1</x:v>
      </x:c>
      <x:c r="I1400" s="19" t="n">
        <x:v>0.35</x:v>
      </x:c>
      <x:c r="J1400" s="11" t="n">
        <x:v>0</x:v>
      </x:c>
      <x:c r="K1400" s="20" t="n">
        <x:v>280</x:v>
      </x:c>
      <x:c r="L1400" s="20" t="n">
        <x:v>98</x:v>
      </x:c>
      <x:c r="M1400" s="20" t="n">
        <x:v>190</x:v>
      </x:c>
      <x:c r="N1400" s="20" t="n">
        <x:f>IF(J1400=1,0,K1400-L1400)</x:f>
        <x:v>182</x:v>
      </x:c>
      <x:c r="O1400" s="20" t="n">
        <x:f>N1400-M1400</x:f>
        <x:v>-8</x:v>
      </x:c>
    </x:row>
    <x:row r="1401" ht="22" customHeight="1">
      <x:c r="A1401" s="11" t="n">
        <x:v>1397</x:v>
      </x:c>
      <x:c r="B1401" s="11" t="n">
        <x:v>703</x:v>
      </x:c>
      <x:c r="C1401" s="18" t="n">
        <x:v>45493</x:v>
      </x:c>
      <x:c r="D1401" s="11" t="str">
        <x:v>2024-07</x:v>
      </x:c>
      <x:c r="E1401" s="11" t="str">
        <x:v>West</x:v>
      </x:c>
      <x:c r="F1401" s="11" t="str">
        <x:v>Office Supplies</x:v>
      </x:c>
      <x:c r="G1401" s="11" t="str">
        <x:v>Storage box</x:v>
      </x:c>
      <x:c r="H1401" s="11" t="n">
        <x:v>1</x:v>
      </x:c>
      <x:c r="I1401" s="19" t="n">
        <x:v>0.15</x:v>
      </x:c>
      <x:c r="J1401" s="11" t="n">
        <x:v>0</x:v>
      </x:c>
      <x:c r="K1401" s="20" t="n">
        <x:v>26</x:v>
      </x:c>
      <x:c r="L1401" s="20" t="n">
        <x:v>3.9</x:v>
      </x:c>
      <x:c r="M1401" s="20" t="n">
        <x:v>12</x:v>
      </x:c>
      <x:c r="N1401" s="20" t="n">
        <x:f>IF(J1401=1,0,K1401-L1401)</x:f>
        <x:v>22.1</x:v>
      </x:c>
      <x:c r="O1401" s="20" t="n">
        <x:f>N1401-M1401</x:f>
        <x:v>10.100000000000001</x:v>
      </x:c>
    </x:row>
    <x:row r="1402" ht="22" customHeight="1">
      <x:c r="A1402" s="11" t="n">
        <x:v>1398</x:v>
      </x:c>
      <x:c r="B1402" s="11" t="n">
        <x:v>704</x:v>
      </x:c>
      <x:c r="C1402" s="18" t="n">
        <x:v>45634</x:v>
      </x:c>
      <x:c r="D1402" s="11" t="str">
        <x:v>2024-12</x:v>
      </x:c>
      <x:c r="E1402" s="11" t="str">
        <x:v>West</x:v>
      </x:c>
      <x:c r="F1402" s="11" t="str">
        <x:v>Technology</x:v>
      </x:c>
      <x:c r="G1402" s="11" t="str">
        <x:v>Keyboard</x:v>
      </x:c>
      <x:c r="H1402" s="11" t="n">
        <x:v>2</x:v>
      </x:c>
      <x:c r="I1402" s="19" t="n">
        <x:v>0.05</x:v>
      </x:c>
      <x:c r="J1402" s="11" t="n">
        <x:v>0</x:v>
      </x:c>
      <x:c r="K1402" s="20" t="n">
        <x:v>130</x:v>
      </x:c>
      <x:c r="L1402" s="20" t="n">
        <x:v>6.5</x:v>
      </x:c>
      <x:c r="M1402" s="20" t="n">
        <x:v>64</x:v>
      </x:c>
      <x:c r="N1402" s="20" t="n">
        <x:f>IF(J1402=1,0,K1402-L1402)</x:f>
        <x:v>123.5</x:v>
      </x:c>
      <x:c r="O1402" s="20" t="n">
        <x:f>N1402-M1402</x:f>
        <x:v>59.5</x:v>
      </x:c>
    </x:row>
    <x:row r="1403" ht="22" customHeight="1">
      <x:c r="A1403" s="11" t="n">
        <x:v>1399</x:v>
      </x:c>
      <x:c r="B1403" s="11" t="n">
        <x:v>705</x:v>
      </x:c>
      <x:c r="C1403" s="18" t="n">
        <x:v>45633</x:v>
      </x:c>
      <x:c r="D1403" s="11" t="str">
        <x:v>2024-12</x:v>
      </x:c>
      <x:c r="E1403" s="11" t="str">
        <x:v>Central</x:v>
      </x:c>
      <x:c r="F1403" s="11" t="str">
        <x:v>Office Supplies</x:v>
      </x:c>
      <x:c r="G1403" s="11" t="str">
        <x:v>Notebook pack</x:v>
      </x:c>
      <x:c r="H1403" s="11" t="n">
        <x:v>5</x:v>
      </x:c>
      <x:c r="I1403" s="19" t="n">
        <x:v>0.1</x:v>
      </x:c>
      <x:c r="J1403" s="11" t="n">
        <x:v>0</x:v>
      </x:c>
      <x:c r="K1403" s="20" t="n">
        <x:v>90</x:v>
      </x:c>
      <x:c r="L1403" s="20" t="n">
        <x:v>9</x:v>
      </x:c>
      <x:c r="M1403" s="20" t="n">
        <x:v>35</x:v>
      </x:c>
      <x:c r="N1403" s="20" t="n">
        <x:f>IF(J1403=1,0,K1403-L1403)</x:f>
        <x:v>81</x:v>
      </x:c>
      <x:c r="O1403" s="20" t="n">
        <x:f>N1403-M1403</x:f>
        <x:v>46</x:v>
      </x:c>
    </x:row>
    <x:row r="1404" ht="22" customHeight="1">
      <x:c r="A1404" s="11" t="n">
        <x:v>1400</x:v>
      </x:c>
      <x:c r="B1404" s="11" t="n">
        <x:v>706</x:v>
      </x:c>
      <x:c r="C1404" s="18" t="n">
        <x:v>45932</x:v>
      </x:c>
      <x:c r="D1404" s="11" t="str">
        <x:v>2025-10</x:v>
      </x:c>
      <x:c r="E1404" s="11" t="str">
        <x:v>East</x:v>
      </x:c>
      <x:c r="F1404" s="11" t="str">
        <x:v>Furniture</x:v>
      </x:c>
      <x:c r="G1404" s="11" t="str">
        <x:v>Desk</x:v>
      </x:c>
      <x:c r="H1404" s="11" t="n">
        <x:v>1</x:v>
      </x:c>
      <x:c r="I1404" s="19" t="n">
        <x:v>0.25</x:v>
      </x:c>
      <x:c r="J1404" s="11" t="n">
        <x:v>0</x:v>
      </x:c>
      <x:c r="K1404" s="20" t="n">
        <x:v>280</x:v>
      </x:c>
      <x:c r="L1404" s="20" t="n">
        <x:v>70</x:v>
      </x:c>
      <x:c r="M1404" s="20" t="n">
        <x:v>190</x:v>
      </x:c>
      <x:c r="N1404" s="20" t="n">
        <x:f>IF(J1404=1,0,K1404-L1404)</x:f>
        <x:v>210</x:v>
      </x:c>
      <x:c r="O1404" s="20" t="n">
        <x:f>N1404-M1404</x:f>
        <x:v>20</x:v>
      </x:c>
    </x:row>
    <x:row r="1405" ht="22" customHeight="1">
      <x:c r="A1405" s="11" t="n">
        <x:v>1401</x:v>
      </x:c>
      <x:c r="B1405" s="11" t="n">
        <x:v>707</x:v>
      </x:c>
      <x:c r="C1405" s="18" t="n">
        <x:v>46002</x:v>
      </x:c>
      <x:c r="D1405" s="11" t="str">
        <x:v>2025-12</x:v>
      </x:c>
      <x:c r="E1405" s="11" t="str">
        <x:v>Central</x:v>
      </x:c>
      <x:c r="F1405" s="11" t="str">
        <x:v>Technology</x:v>
      </x:c>
      <x:c r="G1405" s="11" t="str">
        <x:v>Keyboard</x:v>
      </x:c>
      <x:c r="H1405" s="11" t="n">
        <x:v>1</x:v>
      </x:c>
      <x:c r="I1405" s="19" t="n">
        <x:v>0.05</x:v>
      </x:c>
      <x:c r="J1405" s="11" t="n">
        <x:v>0</x:v>
      </x:c>
      <x:c r="K1405" s="20" t="n">
        <x:v>65</x:v>
      </x:c>
      <x:c r="L1405" s="20" t="n">
        <x:v>3.25</x:v>
      </x:c>
      <x:c r="M1405" s="20" t="n">
        <x:v>32</x:v>
      </x:c>
      <x:c r="N1405" s="20" t="n">
        <x:f>IF(J1405=1,0,K1405-L1405)</x:f>
        <x:v>61.75</x:v>
      </x:c>
      <x:c r="O1405" s="20" t="n">
        <x:f>N1405-M1405</x:f>
        <x:v>29.75</x:v>
      </x:c>
    </x:row>
    <x:row r="1406" ht="22" customHeight="1">
      <x:c r="A1406" s="11" t="n">
        <x:v>1402</x:v>
      </x:c>
      <x:c r="B1406" s="11" t="n">
        <x:v>708</x:v>
      </x:c>
      <x:c r="C1406" s="18" t="n">
        <x:v>45734</x:v>
      </x:c>
      <x:c r="D1406" s="11" t="str">
        <x:v>2025-03</x:v>
      </x:c>
      <x:c r="E1406" s="11" t="str">
        <x:v>Central</x:v>
      </x:c>
      <x:c r="F1406" s="11" t="str">
        <x:v>Furniture</x:v>
      </x:c>
      <x:c r="G1406" s="11" t="str">
        <x:v>Desk</x:v>
      </x:c>
      <x:c r="H1406" s="11" t="n">
        <x:v>3</x:v>
      </x:c>
      <x:c r="I1406" s="19" t="n">
        <x:v>0.25</x:v>
      </x:c>
      <x:c r="J1406" s="11" t="n">
        <x:v>0</x:v>
      </x:c>
      <x:c r="K1406" s="20" t="n">
        <x:v>840</x:v>
      </x:c>
      <x:c r="L1406" s="20" t="n">
        <x:v>210</x:v>
      </x:c>
      <x:c r="M1406" s="20" t="n">
        <x:v>570</x:v>
      </x:c>
      <x:c r="N1406" s="20" t="n">
        <x:f>IF(J1406=1,0,K1406-L1406)</x:f>
        <x:v>630</x:v>
      </x:c>
      <x:c r="O1406" s="20" t="n">
        <x:f>N1406-M1406</x:f>
        <x:v>60</x:v>
      </x:c>
    </x:row>
    <x:row r="1407" ht="22" customHeight="1">
      <x:c r="A1407" s="11" t="n">
        <x:v>1403</x:v>
      </x:c>
      <x:c r="B1407" s="11" t="n">
        <x:v>708</x:v>
      </x:c>
      <x:c r="C1407" s="18" t="n">
        <x:v>45734</x:v>
      </x:c>
      <x:c r="D1407" s="11" t="str">
        <x:v>2025-03</x:v>
      </x:c>
      <x:c r="E1407" s="11" t="str">
        <x:v>Central</x:v>
      </x:c>
      <x:c r="F1407" s="11" t="str">
        <x:v>Office Supplies</x:v>
      </x:c>
      <x:c r="G1407" s="11" t="str">
        <x:v>Notebook pack</x:v>
      </x:c>
      <x:c r="H1407" s="11" t="n">
        <x:v>5</x:v>
      </x:c>
      <x:c r="I1407" s="19" t="n">
        <x:v>0.1</x:v>
      </x:c>
      <x:c r="J1407" s="11" t="n">
        <x:v>0</x:v>
      </x:c>
      <x:c r="K1407" s="20" t="n">
        <x:v>90</x:v>
      </x:c>
      <x:c r="L1407" s="20" t="n">
        <x:v>9</x:v>
      </x:c>
      <x:c r="M1407" s="20" t="n">
        <x:v>35</x:v>
      </x:c>
      <x:c r="N1407" s="20" t="n">
        <x:f>IF(J1407=1,0,K1407-L1407)</x:f>
        <x:v>81</x:v>
      </x:c>
      <x:c r="O1407" s="20" t="n">
        <x:f>N1407-M1407</x:f>
        <x:v>46</x:v>
      </x:c>
    </x:row>
    <x:row r="1408" ht="22" customHeight="1">
      <x:c r="A1408" s="11" t="n">
        <x:v>1404</x:v>
      </x:c>
      <x:c r="B1408" s="11" t="n">
        <x:v>708</x:v>
      </x:c>
      <x:c r="C1408" s="18" t="n">
        <x:v>45734</x:v>
      </x:c>
      <x:c r="D1408" s="11" t="str">
        <x:v>2025-03</x:v>
      </x:c>
      <x:c r="E1408" s="11" t="str">
        <x:v>Central</x:v>
      </x:c>
      <x:c r="F1408" s="11" t="str">
        <x:v>Office Supplies</x:v>
      </x:c>
      <x:c r="G1408" s="11" t="str">
        <x:v>Storage box</x:v>
      </x:c>
      <x:c r="H1408" s="11" t="n">
        <x:v>5</x:v>
      </x:c>
      <x:c r="I1408" s="19" t="n">
        <x:v>0.15</x:v>
      </x:c>
      <x:c r="J1408" s="11" t="n">
        <x:v>1</x:v>
      </x:c>
      <x:c r="K1408" s="20" t="n">
        <x:v>130</x:v>
      </x:c>
      <x:c r="L1408" s="20" t="n">
        <x:v>19.5</x:v>
      </x:c>
      <x:c r="M1408" s="20" t="n">
        <x:v>0</x:v>
      </x:c>
      <x:c r="N1408" s="20" t="n">
        <x:f>IF(J1408=1,0,K1408-L1408)</x:f>
        <x:v>0</x:v>
      </x:c>
      <x:c r="O1408" s="20" t="n">
        <x:f>N1408-M1408</x:f>
        <x:v>0</x:v>
      </x:c>
    </x:row>
    <x:row r="1409" ht="22" customHeight="1">
      <x:c r="A1409" s="11" t="n">
        <x:v>1405</x:v>
      </x:c>
      <x:c r="B1409" s="11" t="n">
        <x:v>709</x:v>
      </x:c>
      <x:c r="C1409" s="18" t="n">
        <x:v>45685</x:v>
      </x:c>
      <x:c r="D1409" s="11" t="str">
        <x:v>2025-01</x:v>
      </x:c>
      <x:c r="E1409" s="11" t="str">
        <x:v>West</x:v>
      </x:c>
      <x:c r="F1409" s="11" t="str">
        <x:v>Office Supplies</x:v>
      </x:c>
      <x:c r="G1409" s="11" t="str">
        <x:v>Notebook pack</x:v>
      </x:c>
      <x:c r="H1409" s="11" t="n">
        <x:v>1</x:v>
      </x:c>
      <x:c r="I1409" s="19" t="n">
        <x:v>0.1</x:v>
      </x:c>
      <x:c r="J1409" s="11" t="n">
        <x:v>0</x:v>
      </x:c>
      <x:c r="K1409" s="20" t="n">
        <x:v>18</x:v>
      </x:c>
      <x:c r="L1409" s="20" t="n">
        <x:v>1.8</x:v>
      </x:c>
      <x:c r="M1409" s="20" t="n">
        <x:v>7</x:v>
      </x:c>
      <x:c r="N1409" s="20" t="n">
        <x:f>IF(J1409=1,0,K1409-L1409)</x:f>
        <x:v>16.2</x:v>
      </x:c>
      <x:c r="O1409" s="20" t="n">
        <x:f>N1409-M1409</x:f>
        <x:v>9.2</x:v>
      </x:c>
    </x:row>
    <x:row r="1410" ht="22" customHeight="1">
      <x:c r="A1410" s="11" t="n">
        <x:v>1406</x:v>
      </x:c>
      <x:c r="B1410" s="11" t="n">
        <x:v>709</x:v>
      </x:c>
      <x:c r="C1410" s="18" t="n">
        <x:v>45685</x:v>
      </x:c>
      <x:c r="D1410" s="11" t="str">
        <x:v>2025-01</x:v>
      </x:c>
      <x:c r="E1410" s="11" t="str">
        <x:v>West</x:v>
      </x:c>
      <x:c r="F1410" s="11" t="str">
        <x:v>Furniture</x:v>
      </x:c>
      <x:c r="G1410" s="11" t="str">
        <x:v>Desk</x:v>
      </x:c>
      <x:c r="H1410" s="11" t="n">
        <x:v>5</x:v>
      </x:c>
      <x:c r="I1410" s="19" t="n">
        <x:v>0.05</x:v>
      </x:c>
      <x:c r="J1410" s="11" t="n">
        <x:v>0</x:v>
      </x:c>
      <x:c r="K1410" s="20" t="n">
        <x:v>1400</x:v>
      </x:c>
      <x:c r="L1410" s="20" t="n">
        <x:v>70</x:v>
      </x:c>
      <x:c r="M1410" s="20" t="n">
        <x:v>950</x:v>
      </x:c>
      <x:c r="N1410" s="20" t="n">
        <x:f>IF(J1410=1,0,K1410-L1410)</x:f>
        <x:v>1330</x:v>
      </x:c>
      <x:c r="O1410" s="20" t="n">
        <x:f>N1410-M1410</x:f>
        <x:v>380</x:v>
      </x:c>
    </x:row>
    <x:row r="1411" ht="22" customHeight="1">
      <x:c r="A1411" s="11" t="n">
        <x:v>1407</x:v>
      </x:c>
      <x:c r="B1411" s="11" t="n">
        <x:v>709</x:v>
      </x:c>
      <x:c r="C1411" s="18" t="n">
        <x:v>45685</x:v>
      </x:c>
      <x:c r="D1411" s="11" t="str">
        <x:v>2025-01</x:v>
      </x:c>
      <x:c r="E1411" s="11" t="str">
        <x:v>West</x:v>
      </x:c>
      <x:c r="F1411" s="11" t="str">
        <x:v>Technology</x:v>
      </x:c>
      <x:c r="G1411" s="11" t="str">
        <x:v>Monitor</x:v>
      </x:c>
      <x:c r="H1411" s="11" t="n">
        <x:v>1</x:v>
      </x:c>
      <x:c r="I1411" s="19" t="n">
        <x:v>0.15</x:v>
      </x:c>
      <x:c r="J1411" s="11" t="n">
        <x:v>0</x:v>
      </x:c>
      <x:c r="K1411" s="20" t="n">
        <x:v>240</x:v>
      </x:c>
      <x:c r="L1411" s="20" t="n">
        <x:v>36</x:v>
      </x:c>
      <x:c r="M1411" s="20" t="n">
        <x:v>160</x:v>
      </x:c>
      <x:c r="N1411" s="20" t="n">
        <x:f>IF(J1411=1,0,K1411-L1411)</x:f>
        <x:v>204</x:v>
      </x:c>
      <x:c r="O1411" s="20" t="n">
        <x:f>N1411-M1411</x:f>
        <x:v>44</x:v>
      </x:c>
    </x:row>
    <x:row r="1412" ht="22" customHeight="1">
      <x:c r="A1412" s="11" t="n">
        <x:v>1408</x:v>
      </x:c>
      <x:c r="B1412" s="11" t="n">
        <x:v>710</x:v>
      </x:c>
      <x:c r="C1412" s="18" t="n">
        <x:v>45899</x:v>
      </x:c>
      <x:c r="D1412" s="11" t="str">
        <x:v>2025-08</x:v>
      </x:c>
      <x:c r="E1412" s="11" t="str">
        <x:v>East</x:v>
      </x:c>
      <x:c r="F1412" s="11" t="str">
        <x:v>Office Supplies</x:v>
      </x:c>
      <x:c r="G1412" s="11" t="str">
        <x:v>Notebook pack</x:v>
      </x:c>
      <x:c r="H1412" s="11" t="n">
        <x:v>4</x:v>
      </x:c>
      <x:c r="I1412" s="19" t="n">
        <x:v>0.1</x:v>
      </x:c>
      <x:c r="J1412" s="11" t="n">
        <x:v>0</x:v>
      </x:c>
      <x:c r="K1412" s="20" t="n">
        <x:v>72</x:v>
      </x:c>
      <x:c r="L1412" s="20" t="n">
        <x:v>7.2</x:v>
      </x:c>
      <x:c r="M1412" s="20" t="n">
        <x:v>28</x:v>
      </x:c>
      <x:c r="N1412" s="20" t="n">
        <x:f>IF(J1412=1,0,K1412-L1412)</x:f>
        <x:v>64.8</x:v>
      </x:c>
      <x:c r="O1412" s="20" t="n">
        <x:f>N1412-M1412</x:f>
        <x:v>36.8</x:v>
      </x:c>
    </x:row>
    <x:row r="1413" ht="22" customHeight="1">
      <x:c r="A1413" s="11" t="n">
        <x:v>1409</x:v>
      </x:c>
      <x:c r="B1413" s="11" t="n">
        <x:v>710</x:v>
      </x:c>
      <x:c r="C1413" s="18" t="n">
        <x:v>45899</x:v>
      </x:c>
      <x:c r="D1413" s="11" t="str">
        <x:v>2025-08</x:v>
      </x:c>
      <x:c r="E1413" s="11" t="str">
        <x:v>East</x:v>
      </x:c>
      <x:c r="F1413" s="11" t="str">
        <x:v>Technology</x:v>
      </x:c>
      <x:c r="G1413" s="11" t="str">
        <x:v>Monitor</x:v>
      </x:c>
      <x:c r="H1413" s="11" t="n">
        <x:v>4</x:v>
      </x:c>
      <x:c r="I1413" s="19" t="n">
        <x:v>0</x:v>
      </x:c>
      <x:c r="J1413" s="11" t="n">
        <x:v>0</x:v>
      </x:c>
      <x:c r="K1413" s="20" t="n">
        <x:v>960</x:v>
      </x:c>
      <x:c r="L1413" s="20" t="n">
        <x:v>0</x:v>
      </x:c>
      <x:c r="M1413" s="20" t="n">
        <x:v>640</x:v>
      </x:c>
      <x:c r="N1413" s="20" t="n">
        <x:f>IF(J1413=1,0,K1413-L1413)</x:f>
        <x:v>960</x:v>
      </x:c>
      <x:c r="O1413" s="20" t="n">
        <x:f>N1413-M1413</x:f>
        <x:v>320</x:v>
      </x:c>
    </x:row>
    <x:row r="1414" ht="22" customHeight="1">
      <x:c r="A1414" s="11" t="n">
        <x:v>1410</x:v>
      </x:c>
      <x:c r="B1414" s="11" t="n">
        <x:v>710</x:v>
      </x:c>
      <x:c r="C1414" s="18" t="n">
        <x:v>45899</x:v>
      </x:c>
      <x:c r="D1414" s="11" t="str">
        <x:v>2025-08</x:v>
      </x:c>
      <x:c r="E1414" s="11" t="str">
        <x:v>East</x:v>
      </x:c>
      <x:c r="F1414" s="11" t="str">
        <x:v>Office Supplies</x:v>
      </x:c>
      <x:c r="G1414" s="11" t="str">
        <x:v>Storage box</x:v>
      </x:c>
      <x:c r="H1414" s="11" t="n">
        <x:v>1</x:v>
      </x:c>
      <x:c r="I1414" s="19" t="n">
        <x:v>0</x:v>
      </x:c>
      <x:c r="J1414" s="11" t="n">
        <x:v>0</x:v>
      </x:c>
      <x:c r="K1414" s="20" t="n">
        <x:v>26</x:v>
      </x:c>
      <x:c r="L1414" s="20" t="n">
        <x:v>0</x:v>
      </x:c>
      <x:c r="M1414" s="20" t="n">
        <x:v>12</x:v>
      </x:c>
      <x:c r="N1414" s="20" t="n">
        <x:f>IF(J1414=1,0,K1414-L1414)</x:f>
        <x:v>26</x:v>
      </x:c>
      <x:c r="O1414" s="20" t="n">
        <x:f>N1414-M1414</x:f>
        <x:v>14</x:v>
      </x:c>
    </x:row>
    <x:row r="1415" ht="22" customHeight="1">
      <x:c r="A1415" s="11" t="n">
        <x:v>1411</x:v>
      </x:c>
      <x:c r="B1415" s="11" t="n">
        <x:v>711</x:v>
      </x:c>
      <x:c r="C1415" s="18" t="n">
        <x:v>45890</x:v>
      </x:c>
      <x:c r="D1415" s="11" t="str">
        <x:v>2025-08</x:v>
      </x:c>
      <x:c r="E1415" s="11" t="str">
        <x:v>Central</x:v>
      </x:c>
      <x:c r="F1415" s="11" t="str">
        <x:v>Office Supplies</x:v>
      </x:c>
      <x:c r="G1415" s="11" t="str">
        <x:v>Notebook pack</x:v>
      </x:c>
      <x:c r="H1415" s="11" t="n">
        <x:v>2</x:v>
      </x:c>
      <x:c r="I1415" s="19" t="n">
        <x:v>0</x:v>
      </x:c>
      <x:c r="J1415" s="11" t="n">
        <x:v>0</x:v>
      </x:c>
      <x:c r="K1415" s="20" t="n">
        <x:v>36</x:v>
      </x:c>
      <x:c r="L1415" s="20" t="n">
        <x:v>0</x:v>
      </x:c>
      <x:c r="M1415" s="20" t="n">
        <x:v>14</x:v>
      </x:c>
      <x:c r="N1415" s="20" t="n">
        <x:f>IF(J1415=1,0,K1415-L1415)</x:f>
        <x:v>36</x:v>
      </x:c>
      <x:c r="O1415" s="20" t="n">
        <x:f>N1415-M1415</x:f>
        <x:v>22</x:v>
      </x:c>
    </x:row>
    <x:row r="1416" ht="22" customHeight="1">
      <x:c r="A1416" s="11" t="n">
        <x:v>1412</x:v>
      </x:c>
      <x:c r="B1416" s="11" t="n">
        <x:v>711</x:v>
      </x:c>
      <x:c r="C1416" s="18" t="n">
        <x:v>45890</x:v>
      </x:c>
      <x:c r="D1416" s="11" t="str">
        <x:v>2025-08</x:v>
      </x:c>
      <x:c r="E1416" s="11" t="str">
        <x:v>Central</x:v>
      </x:c>
      <x:c r="F1416" s="11" t="str">
        <x:v>Office Supplies</x:v>
      </x:c>
      <x:c r="G1416" s="11" t="str">
        <x:v>Storage box</x:v>
      </x:c>
      <x:c r="H1416" s="11" t="n">
        <x:v>5</x:v>
      </x:c>
      <x:c r="I1416" s="19" t="n">
        <x:v>0.05</x:v>
      </x:c>
      <x:c r="J1416" s="11" t="n">
        <x:v>0</x:v>
      </x:c>
      <x:c r="K1416" s="20" t="n">
        <x:v>130</x:v>
      </x:c>
      <x:c r="L1416" s="20" t="n">
        <x:v>6.5</x:v>
      </x:c>
      <x:c r="M1416" s="20" t="n">
        <x:v>60</x:v>
      </x:c>
      <x:c r="N1416" s="20" t="n">
        <x:f>IF(J1416=1,0,K1416-L1416)</x:f>
        <x:v>123.5</x:v>
      </x:c>
      <x:c r="O1416" s="20" t="n">
        <x:f>N1416-M1416</x:f>
        <x:v>63.5</x:v>
      </x:c>
    </x:row>
    <x:row r="1417" ht="22" customHeight="1">
      <x:c r="A1417" s="11" t="n">
        <x:v>1413</x:v>
      </x:c>
      <x:c r="B1417" s="11" t="n">
        <x:v>712</x:v>
      </x:c>
      <x:c r="C1417" s="18" t="n">
        <x:v>45300</x:v>
      </x:c>
      <x:c r="D1417" s="11" t="str">
        <x:v>2024-01</x:v>
      </x:c>
      <x:c r="E1417" s="11" t="str">
        <x:v>West</x:v>
      </x:c>
      <x:c r="F1417" s="11" t="str">
        <x:v>Furniture</x:v>
      </x:c>
      <x:c r="G1417" s="11" t="str">
        <x:v>Chair</x:v>
      </x:c>
      <x:c r="H1417" s="11" t="n">
        <x:v>5</x:v>
      </x:c>
      <x:c r="I1417" s="19" t="n">
        <x:v>0</x:v>
      </x:c>
      <x:c r="J1417" s="11" t="n">
        <x:v>0</x:v>
      </x:c>
      <x:c r="K1417" s="20" t="n">
        <x:v>850</x:v>
      </x:c>
      <x:c r="L1417" s="20" t="n">
        <x:v>0</x:v>
      </x:c>
      <x:c r="M1417" s="20" t="n">
        <x:v>550</x:v>
      </x:c>
      <x:c r="N1417" s="20" t="n">
        <x:f>IF(J1417=1,0,K1417-L1417)</x:f>
        <x:v>850</x:v>
      </x:c>
      <x:c r="O1417" s="20" t="n">
        <x:f>N1417-M1417</x:f>
        <x:v>300</x:v>
      </x:c>
    </x:row>
    <x:row r="1418" ht="22" customHeight="1">
      <x:c r="A1418" s="11" t="n">
        <x:v>1414</x:v>
      </x:c>
      <x:c r="B1418" s="11" t="n">
        <x:v>713</x:v>
      </x:c>
      <x:c r="C1418" s="18" t="n">
        <x:v>45492</x:v>
      </x:c>
      <x:c r="D1418" s="11" t="str">
        <x:v>2024-07</x:v>
      </x:c>
      <x:c r="E1418" s="11" t="str">
        <x:v>Central</x:v>
      </x:c>
      <x:c r="F1418" s="11" t="str">
        <x:v>Technology</x:v>
      </x:c>
      <x:c r="G1418" s="11" t="str">
        <x:v>Monitor</x:v>
      </x:c>
      <x:c r="H1418" s="11" t="n">
        <x:v>2</x:v>
      </x:c>
      <x:c r="I1418" s="19" t="n">
        <x:v>0.1</x:v>
      </x:c>
      <x:c r="J1418" s="11" t="n">
        <x:v>0</x:v>
      </x:c>
      <x:c r="K1418" s="20" t="n">
        <x:v>480</x:v>
      </x:c>
      <x:c r="L1418" s="20" t="n">
        <x:v>48</x:v>
      </x:c>
      <x:c r="M1418" s="20" t="n">
        <x:v>320</x:v>
      </x:c>
      <x:c r="N1418" s="20" t="n">
        <x:f>IF(J1418=1,0,K1418-L1418)</x:f>
        <x:v>432</x:v>
      </x:c>
      <x:c r="O1418" s="20" t="n">
        <x:f>N1418-M1418</x:f>
        <x:v>112</x:v>
      </x:c>
    </x:row>
    <x:row r="1419" ht="22" customHeight="1">
      <x:c r="A1419" s="11" t="n">
        <x:v>1415</x:v>
      </x:c>
      <x:c r="B1419" s="11" t="n">
        <x:v>714</x:v>
      </x:c>
      <x:c r="C1419" s="18" t="n">
        <x:v>45770</x:v>
      </x:c>
      <x:c r="D1419" s="11" t="str">
        <x:v>2025-04</x:v>
      </x:c>
      <x:c r="E1419" s="11" t="str">
        <x:v>West</x:v>
      </x:c>
      <x:c r="F1419" s="11" t="str">
        <x:v>Office Supplies</x:v>
      </x:c>
      <x:c r="G1419" s="11" t="str">
        <x:v>Notebook pack</x:v>
      </x:c>
      <x:c r="H1419" s="11" t="n">
        <x:v>4</x:v>
      </x:c>
      <x:c r="I1419" s="19" t="n">
        <x:v>0.05</x:v>
      </x:c>
      <x:c r="J1419" s="11" t="n">
        <x:v>0</x:v>
      </x:c>
      <x:c r="K1419" s="20" t="n">
        <x:v>72</x:v>
      </x:c>
      <x:c r="L1419" s="20" t="n">
        <x:v>3.6</x:v>
      </x:c>
      <x:c r="M1419" s="20" t="n">
        <x:v>28</x:v>
      </x:c>
      <x:c r="N1419" s="20" t="n">
        <x:f>IF(J1419=1,0,K1419-L1419)</x:f>
        <x:v>68.4</x:v>
      </x:c>
      <x:c r="O1419" s="20" t="n">
        <x:f>N1419-M1419</x:f>
        <x:v>40.400000000000006</x:v>
      </x:c>
    </x:row>
    <x:row r="1420" ht="22" customHeight="1">
      <x:c r="A1420" s="11" t="n">
        <x:v>1416</x:v>
      </x:c>
      <x:c r="B1420" s="11" t="n">
        <x:v>714</x:v>
      </x:c>
      <x:c r="C1420" s="18" t="n">
        <x:v>45770</x:v>
      </x:c>
      <x:c r="D1420" s="11" t="str">
        <x:v>2025-04</x:v>
      </x:c>
      <x:c r="E1420" s="11" t="str">
        <x:v>West</x:v>
      </x:c>
      <x:c r="F1420" s="11" t="str">
        <x:v>Technology</x:v>
      </x:c>
      <x:c r="G1420" s="11" t="str">
        <x:v>Monitor</x:v>
      </x:c>
      <x:c r="H1420" s="11" t="n">
        <x:v>4</x:v>
      </x:c>
      <x:c r="I1420" s="19" t="n">
        <x:v>0</x:v>
      </x:c>
      <x:c r="J1420" s="11" t="n">
        <x:v>0</x:v>
      </x:c>
      <x:c r="K1420" s="20" t="n">
        <x:v>960</x:v>
      </x:c>
      <x:c r="L1420" s="20" t="n">
        <x:v>0</x:v>
      </x:c>
      <x:c r="M1420" s="20" t="n">
        <x:v>640</x:v>
      </x:c>
      <x:c r="N1420" s="20" t="n">
        <x:f>IF(J1420=1,0,K1420-L1420)</x:f>
        <x:v>960</x:v>
      </x:c>
      <x:c r="O1420" s="20" t="n">
        <x:f>N1420-M1420</x:f>
        <x:v>320</x:v>
      </x:c>
    </x:row>
    <x:row r="1421" ht="22" customHeight="1">
      <x:c r="A1421" s="11" t="n">
        <x:v>1417</x:v>
      </x:c>
      <x:c r="B1421" s="11" t="n">
        <x:v>714</x:v>
      </x:c>
      <x:c r="C1421" s="18" t="n">
        <x:v>45770</x:v>
      </x:c>
      <x:c r="D1421" s="11" t="str">
        <x:v>2025-04</x:v>
      </x:c>
      <x:c r="E1421" s="11" t="str">
        <x:v>West</x:v>
      </x:c>
      <x:c r="F1421" s="11" t="str">
        <x:v>Office Supplies</x:v>
      </x:c>
      <x:c r="G1421" s="11" t="str">
        <x:v>Storage box</x:v>
      </x:c>
      <x:c r="H1421" s="11" t="n">
        <x:v>1</x:v>
      </x:c>
      <x:c r="I1421" s="19" t="n">
        <x:v>0</x:v>
      </x:c>
      <x:c r="J1421" s="11" t="n">
        <x:v>0</x:v>
      </x:c>
      <x:c r="K1421" s="20" t="n">
        <x:v>26</x:v>
      </x:c>
      <x:c r="L1421" s="20" t="n">
        <x:v>0</x:v>
      </x:c>
      <x:c r="M1421" s="20" t="n">
        <x:v>12</x:v>
      </x:c>
      <x:c r="N1421" s="20" t="n">
        <x:f>IF(J1421=1,0,K1421-L1421)</x:f>
        <x:v>26</x:v>
      </x:c>
      <x:c r="O1421" s="20" t="n">
        <x:f>N1421-M1421</x:f>
        <x:v>14</x:v>
      </x:c>
    </x:row>
    <x:row r="1422" ht="22" customHeight="1">
      <x:c r="A1422" s="11" t="n">
        <x:v>1418</x:v>
      </x:c>
      <x:c r="B1422" s="11" t="n">
        <x:v>715</x:v>
      </x:c>
      <x:c r="C1422" s="18" t="n">
        <x:v>45769</x:v>
      </x:c>
      <x:c r="D1422" s="11" t="str">
        <x:v>2025-04</x:v>
      </x:c>
      <x:c r="E1422" s="11" t="str">
        <x:v>West</x:v>
      </x:c>
      <x:c r="F1422" s="11" t="str">
        <x:v>Technology</x:v>
      </x:c>
      <x:c r="G1422" s="11" t="str">
        <x:v>Keyboard</x:v>
      </x:c>
      <x:c r="H1422" s="11" t="n">
        <x:v>3</x:v>
      </x:c>
      <x:c r="I1422" s="19" t="n">
        <x:v>0.1</x:v>
      </x:c>
      <x:c r="J1422" s="11" t="n">
        <x:v>0</x:v>
      </x:c>
      <x:c r="K1422" s="20" t="n">
        <x:v>195</x:v>
      </x:c>
      <x:c r="L1422" s="20" t="n">
        <x:v>19.5</x:v>
      </x:c>
      <x:c r="M1422" s="20" t="n">
        <x:v>96</x:v>
      </x:c>
      <x:c r="N1422" s="20" t="n">
        <x:f>IF(J1422=1,0,K1422-L1422)</x:f>
        <x:v>175.5</x:v>
      </x:c>
      <x:c r="O1422" s="20" t="n">
        <x:f>N1422-M1422</x:f>
        <x:v>79.5</x:v>
      </x:c>
    </x:row>
    <x:row r="1423" ht="22" customHeight="1">
      <x:c r="A1423" s="11" t="n">
        <x:v>1419</x:v>
      </x:c>
      <x:c r="B1423" s="11" t="n">
        <x:v>716</x:v>
      </x:c>
      <x:c r="C1423" s="18" t="n">
        <x:v>45480</x:v>
      </x:c>
      <x:c r="D1423" s="11" t="str">
        <x:v>2024-07</x:v>
      </x:c>
      <x:c r="E1423" s="11" t="str">
        <x:v>Central</x:v>
      </x:c>
      <x:c r="F1423" s="11" t="str">
        <x:v>Furniture</x:v>
      </x:c>
      <x:c r="G1423" s="11" t="str">
        <x:v>Desk</x:v>
      </x:c>
      <x:c r="H1423" s="11" t="n">
        <x:v>3</x:v>
      </x:c>
      <x:c r="I1423" s="19" t="n">
        <x:v>0</x:v>
      </x:c>
      <x:c r="J1423" s="11" t="n">
        <x:v>0</x:v>
      </x:c>
      <x:c r="K1423" s="20" t="n">
        <x:v>840</x:v>
      </x:c>
      <x:c r="L1423" s="20" t="n">
        <x:v>0</x:v>
      </x:c>
      <x:c r="M1423" s="20" t="n">
        <x:v>570</x:v>
      </x:c>
      <x:c r="N1423" s="20" t="n">
        <x:f>IF(J1423=1,0,K1423-L1423)</x:f>
        <x:v>840</x:v>
      </x:c>
      <x:c r="O1423" s="20" t="n">
        <x:f>N1423-M1423</x:f>
        <x:v>270</x:v>
      </x:c>
    </x:row>
    <x:row r="1424" ht="22" customHeight="1">
      <x:c r="A1424" s="11" t="n">
        <x:v>1420</x:v>
      </x:c>
      <x:c r="B1424" s="11" t="n">
        <x:v>717</x:v>
      </x:c>
      <x:c r="C1424" s="18" t="n">
        <x:v>45437</x:v>
      </x:c>
      <x:c r="D1424" s="11" t="str">
        <x:v>2024-05</x:v>
      </x:c>
      <x:c r="E1424" s="11" t="str">
        <x:v>East</x:v>
      </x:c>
      <x:c r="F1424" s="11" t="str">
        <x:v>Office Supplies</x:v>
      </x:c>
      <x:c r="G1424" s="11" t="str">
        <x:v>Storage box</x:v>
      </x:c>
      <x:c r="H1424" s="11" t="n">
        <x:v>5</x:v>
      </x:c>
      <x:c r="I1424" s="19" t="n">
        <x:v>0.05</x:v>
      </x:c>
      <x:c r="J1424" s="11" t="n">
        <x:v>1</x:v>
      </x:c>
      <x:c r="K1424" s="20" t="n">
        <x:v>130</x:v>
      </x:c>
      <x:c r="L1424" s="20" t="n">
        <x:v>6.5</x:v>
      </x:c>
      <x:c r="M1424" s="20" t="n">
        <x:v>0</x:v>
      </x:c>
      <x:c r="N1424" s="20" t="n">
        <x:f>IF(J1424=1,0,K1424-L1424)</x:f>
        <x:v>0</x:v>
      </x:c>
      <x:c r="O1424" s="20" t="n">
        <x:f>N1424-M1424</x:f>
        <x:v>0</x:v>
      </x:c>
    </x:row>
    <x:row r="1425" ht="22" customHeight="1">
      <x:c r="A1425" s="11" t="n">
        <x:v>1421</x:v>
      </x:c>
      <x:c r="B1425" s="11" t="n">
        <x:v>718</x:v>
      </x:c>
      <x:c r="C1425" s="18" t="n">
        <x:v>45322</x:v>
      </x:c>
      <x:c r="D1425" s="11" t="str">
        <x:v>2024-01</x:v>
      </x:c>
      <x:c r="E1425" s="11" t="str">
        <x:v>South</x:v>
      </x:c>
      <x:c r="F1425" s="11" t="str">
        <x:v>Furniture</x:v>
      </x:c>
      <x:c r="G1425" s="11" t="str">
        <x:v>Chair</x:v>
      </x:c>
      <x:c r="H1425" s="11" t="n">
        <x:v>3</x:v>
      </x:c>
      <x:c r="I1425" s="19" t="n">
        <x:v>0</x:v>
      </x:c>
      <x:c r="J1425" s="11" t="n">
        <x:v>0</x:v>
      </x:c>
      <x:c r="K1425" s="20" t="n">
        <x:v>510</x:v>
      </x:c>
      <x:c r="L1425" s="20" t="n">
        <x:v>0</x:v>
      </x:c>
      <x:c r="M1425" s="20" t="n">
        <x:v>330</x:v>
      </x:c>
      <x:c r="N1425" s="20" t="n">
        <x:f>IF(J1425=1,0,K1425-L1425)</x:f>
        <x:v>510</x:v>
      </x:c>
      <x:c r="O1425" s="20" t="n">
        <x:f>N1425-M1425</x:f>
        <x:v>180</x:v>
      </x:c>
    </x:row>
    <x:row r="1426" ht="22" customHeight="1">
      <x:c r="A1426" s="11" t="n">
        <x:v>1422</x:v>
      </x:c>
      <x:c r="B1426" s="11" t="n">
        <x:v>718</x:v>
      </x:c>
      <x:c r="C1426" s="18" t="n">
        <x:v>45322</x:v>
      </x:c>
      <x:c r="D1426" s="11" t="str">
        <x:v>2024-01</x:v>
      </x:c>
      <x:c r="E1426" s="11" t="str">
        <x:v>South</x:v>
      </x:c>
      <x:c r="F1426" s="11" t="str">
        <x:v>Office Supplies</x:v>
      </x:c>
      <x:c r="G1426" s="11" t="str">
        <x:v>Storage box</x:v>
      </x:c>
      <x:c r="H1426" s="11" t="n">
        <x:v>5</x:v>
      </x:c>
      <x:c r="I1426" s="19" t="n">
        <x:v>0</x:v>
      </x:c>
      <x:c r="J1426" s="11" t="n">
        <x:v>0</x:v>
      </x:c>
      <x:c r="K1426" s="20" t="n">
        <x:v>130</x:v>
      </x:c>
      <x:c r="L1426" s="20" t="n">
        <x:v>0</x:v>
      </x:c>
      <x:c r="M1426" s="20" t="n">
        <x:v>60</x:v>
      </x:c>
      <x:c r="N1426" s="20" t="n">
        <x:f>IF(J1426=1,0,K1426-L1426)</x:f>
        <x:v>130</x:v>
      </x:c>
      <x:c r="O1426" s="20" t="n">
        <x:f>N1426-M1426</x:f>
        <x:v>70</x:v>
      </x:c>
    </x:row>
    <x:row r="1427" ht="22" customHeight="1">
      <x:c r="A1427" s="11" t="n">
        <x:v>1423</x:v>
      </x:c>
      <x:c r="B1427" s="11" t="n">
        <x:v>719</x:v>
      </x:c>
      <x:c r="C1427" s="18" t="n">
        <x:v>45314</x:v>
      </x:c>
      <x:c r="D1427" s="11" t="str">
        <x:v>2024-01</x:v>
      </x:c>
      <x:c r="E1427" s="11" t="str">
        <x:v>West</x:v>
      </x:c>
      <x:c r="F1427" s="11" t="str">
        <x:v>Furniture</x:v>
      </x:c>
      <x:c r="G1427" s="11" t="str">
        <x:v>Desk</x:v>
      </x:c>
      <x:c r="H1427" s="11" t="n">
        <x:v>2</x:v>
      </x:c>
      <x:c r="I1427" s="19" t="n">
        <x:v>0.25</x:v>
      </x:c>
      <x:c r="J1427" s="11" t="n">
        <x:v>0</x:v>
      </x:c>
      <x:c r="K1427" s="20" t="n">
        <x:v>560</x:v>
      </x:c>
      <x:c r="L1427" s="20" t="n">
        <x:v>140</x:v>
      </x:c>
      <x:c r="M1427" s="20" t="n">
        <x:v>380</x:v>
      </x:c>
      <x:c r="N1427" s="20" t="n">
        <x:f>IF(J1427=1,0,K1427-L1427)</x:f>
        <x:v>420</x:v>
      </x:c>
      <x:c r="O1427" s="20" t="n">
        <x:f>N1427-M1427</x:f>
        <x:v>40</x:v>
      </x:c>
    </x:row>
    <x:row r="1428" ht="22" customHeight="1">
      <x:c r="A1428" s="11" t="n">
        <x:v>1424</x:v>
      </x:c>
      <x:c r="B1428" s="11" t="n">
        <x:v>720</x:v>
      </x:c>
      <x:c r="C1428" s="18" t="n">
        <x:v>45405</x:v>
      </x:c>
      <x:c r="D1428" s="11" t="str">
        <x:v>2024-04</x:v>
      </x:c>
      <x:c r="E1428" s="11" t="str">
        <x:v>South</x:v>
      </x:c>
      <x:c r="F1428" s="11" t="str">
        <x:v>Technology</x:v>
      </x:c>
      <x:c r="G1428" s="11" t="str">
        <x:v>Keyboard</x:v>
      </x:c>
      <x:c r="H1428" s="11" t="n">
        <x:v>3</x:v>
      </x:c>
      <x:c r="I1428" s="19" t="n">
        <x:v>0.05</x:v>
      </x:c>
      <x:c r="J1428" s="11" t="n">
        <x:v>0</x:v>
      </x:c>
      <x:c r="K1428" s="20" t="n">
        <x:v>195</x:v>
      </x:c>
      <x:c r="L1428" s="20" t="n">
        <x:v>9.75</x:v>
      </x:c>
      <x:c r="M1428" s="20" t="n">
        <x:v>96</x:v>
      </x:c>
      <x:c r="N1428" s="20" t="n">
        <x:f>IF(J1428=1,0,K1428-L1428)</x:f>
        <x:v>185.25</x:v>
      </x:c>
      <x:c r="O1428" s="20" t="n">
        <x:f>N1428-M1428</x:f>
        <x:v>89.25</x:v>
      </x:c>
    </x:row>
    <x:row r="1429" ht="22" customHeight="1">
      <x:c r="A1429" s="11" t="n">
        <x:v>1425</x:v>
      </x:c>
      <x:c r="B1429" s="11" t="n">
        <x:v>720</x:v>
      </x:c>
      <x:c r="C1429" s="18" t="n">
        <x:v>45405</x:v>
      </x:c>
      <x:c r="D1429" s="11" t="str">
        <x:v>2024-04</x:v>
      </x:c>
      <x:c r="E1429" s="11" t="str">
        <x:v>South</x:v>
      </x:c>
      <x:c r="F1429" s="11" t="str">
        <x:v>Furniture</x:v>
      </x:c>
      <x:c r="G1429" s="11" t="str">
        <x:v>Chair</x:v>
      </x:c>
      <x:c r="H1429" s="11" t="n">
        <x:v>5</x:v>
      </x:c>
      <x:c r="I1429" s="19" t="n">
        <x:v>0.25</x:v>
      </x:c>
      <x:c r="J1429" s="11" t="n">
        <x:v>0</x:v>
      </x:c>
      <x:c r="K1429" s="20" t="n">
        <x:v>850</x:v>
      </x:c>
      <x:c r="L1429" s="20" t="n">
        <x:v>212.5</x:v>
      </x:c>
      <x:c r="M1429" s="20" t="n">
        <x:v>550</x:v>
      </x:c>
      <x:c r="N1429" s="20" t="n">
        <x:f>IF(J1429=1,0,K1429-L1429)</x:f>
        <x:v>637.5</x:v>
      </x:c>
      <x:c r="O1429" s="20" t="n">
        <x:f>N1429-M1429</x:f>
        <x:v>87.5</x:v>
      </x:c>
    </x:row>
    <x:row r="1430" ht="22" customHeight="1">
      <x:c r="A1430" s="11" t="n">
        <x:v>1426</x:v>
      </x:c>
      <x:c r="B1430" s="11" t="n">
        <x:v>721</x:v>
      </x:c>
      <x:c r="C1430" s="18" t="n">
        <x:v>45358</x:v>
      </x:c>
      <x:c r="D1430" s="11" t="str">
        <x:v>2024-03</x:v>
      </x:c>
      <x:c r="E1430" s="11" t="str">
        <x:v>West</x:v>
      </x:c>
      <x:c r="F1430" s="11" t="str">
        <x:v>Furniture</x:v>
      </x:c>
      <x:c r="G1430" s="11" t="str">
        <x:v>Chair</x:v>
      </x:c>
      <x:c r="H1430" s="11" t="n">
        <x:v>2</x:v>
      </x:c>
      <x:c r="I1430" s="19" t="n">
        <x:v>0.25</x:v>
      </x:c>
      <x:c r="J1430" s="11" t="n">
        <x:v>0</x:v>
      </x:c>
      <x:c r="K1430" s="20" t="n">
        <x:v>340</x:v>
      </x:c>
      <x:c r="L1430" s="20" t="n">
        <x:v>85</x:v>
      </x:c>
      <x:c r="M1430" s="20" t="n">
        <x:v>220</x:v>
      </x:c>
      <x:c r="N1430" s="20" t="n">
        <x:f>IF(J1430=1,0,K1430-L1430)</x:f>
        <x:v>255</x:v>
      </x:c>
      <x:c r="O1430" s="20" t="n">
        <x:f>N1430-M1430</x:f>
        <x:v>35</x:v>
      </x:c>
    </x:row>
    <x:row r="1431" ht="22" customHeight="1">
      <x:c r="A1431" s="11" t="n">
        <x:v>1427</x:v>
      </x:c>
      <x:c r="B1431" s="11" t="n">
        <x:v>722</x:v>
      </x:c>
      <x:c r="C1431" s="18" t="n">
        <x:v>45617</x:v>
      </x:c>
      <x:c r="D1431" s="11" t="str">
        <x:v>2024-11</x:v>
      </x:c>
      <x:c r="E1431" s="11" t="str">
        <x:v>West</x:v>
      </x:c>
      <x:c r="F1431" s="11" t="str">
        <x:v>Furniture</x:v>
      </x:c>
      <x:c r="G1431" s="11" t="str">
        <x:v>Chair</x:v>
      </x:c>
      <x:c r="H1431" s="11" t="n">
        <x:v>5</x:v>
      </x:c>
      <x:c r="I1431" s="19" t="n">
        <x:v>0.1</x:v>
      </x:c>
      <x:c r="J1431" s="11" t="n">
        <x:v>0</x:v>
      </x:c>
      <x:c r="K1431" s="20" t="n">
        <x:v>850</x:v>
      </x:c>
      <x:c r="L1431" s="20" t="n">
        <x:v>85</x:v>
      </x:c>
      <x:c r="M1431" s="20" t="n">
        <x:v>550</x:v>
      </x:c>
      <x:c r="N1431" s="20" t="n">
        <x:f>IF(J1431=1,0,K1431-L1431)</x:f>
        <x:v>765</x:v>
      </x:c>
      <x:c r="O1431" s="20" t="n">
        <x:f>N1431-M1431</x:f>
        <x:v>215</x:v>
      </x:c>
    </x:row>
    <x:row r="1432" ht="22" customHeight="1">
      <x:c r="A1432" s="11" t="n">
        <x:v>1428</x:v>
      </x:c>
      <x:c r="B1432" s="11" t="n">
        <x:v>722</x:v>
      </x:c>
      <x:c r="C1432" s="18" t="n">
        <x:v>45617</x:v>
      </x:c>
      <x:c r="D1432" s="11" t="str">
        <x:v>2024-11</x:v>
      </x:c>
      <x:c r="E1432" s="11" t="str">
        <x:v>West</x:v>
      </x:c>
      <x:c r="F1432" s="11" t="str">
        <x:v>Furniture</x:v>
      </x:c>
      <x:c r="G1432" s="11" t="str">
        <x:v>Desk</x:v>
      </x:c>
      <x:c r="H1432" s="11" t="n">
        <x:v>3</x:v>
      </x:c>
      <x:c r="I1432" s="19" t="n">
        <x:v>0.05</x:v>
      </x:c>
      <x:c r="J1432" s="11" t="n">
        <x:v>1</x:v>
      </x:c>
      <x:c r="K1432" s="20" t="n">
        <x:v>840</x:v>
      </x:c>
      <x:c r="L1432" s="20" t="n">
        <x:v>42</x:v>
      </x:c>
      <x:c r="M1432" s="20" t="n">
        <x:v>0</x:v>
      </x:c>
      <x:c r="N1432" s="20" t="n">
        <x:f>IF(J1432=1,0,K1432-L1432)</x:f>
        <x:v>0</x:v>
      </x:c>
      <x:c r="O1432" s="20" t="n">
        <x:f>N1432-M1432</x:f>
        <x:v>0</x:v>
      </x:c>
    </x:row>
    <x:row r="1433" ht="22" customHeight="1">
      <x:c r="A1433" s="11" t="n">
        <x:v>1429</x:v>
      </x:c>
      <x:c r="B1433" s="11" t="n">
        <x:v>722</x:v>
      </x:c>
      <x:c r="C1433" s="18" t="n">
        <x:v>45617</x:v>
      </x:c>
      <x:c r="D1433" s="11" t="str">
        <x:v>2024-11</x:v>
      </x:c>
      <x:c r="E1433" s="11" t="str">
        <x:v>West</x:v>
      </x:c>
      <x:c r="F1433" s="11" t="str">
        <x:v>Office Supplies</x:v>
      </x:c>
      <x:c r="G1433" s="11" t="str">
        <x:v>Storage box</x:v>
      </x:c>
      <x:c r="H1433" s="11" t="n">
        <x:v>3</x:v>
      </x:c>
      <x:c r="I1433" s="19" t="n">
        <x:v>0</x:v>
      </x:c>
      <x:c r="J1433" s="11" t="n">
        <x:v>0</x:v>
      </x:c>
      <x:c r="K1433" s="20" t="n">
        <x:v>78</x:v>
      </x:c>
      <x:c r="L1433" s="20" t="n">
        <x:v>0</x:v>
      </x:c>
      <x:c r="M1433" s="20" t="n">
        <x:v>36</x:v>
      </x:c>
      <x:c r="N1433" s="20" t="n">
        <x:f>IF(J1433=1,0,K1433-L1433)</x:f>
        <x:v>78</x:v>
      </x:c>
      <x:c r="O1433" s="20" t="n">
        <x:f>N1433-M1433</x:f>
        <x:v>42</x:v>
      </x:c>
    </x:row>
    <x:row r="1434" ht="22" customHeight="1">
      <x:c r="A1434" s="11" t="n">
        <x:v>1430</x:v>
      </x:c>
      <x:c r="B1434" s="11" t="n">
        <x:v>723</x:v>
      </x:c>
      <x:c r="C1434" s="18" t="n">
        <x:v>45890</x:v>
      </x:c>
      <x:c r="D1434" s="11" t="str">
        <x:v>2025-08</x:v>
      </x:c>
      <x:c r="E1434" s="11" t="str">
        <x:v>West</x:v>
      </x:c>
      <x:c r="F1434" s="11" t="str">
        <x:v>Furniture</x:v>
      </x:c>
      <x:c r="G1434" s="11" t="str">
        <x:v>Desk</x:v>
      </x:c>
      <x:c r="H1434" s="11" t="n">
        <x:v>2</x:v>
      </x:c>
      <x:c r="I1434" s="19" t="n">
        <x:v>0.25</x:v>
      </x:c>
      <x:c r="J1434" s="11" t="n">
        <x:v>0</x:v>
      </x:c>
      <x:c r="K1434" s="20" t="n">
        <x:v>560</x:v>
      </x:c>
      <x:c r="L1434" s="20" t="n">
        <x:v>140</x:v>
      </x:c>
      <x:c r="M1434" s="20" t="n">
        <x:v>380</x:v>
      </x:c>
      <x:c r="N1434" s="20" t="n">
        <x:f>IF(J1434=1,0,K1434-L1434)</x:f>
        <x:v>420</x:v>
      </x:c>
      <x:c r="O1434" s="20" t="n">
        <x:f>N1434-M1434</x:f>
        <x:v>40</x:v>
      </x:c>
    </x:row>
    <x:row r="1435" ht="22" customHeight="1">
      <x:c r="A1435" s="11" t="n">
        <x:v>1431</x:v>
      </x:c>
      <x:c r="B1435" s="11" t="n">
        <x:v>723</x:v>
      </x:c>
      <x:c r="C1435" s="18" t="n">
        <x:v>45890</x:v>
      </x:c>
      <x:c r="D1435" s="11" t="str">
        <x:v>2025-08</x:v>
      </x:c>
      <x:c r="E1435" s="11" t="str">
        <x:v>West</x:v>
      </x:c>
      <x:c r="F1435" s="11" t="str">
        <x:v>Technology</x:v>
      </x:c>
      <x:c r="G1435" s="11" t="str">
        <x:v>Keyboard</x:v>
      </x:c>
      <x:c r="H1435" s="11" t="n">
        <x:v>5</x:v>
      </x:c>
      <x:c r="I1435" s="19" t="n">
        <x:v>0.05</x:v>
      </x:c>
      <x:c r="J1435" s="11" t="n">
        <x:v>0</x:v>
      </x:c>
      <x:c r="K1435" s="20" t="n">
        <x:v>325</x:v>
      </x:c>
      <x:c r="L1435" s="20" t="n">
        <x:v>16.25</x:v>
      </x:c>
      <x:c r="M1435" s="20" t="n">
        <x:v>160</x:v>
      </x:c>
      <x:c r="N1435" s="20" t="n">
        <x:f>IF(J1435=1,0,K1435-L1435)</x:f>
        <x:v>308.75</x:v>
      </x:c>
      <x:c r="O1435" s="20" t="n">
        <x:f>N1435-M1435</x:f>
        <x:v>148.75</x:v>
      </x:c>
    </x:row>
    <x:row r="1436" ht="22" customHeight="1">
      <x:c r="A1436" s="11" t="n">
        <x:v>1432</x:v>
      </x:c>
      <x:c r="B1436" s="11" t="n">
        <x:v>723</x:v>
      </x:c>
      <x:c r="C1436" s="18" t="n">
        <x:v>45890</x:v>
      </x:c>
      <x:c r="D1436" s="11" t="str">
        <x:v>2025-08</x:v>
      </x:c>
      <x:c r="E1436" s="11" t="str">
        <x:v>West</x:v>
      </x:c>
      <x:c r="F1436" s="11" t="str">
        <x:v>Office Supplies</x:v>
      </x:c>
      <x:c r="G1436" s="11" t="str">
        <x:v>Storage box</x:v>
      </x:c>
      <x:c r="H1436" s="11" t="n">
        <x:v>4</x:v>
      </x:c>
      <x:c r="I1436" s="19" t="n">
        <x:v>0</x:v>
      </x:c>
      <x:c r="J1436" s="11" t="n">
        <x:v>0</x:v>
      </x:c>
      <x:c r="K1436" s="20" t="n">
        <x:v>104</x:v>
      </x:c>
      <x:c r="L1436" s="20" t="n">
        <x:v>0</x:v>
      </x:c>
      <x:c r="M1436" s="20" t="n">
        <x:v>48</x:v>
      </x:c>
      <x:c r="N1436" s="20" t="n">
        <x:f>IF(J1436=1,0,K1436-L1436)</x:f>
        <x:v>104</x:v>
      </x:c>
      <x:c r="O1436" s="20" t="n">
        <x:f>N1436-M1436</x:f>
        <x:v>56</x:v>
      </x:c>
    </x:row>
    <x:row r="1437" ht="22" customHeight="1">
      <x:c r="A1437" s="11" t="n">
        <x:v>1433</x:v>
      </x:c>
      <x:c r="B1437" s="11" t="n">
        <x:v>724</x:v>
      </x:c>
      <x:c r="C1437" s="18" t="n">
        <x:v>45674</x:v>
      </x:c>
      <x:c r="D1437" s="11" t="str">
        <x:v>2025-01</x:v>
      </x:c>
      <x:c r="E1437" s="11" t="str">
        <x:v>South</x:v>
      </x:c>
      <x:c r="F1437" s="11" t="str">
        <x:v>Technology</x:v>
      </x:c>
      <x:c r="G1437" s="11" t="str">
        <x:v>Keyboard</x:v>
      </x:c>
      <x:c r="H1437" s="11" t="n">
        <x:v>5</x:v>
      </x:c>
      <x:c r="I1437" s="19" t="n">
        <x:v>0.1</x:v>
      </x:c>
      <x:c r="J1437" s="11" t="n">
        <x:v>0</x:v>
      </x:c>
      <x:c r="K1437" s="20" t="n">
        <x:v>325</x:v>
      </x:c>
      <x:c r="L1437" s="20" t="n">
        <x:v>32.5</x:v>
      </x:c>
      <x:c r="M1437" s="20" t="n">
        <x:v>160</x:v>
      </x:c>
      <x:c r="N1437" s="20" t="n">
        <x:f>IF(J1437=1,0,K1437-L1437)</x:f>
        <x:v>292.5</x:v>
      </x:c>
      <x:c r="O1437" s="20" t="n">
        <x:f>N1437-M1437</x:f>
        <x:v>132.5</x:v>
      </x:c>
    </x:row>
    <x:row r="1438" ht="22" customHeight="1">
      <x:c r="A1438" s="11" t="n">
        <x:v>1434</x:v>
      </x:c>
      <x:c r="B1438" s="11" t="n">
        <x:v>724</x:v>
      </x:c>
      <x:c r="C1438" s="18" t="n">
        <x:v>45674</x:v>
      </x:c>
      <x:c r="D1438" s="11" t="str">
        <x:v>2025-01</x:v>
      </x:c>
      <x:c r="E1438" s="11" t="str">
        <x:v>South</x:v>
      </x:c>
      <x:c r="F1438" s="11" t="str">
        <x:v>Office Supplies</x:v>
      </x:c>
      <x:c r="G1438" s="11" t="str">
        <x:v>Storage box</x:v>
      </x:c>
      <x:c r="H1438" s="11" t="n">
        <x:v>5</x:v>
      </x:c>
      <x:c r="I1438" s="19" t="n">
        <x:v>0</x:v>
      </x:c>
      <x:c r="J1438" s="11" t="n">
        <x:v>0</x:v>
      </x:c>
      <x:c r="K1438" s="20" t="n">
        <x:v>130</x:v>
      </x:c>
      <x:c r="L1438" s="20" t="n">
        <x:v>0</x:v>
      </x:c>
      <x:c r="M1438" s="20" t="n">
        <x:v>60</x:v>
      </x:c>
      <x:c r="N1438" s="20" t="n">
        <x:f>IF(J1438=1,0,K1438-L1438)</x:f>
        <x:v>130</x:v>
      </x:c>
      <x:c r="O1438" s="20" t="n">
        <x:f>N1438-M1438</x:f>
        <x:v>70</x:v>
      </x:c>
    </x:row>
    <x:row r="1439" ht="22" customHeight="1">
      <x:c r="A1439" s="11" t="n">
        <x:v>1435</x:v>
      </x:c>
      <x:c r="B1439" s="11" t="n">
        <x:v>724</x:v>
      </x:c>
      <x:c r="C1439" s="18" t="n">
        <x:v>45674</x:v>
      </x:c>
      <x:c r="D1439" s="11" t="str">
        <x:v>2025-01</x:v>
      </x:c>
      <x:c r="E1439" s="11" t="str">
        <x:v>South</x:v>
      </x:c>
      <x:c r="F1439" s="11" t="str">
        <x:v>Technology</x:v>
      </x:c>
      <x:c r="G1439" s="11" t="str">
        <x:v>Monitor</x:v>
      </x:c>
      <x:c r="H1439" s="11" t="n">
        <x:v>2</x:v>
      </x:c>
      <x:c r="I1439" s="19" t="n">
        <x:v>0.1</x:v>
      </x:c>
      <x:c r="J1439" s="11" t="n">
        <x:v>0</x:v>
      </x:c>
      <x:c r="K1439" s="20" t="n">
        <x:v>480</x:v>
      </x:c>
      <x:c r="L1439" s="20" t="n">
        <x:v>48</x:v>
      </x:c>
      <x:c r="M1439" s="20" t="n">
        <x:v>320</x:v>
      </x:c>
      <x:c r="N1439" s="20" t="n">
        <x:f>IF(J1439=1,0,K1439-L1439)</x:f>
        <x:v>432</x:v>
      </x:c>
      <x:c r="O1439" s="20" t="n">
        <x:f>N1439-M1439</x:f>
        <x:v>112</x:v>
      </x:c>
    </x:row>
    <x:row r="1440" ht="22" customHeight="1">
      <x:c r="A1440" s="11" t="n">
        <x:v>1436</x:v>
      </x:c>
      <x:c r="B1440" s="11" t="n">
        <x:v>725</x:v>
      </x:c>
      <x:c r="C1440" s="18" t="n">
        <x:v>45697</x:v>
      </x:c>
      <x:c r="D1440" s="11" t="str">
        <x:v>2025-02</x:v>
      </x:c>
      <x:c r="E1440" s="11" t="str">
        <x:v>West</x:v>
      </x:c>
      <x:c r="F1440" s="11" t="str">
        <x:v>Technology</x:v>
      </x:c>
      <x:c r="G1440" s="11" t="str">
        <x:v>Keyboard</x:v>
      </x:c>
      <x:c r="H1440" s="11" t="n">
        <x:v>2</x:v>
      </x:c>
      <x:c r="I1440" s="19" t="n">
        <x:v>0.05</x:v>
      </x:c>
      <x:c r="J1440" s="11" t="n">
        <x:v>0</x:v>
      </x:c>
      <x:c r="K1440" s="20" t="n">
        <x:v>130</x:v>
      </x:c>
      <x:c r="L1440" s="20" t="n">
        <x:v>6.5</x:v>
      </x:c>
      <x:c r="M1440" s="20" t="n">
        <x:v>64</x:v>
      </x:c>
      <x:c r="N1440" s="20" t="n">
        <x:f>IF(J1440=1,0,K1440-L1440)</x:f>
        <x:v>123.5</x:v>
      </x:c>
      <x:c r="O1440" s="20" t="n">
        <x:f>N1440-M1440</x:f>
        <x:v>59.5</x:v>
      </x:c>
    </x:row>
    <x:row r="1441" ht="22" customHeight="1">
      <x:c r="A1441" s="11" t="n">
        <x:v>1437</x:v>
      </x:c>
      <x:c r="B1441" s="11" t="n">
        <x:v>725</x:v>
      </x:c>
      <x:c r="C1441" s="18" t="n">
        <x:v>45697</x:v>
      </x:c>
      <x:c r="D1441" s="11" t="str">
        <x:v>2025-02</x:v>
      </x:c>
      <x:c r="E1441" s="11" t="str">
        <x:v>West</x:v>
      </x:c>
      <x:c r="F1441" s="11" t="str">
        <x:v>Office Supplies</x:v>
      </x:c>
      <x:c r="G1441" s="11" t="str">
        <x:v>Notebook pack</x:v>
      </x:c>
      <x:c r="H1441" s="11" t="n">
        <x:v>1</x:v>
      </x:c>
      <x:c r="I1441" s="19" t="n">
        <x:v>0</x:v>
      </x:c>
      <x:c r="J1441" s="11" t="n">
        <x:v>0</x:v>
      </x:c>
      <x:c r="K1441" s="20" t="n">
        <x:v>18</x:v>
      </x:c>
      <x:c r="L1441" s="20" t="n">
        <x:v>0</x:v>
      </x:c>
      <x:c r="M1441" s="20" t="n">
        <x:v>7</x:v>
      </x:c>
      <x:c r="N1441" s="20" t="n">
        <x:f>IF(J1441=1,0,K1441-L1441)</x:f>
        <x:v>18</x:v>
      </x:c>
      <x:c r="O1441" s="20" t="n">
        <x:f>N1441-M1441</x:f>
        <x:v>11</x:v>
      </x:c>
    </x:row>
    <x:row r="1442" ht="22" customHeight="1">
      <x:c r="A1442" s="11" t="n">
        <x:v>1438</x:v>
      </x:c>
      <x:c r="B1442" s="11" t="n">
        <x:v>726</x:v>
      </x:c>
      <x:c r="C1442" s="18" t="n">
        <x:v>45594</x:v>
      </x:c>
      <x:c r="D1442" s="11" t="str">
        <x:v>2024-10</x:v>
      </x:c>
      <x:c r="E1442" s="11" t="str">
        <x:v>Central</x:v>
      </x:c>
      <x:c r="F1442" s="11" t="str">
        <x:v>Office Supplies</x:v>
      </x:c>
      <x:c r="G1442" s="11" t="str">
        <x:v>Notebook pack</x:v>
      </x:c>
      <x:c r="H1442" s="11" t="n">
        <x:v>1</x:v>
      </x:c>
      <x:c r="I1442" s="19" t="n">
        <x:v>0.1</x:v>
      </x:c>
      <x:c r="J1442" s="11" t="n">
        <x:v>0</x:v>
      </x:c>
      <x:c r="K1442" s="20" t="n">
        <x:v>18</x:v>
      </x:c>
      <x:c r="L1442" s="20" t="n">
        <x:v>1.8</x:v>
      </x:c>
      <x:c r="M1442" s="20" t="n">
        <x:v>7</x:v>
      </x:c>
      <x:c r="N1442" s="20" t="n">
        <x:f>IF(J1442=1,0,K1442-L1442)</x:f>
        <x:v>16.2</x:v>
      </x:c>
      <x:c r="O1442" s="20" t="n">
        <x:f>N1442-M1442</x:f>
        <x:v>9.2</x:v>
      </x:c>
    </x:row>
    <x:row r="1443" ht="22" customHeight="1">
      <x:c r="A1443" s="11" t="n">
        <x:v>1439</x:v>
      </x:c>
      <x:c r="B1443" s="11" t="n">
        <x:v>727</x:v>
      </x:c>
      <x:c r="C1443" s="18" t="n">
        <x:v>45636</x:v>
      </x:c>
      <x:c r="D1443" s="11" t="str">
        <x:v>2024-12</x:v>
      </x:c>
      <x:c r="E1443" s="11" t="str">
        <x:v>South</x:v>
      </x:c>
      <x:c r="F1443" s="11" t="str">
        <x:v>Technology</x:v>
      </x:c>
      <x:c r="G1443" s="11" t="str">
        <x:v>Keyboard</x:v>
      </x:c>
      <x:c r="H1443" s="11" t="n">
        <x:v>3</x:v>
      </x:c>
      <x:c r="I1443" s="19" t="n">
        <x:v>0.1</x:v>
      </x:c>
      <x:c r="J1443" s="11" t="n">
        <x:v>0</x:v>
      </x:c>
      <x:c r="K1443" s="20" t="n">
        <x:v>195</x:v>
      </x:c>
      <x:c r="L1443" s="20" t="n">
        <x:v>19.5</x:v>
      </x:c>
      <x:c r="M1443" s="20" t="n">
        <x:v>96</x:v>
      </x:c>
      <x:c r="N1443" s="20" t="n">
        <x:f>IF(J1443=1,0,K1443-L1443)</x:f>
        <x:v>175.5</x:v>
      </x:c>
      <x:c r="O1443" s="20" t="n">
        <x:f>N1443-M1443</x:f>
        <x:v>79.5</x:v>
      </x:c>
    </x:row>
    <x:row r="1444" ht="22" customHeight="1">
      <x:c r="A1444" s="11" t="n">
        <x:v>1440</x:v>
      </x:c>
      <x:c r="B1444" s="11" t="n">
        <x:v>727</x:v>
      </x:c>
      <x:c r="C1444" s="18" t="n">
        <x:v>45636</x:v>
      </x:c>
      <x:c r="D1444" s="11" t="str">
        <x:v>2024-12</x:v>
      </x:c>
      <x:c r="E1444" s="11" t="str">
        <x:v>South</x:v>
      </x:c>
      <x:c r="F1444" s="11" t="str">
        <x:v>Office Supplies</x:v>
      </x:c>
      <x:c r="G1444" s="11" t="str">
        <x:v>Storage box</x:v>
      </x:c>
      <x:c r="H1444" s="11" t="n">
        <x:v>4</x:v>
      </x:c>
      <x:c r="I1444" s="19" t="n">
        <x:v>0</x:v>
      </x:c>
      <x:c r="J1444" s="11" t="n">
        <x:v>0</x:v>
      </x:c>
      <x:c r="K1444" s="20" t="n">
        <x:v>104</x:v>
      </x:c>
      <x:c r="L1444" s="20" t="n">
        <x:v>0</x:v>
      </x:c>
      <x:c r="M1444" s="20" t="n">
        <x:v>48</x:v>
      </x:c>
      <x:c r="N1444" s="20" t="n">
        <x:f>IF(J1444=1,0,K1444-L1444)</x:f>
        <x:v>104</x:v>
      </x:c>
      <x:c r="O1444" s="20" t="n">
        <x:f>N1444-M1444</x:f>
        <x:v>56</x:v>
      </x:c>
    </x:row>
    <x:row r="1445" ht="22" customHeight="1">
      <x:c r="A1445" s="11" t="n">
        <x:v>1441</x:v>
      </x:c>
      <x:c r="B1445" s="11" t="n">
        <x:v>728</x:v>
      </x:c>
      <x:c r="C1445" s="18" t="n">
        <x:v>45531</x:v>
      </x:c>
      <x:c r="D1445" s="11" t="str">
        <x:v>2024-08</x:v>
      </x:c>
      <x:c r="E1445" s="11" t="str">
        <x:v>East</x:v>
      </x:c>
      <x:c r="F1445" s="11" t="str">
        <x:v>Furniture</x:v>
      </x:c>
      <x:c r="G1445" s="11" t="str">
        <x:v>Desk</x:v>
      </x:c>
      <x:c r="H1445" s="11" t="n">
        <x:v>5</x:v>
      </x:c>
      <x:c r="I1445" s="19" t="n">
        <x:v>0</x:v>
      </x:c>
      <x:c r="J1445" s="11" t="n">
        <x:v>0</x:v>
      </x:c>
      <x:c r="K1445" s="20" t="n">
        <x:v>1400</x:v>
      </x:c>
      <x:c r="L1445" s="20" t="n">
        <x:v>0</x:v>
      </x:c>
      <x:c r="M1445" s="20" t="n">
        <x:v>950</x:v>
      </x:c>
      <x:c r="N1445" s="20" t="n">
        <x:f>IF(J1445=1,0,K1445-L1445)</x:f>
        <x:v>1400</x:v>
      </x:c>
      <x:c r="O1445" s="20" t="n">
        <x:f>N1445-M1445</x:f>
        <x:v>450</x:v>
      </x:c>
    </x:row>
    <x:row r="1446" ht="22" customHeight="1">
      <x:c r="A1446" s="11" t="n">
        <x:v>1442</x:v>
      </x:c>
      <x:c r="B1446" s="11" t="n">
        <x:v>728</x:v>
      </x:c>
      <x:c r="C1446" s="18" t="n">
        <x:v>45531</x:v>
      </x:c>
      <x:c r="D1446" s="11" t="str">
        <x:v>2024-08</x:v>
      </x:c>
      <x:c r="E1446" s="11" t="str">
        <x:v>East</x:v>
      </x:c>
      <x:c r="F1446" s="11" t="str">
        <x:v>Technology</x:v>
      </x:c>
      <x:c r="G1446" s="11" t="str">
        <x:v>Monitor</x:v>
      </x:c>
      <x:c r="H1446" s="11" t="n">
        <x:v>2</x:v>
      </x:c>
      <x:c r="I1446" s="19" t="n">
        <x:v>0</x:v>
      </x:c>
      <x:c r="J1446" s="11" t="n">
        <x:v>0</x:v>
      </x:c>
      <x:c r="K1446" s="20" t="n">
        <x:v>480</x:v>
      </x:c>
      <x:c r="L1446" s="20" t="n">
        <x:v>0</x:v>
      </x:c>
      <x:c r="M1446" s="20" t="n">
        <x:v>320</x:v>
      </x:c>
      <x:c r="N1446" s="20" t="n">
        <x:f>IF(J1446=1,0,K1446-L1446)</x:f>
        <x:v>480</x:v>
      </x:c>
      <x:c r="O1446" s="20" t="n">
        <x:f>N1446-M1446</x:f>
        <x:v>160</x:v>
      </x:c>
    </x:row>
    <x:row r="1447" ht="22" customHeight="1">
      <x:c r="A1447" s="11" t="n">
        <x:v>1443</x:v>
      </x:c>
      <x:c r="B1447" s="11" t="n">
        <x:v>729</x:v>
      </x:c>
      <x:c r="C1447" s="18" t="n">
        <x:v>45660</x:v>
      </x:c>
      <x:c r="D1447" s="11" t="str">
        <x:v>2025-01</x:v>
      </x:c>
      <x:c r="E1447" s="11" t="str">
        <x:v>South</x:v>
      </x:c>
      <x:c r="F1447" s="11" t="str">
        <x:v>Furniture</x:v>
      </x:c>
      <x:c r="G1447" s="11" t="str">
        <x:v>Chair</x:v>
      </x:c>
      <x:c r="H1447" s="11" t="n">
        <x:v>3</x:v>
      </x:c>
      <x:c r="I1447" s="19" t="n">
        <x:v>0.1</x:v>
      </x:c>
      <x:c r="J1447" s="11" t="n">
        <x:v>0</x:v>
      </x:c>
      <x:c r="K1447" s="20" t="n">
        <x:v>510</x:v>
      </x:c>
      <x:c r="L1447" s="20" t="n">
        <x:v>51</x:v>
      </x:c>
      <x:c r="M1447" s="20" t="n">
        <x:v>330</x:v>
      </x:c>
      <x:c r="N1447" s="20" t="n">
        <x:f>IF(J1447=1,0,K1447-L1447)</x:f>
        <x:v>459</x:v>
      </x:c>
      <x:c r="O1447" s="20" t="n">
        <x:f>N1447-M1447</x:f>
        <x:v>129</x:v>
      </x:c>
    </x:row>
    <x:row r="1448" ht="22" customHeight="1">
      <x:c r="A1448" s="11" t="n">
        <x:v>1444</x:v>
      </x:c>
      <x:c r="B1448" s="11" t="n">
        <x:v>729</x:v>
      </x:c>
      <x:c r="C1448" s="18" t="n">
        <x:v>45660</x:v>
      </x:c>
      <x:c r="D1448" s="11" t="str">
        <x:v>2025-01</x:v>
      </x:c>
      <x:c r="E1448" s="11" t="str">
        <x:v>South</x:v>
      </x:c>
      <x:c r="F1448" s="11" t="str">
        <x:v>Technology</x:v>
      </x:c>
      <x:c r="G1448" s="11" t="str">
        <x:v>Monitor</x:v>
      </x:c>
      <x:c r="H1448" s="11" t="n">
        <x:v>3</x:v>
      </x:c>
      <x:c r="I1448" s="19" t="n">
        <x:v>0</x:v>
      </x:c>
      <x:c r="J1448" s="11" t="n">
        <x:v>0</x:v>
      </x:c>
      <x:c r="K1448" s="20" t="n">
        <x:v>720</x:v>
      </x:c>
      <x:c r="L1448" s="20" t="n">
        <x:v>0</x:v>
      </x:c>
      <x:c r="M1448" s="20" t="n">
        <x:v>480</x:v>
      </x:c>
      <x:c r="N1448" s="20" t="n">
        <x:f>IF(J1448=1,0,K1448-L1448)</x:f>
        <x:v>720</x:v>
      </x:c>
      <x:c r="O1448" s="20" t="n">
        <x:f>N1448-M1448</x:f>
        <x:v>240</x:v>
      </x:c>
    </x:row>
    <x:row r="1449" ht="22" customHeight="1">
      <x:c r="A1449" s="11" t="n">
        <x:v>1445</x:v>
      </x:c>
      <x:c r="B1449" s="11" t="n">
        <x:v>730</x:v>
      </x:c>
      <x:c r="C1449" s="18" t="n">
        <x:v>45433</x:v>
      </x:c>
      <x:c r="D1449" s="11" t="str">
        <x:v>2024-05</x:v>
      </x:c>
      <x:c r="E1449" s="11" t="str">
        <x:v>South</x:v>
      </x:c>
      <x:c r="F1449" s="11" t="str">
        <x:v>Technology</x:v>
      </x:c>
      <x:c r="G1449" s="11" t="str">
        <x:v>Monitor</x:v>
      </x:c>
      <x:c r="H1449" s="11" t="n">
        <x:v>3</x:v>
      </x:c>
      <x:c r="I1449" s="19" t="n">
        <x:v>0.05</x:v>
      </x:c>
      <x:c r="J1449" s="11" t="n">
        <x:v>0</x:v>
      </x:c>
      <x:c r="K1449" s="20" t="n">
        <x:v>720</x:v>
      </x:c>
      <x:c r="L1449" s="20" t="n">
        <x:v>36</x:v>
      </x:c>
      <x:c r="M1449" s="20" t="n">
        <x:v>480</x:v>
      </x:c>
      <x:c r="N1449" s="20" t="n">
        <x:f>IF(J1449=1,0,K1449-L1449)</x:f>
        <x:v>684</x:v>
      </x:c>
      <x:c r="O1449" s="20" t="n">
        <x:f>N1449-M1449</x:f>
        <x:v>204</x:v>
      </x:c>
    </x:row>
    <x:row r="1450" ht="22" customHeight="1">
      <x:c r="A1450" s="11" t="n">
        <x:v>1446</x:v>
      </x:c>
      <x:c r="B1450" s="11" t="n">
        <x:v>731</x:v>
      </x:c>
      <x:c r="C1450" s="18" t="n">
        <x:v>45705</x:v>
      </x:c>
      <x:c r="D1450" s="11" t="str">
        <x:v>2025-02</x:v>
      </x:c>
      <x:c r="E1450" s="11" t="str">
        <x:v>South</x:v>
      </x:c>
      <x:c r="F1450" s="11" t="str">
        <x:v>Office Supplies</x:v>
      </x:c>
      <x:c r="G1450" s="11" t="str">
        <x:v>Storage box</x:v>
      </x:c>
      <x:c r="H1450" s="11" t="n">
        <x:v>2</x:v>
      </x:c>
      <x:c r="I1450" s="19" t="n">
        <x:v>0.1</x:v>
      </x:c>
      <x:c r="J1450" s="11" t="n">
        <x:v>0</x:v>
      </x:c>
      <x:c r="K1450" s="20" t="n">
        <x:v>52</x:v>
      </x:c>
      <x:c r="L1450" s="20" t="n">
        <x:v>5.2</x:v>
      </x:c>
      <x:c r="M1450" s="20" t="n">
        <x:v>24</x:v>
      </x:c>
      <x:c r="N1450" s="20" t="n">
        <x:f>IF(J1450=1,0,K1450-L1450)</x:f>
        <x:v>46.8</x:v>
      </x:c>
      <x:c r="O1450" s="20" t="n">
        <x:f>N1450-M1450</x:f>
        <x:v>22.799999999999997</x:v>
      </x:c>
    </x:row>
    <x:row r="1451" ht="22" customHeight="1">
      <x:c r="A1451" s="11" t="n">
        <x:v>1447</x:v>
      </x:c>
      <x:c r="B1451" s="11" t="n">
        <x:v>731</x:v>
      </x:c>
      <x:c r="C1451" s="18" t="n">
        <x:v>45705</x:v>
      </x:c>
      <x:c r="D1451" s="11" t="str">
        <x:v>2025-02</x:v>
      </x:c>
      <x:c r="E1451" s="11" t="str">
        <x:v>South</x:v>
      </x:c>
      <x:c r="F1451" s="11" t="str">
        <x:v>Office Supplies</x:v>
      </x:c>
      <x:c r="G1451" s="11" t="str">
        <x:v>Notebook pack</x:v>
      </x:c>
      <x:c r="H1451" s="11" t="n">
        <x:v>2</x:v>
      </x:c>
      <x:c r="I1451" s="19" t="n">
        <x:v>0.1</x:v>
      </x:c>
      <x:c r="J1451" s="11" t="n">
        <x:v>0</x:v>
      </x:c>
      <x:c r="K1451" s="20" t="n">
        <x:v>36</x:v>
      </x:c>
      <x:c r="L1451" s="20" t="n">
        <x:v>3.6</x:v>
      </x:c>
      <x:c r="M1451" s="20" t="n">
        <x:v>14</x:v>
      </x:c>
      <x:c r="N1451" s="20" t="n">
        <x:f>IF(J1451=1,0,K1451-L1451)</x:f>
        <x:v>32.4</x:v>
      </x:c>
      <x:c r="O1451" s="20" t="n">
        <x:f>N1451-M1451</x:f>
        <x:v>18.4</x:v>
      </x:c>
    </x:row>
    <x:row r="1452" ht="22" customHeight="1">
      <x:c r="A1452" s="11" t="n">
        <x:v>1448</x:v>
      </x:c>
      <x:c r="B1452" s="11" t="n">
        <x:v>732</x:v>
      </x:c>
      <x:c r="C1452" s="18" t="n">
        <x:v>45893</x:v>
      </x:c>
      <x:c r="D1452" s="11" t="str">
        <x:v>2025-08</x:v>
      </x:c>
      <x:c r="E1452" s="11" t="str">
        <x:v>West</x:v>
      </x:c>
      <x:c r="F1452" s="11" t="str">
        <x:v>Technology</x:v>
      </x:c>
      <x:c r="G1452" s="11" t="str">
        <x:v>Keyboard</x:v>
      </x:c>
      <x:c r="H1452" s="11" t="n">
        <x:v>3</x:v>
      </x:c>
      <x:c r="I1452" s="19" t="n">
        <x:v>0</x:v>
      </x:c>
      <x:c r="J1452" s="11" t="n">
        <x:v>0</x:v>
      </x:c>
      <x:c r="K1452" s="20" t="n">
        <x:v>195</x:v>
      </x:c>
      <x:c r="L1452" s="20" t="n">
        <x:v>0</x:v>
      </x:c>
      <x:c r="M1452" s="20" t="n">
        <x:v>96</x:v>
      </x:c>
      <x:c r="N1452" s="20" t="n">
        <x:f>IF(J1452=1,0,K1452-L1452)</x:f>
        <x:v>195</x:v>
      </x:c>
      <x:c r="O1452" s="20" t="n">
        <x:f>N1452-M1452</x:f>
        <x:v>99</x:v>
      </x:c>
    </x:row>
    <x:row r="1453" ht="22" customHeight="1">
      <x:c r="A1453" s="11" t="n">
        <x:v>1449</x:v>
      </x:c>
      <x:c r="B1453" s="11" t="n">
        <x:v>732</x:v>
      </x:c>
      <x:c r="C1453" s="18" t="n">
        <x:v>45893</x:v>
      </x:c>
      <x:c r="D1453" s="11" t="str">
        <x:v>2025-08</x:v>
      </x:c>
      <x:c r="E1453" s="11" t="str">
        <x:v>West</x:v>
      </x:c>
      <x:c r="F1453" s="11" t="str">
        <x:v>Technology</x:v>
      </x:c>
      <x:c r="G1453" s="11" t="str">
        <x:v>Monitor</x:v>
      </x:c>
      <x:c r="H1453" s="11" t="n">
        <x:v>4</x:v>
      </x:c>
      <x:c r="I1453" s="19" t="n">
        <x:v>0</x:v>
      </x:c>
      <x:c r="J1453" s="11" t="n">
        <x:v>0</x:v>
      </x:c>
      <x:c r="K1453" s="20" t="n">
        <x:v>960</x:v>
      </x:c>
      <x:c r="L1453" s="20" t="n">
        <x:v>0</x:v>
      </x:c>
      <x:c r="M1453" s="20" t="n">
        <x:v>640</x:v>
      </x:c>
      <x:c r="N1453" s="20" t="n">
        <x:f>IF(J1453=1,0,K1453-L1453)</x:f>
        <x:v>960</x:v>
      </x:c>
      <x:c r="O1453" s="20" t="n">
        <x:f>N1453-M1453</x:f>
        <x:v>320</x:v>
      </x:c>
    </x:row>
    <x:row r="1454" ht="22" customHeight="1">
      <x:c r="A1454" s="11" t="n">
        <x:v>1450</x:v>
      </x:c>
      <x:c r="B1454" s="11" t="n">
        <x:v>732</x:v>
      </x:c>
      <x:c r="C1454" s="18" t="n">
        <x:v>45893</x:v>
      </x:c>
      <x:c r="D1454" s="11" t="str">
        <x:v>2025-08</x:v>
      </x:c>
      <x:c r="E1454" s="11" t="str">
        <x:v>West</x:v>
      </x:c>
      <x:c r="F1454" s="11" t="str">
        <x:v>Furniture</x:v>
      </x:c>
      <x:c r="G1454" s="11" t="str">
        <x:v>Desk</x:v>
      </x:c>
      <x:c r="H1454" s="11" t="n">
        <x:v>5</x:v>
      </x:c>
      <x:c r="I1454" s="19" t="n">
        <x:v>0</x:v>
      </x:c>
      <x:c r="J1454" s="11" t="n">
        <x:v>0</x:v>
      </x:c>
      <x:c r="K1454" s="20" t="n">
        <x:v>1400</x:v>
      </x:c>
      <x:c r="L1454" s="20" t="n">
        <x:v>0</x:v>
      </x:c>
      <x:c r="M1454" s="20" t="n">
        <x:v>950</x:v>
      </x:c>
      <x:c r="N1454" s="20" t="n">
        <x:f>IF(J1454=1,0,K1454-L1454)</x:f>
        <x:v>1400</x:v>
      </x:c>
      <x:c r="O1454" s="20" t="n">
        <x:f>N1454-M1454</x:f>
        <x:v>450</x:v>
      </x:c>
    </x:row>
    <x:row r="1455" ht="22" customHeight="1">
      <x:c r="A1455" s="11" t="n">
        <x:v>1451</x:v>
      </x:c>
      <x:c r="B1455" s="11" t="n">
        <x:v>733</x:v>
      </x:c>
      <x:c r="C1455" s="18" t="n">
        <x:v>45883</x:v>
      </x:c>
      <x:c r="D1455" s="11" t="str">
        <x:v>2025-08</x:v>
      </x:c>
      <x:c r="E1455" s="11" t="str">
        <x:v>South</x:v>
      </x:c>
      <x:c r="F1455" s="11" t="str">
        <x:v>Furniture</x:v>
      </x:c>
      <x:c r="G1455" s="11" t="str">
        <x:v>Desk</x:v>
      </x:c>
      <x:c r="H1455" s="11" t="n">
        <x:v>3</x:v>
      </x:c>
      <x:c r="I1455" s="19" t="n">
        <x:v>0.05</x:v>
      </x:c>
      <x:c r="J1455" s="11" t="n">
        <x:v>0</x:v>
      </x:c>
      <x:c r="K1455" s="20" t="n">
        <x:v>840</x:v>
      </x:c>
      <x:c r="L1455" s="20" t="n">
        <x:v>42</x:v>
      </x:c>
      <x:c r="M1455" s="20" t="n">
        <x:v>570</x:v>
      </x:c>
      <x:c r="N1455" s="20" t="n">
        <x:f>IF(J1455=1,0,K1455-L1455)</x:f>
        <x:v>798</x:v>
      </x:c>
      <x:c r="O1455" s="20" t="n">
        <x:f>N1455-M1455</x:f>
        <x:v>228</x:v>
      </x:c>
    </x:row>
    <x:row r="1456" ht="22" customHeight="1">
      <x:c r="A1456" s="11" t="n">
        <x:v>1452</x:v>
      </x:c>
      <x:c r="B1456" s="11" t="n">
        <x:v>733</x:v>
      </x:c>
      <x:c r="C1456" s="18" t="n">
        <x:v>45883</x:v>
      </x:c>
      <x:c r="D1456" s="11" t="str">
        <x:v>2025-08</x:v>
      </x:c>
      <x:c r="E1456" s="11" t="str">
        <x:v>South</x:v>
      </x:c>
      <x:c r="F1456" s="11" t="str">
        <x:v>Technology</x:v>
      </x:c>
      <x:c r="G1456" s="11" t="str">
        <x:v>Keyboard</x:v>
      </x:c>
      <x:c r="H1456" s="11" t="n">
        <x:v>4</x:v>
      </x:c>
      <x:c r="I1456" s="19" t="n">
        <x:v>0.15</x:v>
      </x:c>
      <x:c r="J1456" s="11" t="n">
        <x:v>0</x:v>
      </x:c>
      <x:c r="K1456" s="20" t="n">
        <x:v>260</x:v>
      </x:c>
      <x:c r="L1456" s="20" t="n">
        <x:v>39</x:v>
      </x:c>
      <x:c r="M1456" s="20" t="n">
        <x:v>128</x:v>
      </x:c>
      <x:c r="N1456" s="20" t="n">
        <x:f>IF(J1456=1,0,K1456-L1456)</x:f>
        <x:v>221</x:v>
      </x:c>
      <x:c r="O1456" s="20" t="n">
        <x:f>N1456-M1456</x:f>
        <x:v>93</x:v>
      </x:c>
    </x:row>
    <x:row r="1457" ht="22" customHeight="1">
      <x:c r="A1457" s="11" t="n">
        <x:v>1453</x:v>
      </x:c>
      <x:c r="B1457" s="11" t="n">
        <x:v>733</x:v>
      </x:c>
      <x:c r="C1457" s="18" t="n">
        <x:v>45883</x:v>
      </x:c>
      <x:c r="D1457" s="11" t="str">
        <x:v>2025-08</x:v>
      </x:c>
      <x:c r="E1457" s="11" t="str">
        <x:v>South</x:v>
      </x:c>
      <x:c r="F1457" s="11" t="str">
        <x:v>Technology</x:v>
      </x:c>
      <x:c r="G1457" s="11" t="str">
        <x:v>Monitor</x:v>
      </x:c>
      <x:c r="H1457" s="11" t="n">
        <x:v>5</x:v>
      </x:c>
      <x:c r="I1457" s="19" t="n">
        <x:v>0</x:v>
      </x:c>
      <x:c r="J1457" s="11" t="n">
        <x:v>0</x:v>
      </x:c>
      <x:c r="K1457" s="20" t="n">
        <x:v>1200</x:v>
      </x:c>
      <x:c r="L1457" s="20" t="n">
        <x:v>0</x:v>
      </x:c>
      <x:c r="M1457" s="20" t="n">
        <x:v>800</x:v>
      </x:c>
      <x:c r="N1457" s="20" t="n">
        <x:f>IF(J1457=1,0,K1457-L1457)</x:f>
        <x:v>1200</x:v>
      </x:c>
      <x:c r="O1457" s="20" t="n">
        <x:f>N1457-M1457</x:f>
        <x:v>400</x:v>
      </x:c>
    </x:row>
    <x:row r="1458" ht="22" customHeight="1">
      <x:c r="A1458" s="11" t="n">
        <x:v>1454</x:v>
      </x:c>
      <x:c r="B1458" s="11" t="n">
        <x:v>734</x:v>
      </x:c>
      <x:c r="C1458" s="18" t="n">
        <x:v>45324</x:v>
      </x:c>
      <x:c r="D1458" s="11" t="str">
        <x:v>2024-02</x:v>
      </x:c>
      <x:c r="E1458" s="11" t="str">
        <x:v>East</x:v>
      </x:c>
      <x:c r="F1458" s="11" t="str">
        <x:v>Office Supplies</x:v>
      </x:c>
      <x:c r="G1458" s="11" t="str">
        <x:v>Notebook pack</x:v>
      </x:c>
      <x:c r="H1458" s="11" t="n">
        <x:v>5</x:v>
      </x:c>
      <x:c r="I1458" s="19" t="n">
        <x:v>0.15</x:v>
      </x:c>
      <x:c r="J1458" s="11" t="n">
        <x:v>0</x:v>
      </x:c>
      <x:c r="K1458" s="20" t="n">
        <x:v>90</x:v>
      </x:c>
      <x:c r="L1458" s="20" t="n">
        <x:v>13.5</x:v>
      </x:c>
      <x:c r="M1458" s="20" t="n">
        <x:v>35</x:v>
      </x:c>
      <x:c r="N1458" s="20" t="n">
        <x:f>IF(J1458=1,0,K1458-L1458)</x:f>
        <x:v>76.5</x:v>
      </x:c>
      <x:c r="O1458" s="20" t="n">
        <x:f>N1458-M1458</x:f>
        <x:v>41.5</x:v>
      </x:c>
    </x:row>
    <x:row r="1459" ht="22" customHeight="1">
      <x:c r="A1459" s="11" t="n">
        <x:v>1455</x:v>
      </x:c>
      <x:c r="B1459" s="11" t="n">
        <x:v>734</x:v>
      </x:c>
      <x:c r="C1459" s="18" t="n">
        <x:v>45324</x:v>
      </x:c>
      <x:c r="D1459" s="11" t="str">
        <x:v>2024-02</x:v>
      </x:c>
      <x:c r="E1459" s="11" t="str">
        <x:v>East</x:v>
      </x:c>
      <x:c r="F1459" s="11" t="str">
        <x:v>Office Supplies</x:v>
      </x:c>
      <x:c r="G1459" s="11" t="str">
        <x:v>Storage box</x:v>
      </x:c>
      <x:c r="H1459" s="11" t="n">
        <x:v>4</x:v>
      </x:c>
      <x:c r="I1459" s="19" t="n">
        <x:v>0</x:v>
      </x:c>
      <x:c r="J1459" s="11" t="n">
        <x:v>0</x:v>
      </x:c>
      <x:c r="K1459" s="20" t="n">
        <x:v>104</x:v>
      </x:c>
      <x:c r="L1459" s="20" t="n">
        <x:v>0</x:v>
      </x:c>
      <x:c r="M1459" s="20" t="n">
        <x:v>48</x:v>
      </x:c>
      <x:c r="N1459" s="20" t="n">
        <x:f>IF(J1459=1,0,K1459-L1459)</x:f>
        <x:v>104</x:v>
      </x:c>
      <x:c r="O1459" s="20" t="n">
        <x:f>N1459-M1459</x:f>
        <x:v>56</x:v>
      </x:c>
    </x:row>
    <x:row r="1460" ht="22" customHeight="1">
      <x:c r="A1460" s="11" t="n">
        <x:v>1456</x:v>
      </x:c>
      <x:c r="B1460" s="11" t="n">
        <x:v>735</x:v>
      </x:c>
      <x:c r="C1460" s="18" t="n">
        <x:v>45357</x:v>
      </x:c>
      <x:c r="D1460" s="11" t="str">
        <x:v>2024-03</x:v>
      </x:c>
      <x:c r="E1460" s="11" t="str">
        <x:v>East</x:v>
      </x:c>
      <x:c r="F1460" s="11" t="str">
        <x:v>Technology</x:v>
      </x:c>
      <x:c r="G1460" s="11" t="str">
        <x:v>Keyboard</x:v>
      </x:c>
      <x:c r="H1460" s="11" t="n">
        <x:v>1</x:v>
      </x:c>
      <x:c r="I1460" s="19" t="n">
        <x:v>0.05</x:v>
      </x:c>
      <x:c r="J1460" s="11" t="n">
        <x:v>0</x:v>
      </x:c>
      <x:c r="K1460" s="20" t="n">
        <x:v>65</x:v>
      </x:c>
      <x:c r="L1460" s="20" t="n">
        <x:v>3.25</x:v>
      </x:c>
      <x:c r="M1460" s="20" t="n">
        <x:v>32</x:v>
      </x:c>
      <x:c r="N1460" s="20" t="n">
        <x:f>IF(J1460=1,0,K1460-L1460)</x:f>
        <x:v>61.75</x:v>
      </x:c>
      <x:c r="O1460" s="20" t="n">
        <x:f>N1460-M1460</x:f>
        <x:v>29.75</x:v>
      </x:c>
    </x:row>
    <x:row r="1461" ht="22" customHeight="1">
      <x:c r="A1461" s="11" t="n">
        <x:v>1457</x:v>
      </x:c>
      <x:c r="B1461" s="11" t="n">
        <x:v>736</x:v>
      </x:c>
      <x:c r="C1461" s="18" t="n">
        <x:v>45754</x:v>
      </x:c>
      <x:c r="D1461" s="11" t="str">
        <x:v>2025-04</x:v>
      </x:c>
      <x:c r="E1461" s="11" t="str">
        <x:v>West</x:v>
      </x:c>
      <x:c r="F1461" s="11" t="str">
        <x:v>Furniture</x:v>
      </x:c>
      <x:c r="G1461" s="11" t="str">
        <x:v>Chair</x:v>
      </x:c>
      <x:c r="H1461" s="11" t="n">
        <x:v>1</x:v>
      </x:c>
      <x:c r="I1461" s="19" t="n">
        <x:v>0</x:v>
      </x:c>
      <x:c r="J1461" s="11" t="n">
        <x:v>1</x:v>
      </x:c>
      <x:c r="K1461" s="20" t="n">
        <x:v>170</x:v>
      </x:c>
      <x:c r="L1461" s="20" t="n">
        <x:v>0</x:v>
      </x:c>
      <x:c r="M1461" s="20" t="n">
        <x:v>0</x:v>
      </x:c>
      <x:c r="N1461" s="20" t="n">
        <x:f>IF(J1461=1,0,K1461-L1461)</x:f>
        <x:v>0</x:v>
      </x:c>
      <x:c r="O1461" s="20" t="n">
        <x:f>N1461-M1461</x:f>
        <x:v>0</x:v>
      </x:c>
    </x:row>
    <x:row r="1462" ht="22" customHeight="1">
      <x:c r="A1462" s="11" t="n">
        <x:v>1458</x:v>
      </x:c>
      <x:c r="B1462" s="11" t="n">
        <x:v>737</x:v>
      </x:c>
      <x:c r="C1462" s="18" t="n">
        <x:v>45997</x:v>
      </x:c>
      <x:c r="D1462" s="11" t="str">
        <x:v>2025-12</x:v>
      </x:c>
      <x:c r="E1462" s="11" t="str">
        <x:v>Central</x:v>
      </x:c>
      <x:c r="F1462" s="11" t="str">
        <x:v>Furniture</x:v>
      </x:c>
      <x:c r="G1462" s="11" t="str">
        <x:v>Chair</x:v>
      </x:c>
      <x:c r="H1462" s="11" t="n">
        <x:v>2</x:v>
      </x:c>
      <x:c r="I1462" s="19" t="n">
        <x:v>0</x:v>
      </x:c>
      <x:c r="J1462" s="11" t="n">
        <x:v>0</x:v>
      </x:c>
      <x:c r="K1462" s="20" t="n">
        <x:v>340</x:v>
      </x:c>
      <x:c r="L1462" s="20" t="n">
        <x:v>0</x:v>
      </x:c>
      <x:c r="M1462" s="20" t="n">
        <x:v>220</x:v>
      </x:c>
      <x:c r="N1462" s="20" t="n">
        <x:f>IF(J1462=1,0,K1462-L1462)</x:f>
        <x:v>340</x:v>
      </x:c>
      <x:c r="O1462" s="20" t="n">
        <x:f>N1462-M1462</x:f>
        <x:v>120</x:v>
      </x:c>
    </x:row>
    <x:row r="1463" ht="22" customHeight="1">
      <x:c r="A1463" s="11" t="n">
        <x:v>1459</x:v>
      </x:c>
      <x:c r="B1463" s="11" t="n">
        <x:v>738</x:v>
      </x:c>
      <x:c r="C1463" s="18" t="n">
        <x:v>45687</x:v>
      </x:c>
      <x:c r="D1463" s="11" t="str">
        <x:v>2025-01</x:v>
      </x:c>
      <x:c r="E1463" s="11" t="str">
        <x:v>South</x:v>
      </x:c>
      <x:c r="F1463" s="11" t="str">
        <x:v>Technology</x:v>
      </x:c>
      <x:c r="G1463" s="11" t="str">
        <x:v>Monitor</x:v>
      </x:c>
      <x:c r="H1463" s="11" t="n">
        <x:v>5</x:v>
      </x:c>
      <x:c r="I1463" s="19" t="n">
        <x:v>0</x:v>
      </x:c>
      <x:c r="J1463" s="11" t="n">
        <x:v>0</x:v>
      </x:c>
      <x:c r="K1463" s="20" t="n">
        <x:v>1200</x:v>
      </x:c>
      <x:c r="L1463" s="20" t="n">
        <x:v>0</x:v>
      </x:c>
      <x:c r="M1463" s="20" t="n">
        <x:v>800</x:v>
      </x:c>
      <x:c r="N1463" s="20" t="n">
        <x:f>IF(J1463=1,0,K1463-L1463)</x:f>
        <x:v>1200</x:v>
      </x:c>
      <x:c r="O1463" s="20" t="n">
        <x:f>N1463-M1463</x:f>
        <x:v>400</x:v>
      </x:c>
    </x:row>
    <x:row r="1464" ht="22" customHeight="1">
      <x:c r="A1464" s="11" t="n">
        <x:v>1460</x:v>
      </x:c>
      <x:c r="B1464" s="11" t="n">
        <x:v>739</x:v>
      </x:c>
      <x:c r="C1464" s="18" t="n">
        <x:v>45669</x:v>
      </x:c>
      <x:c r="D1464" s="11" t="str">
        <x:v>2025-01</x:v>
      </x:c>
      <x:c r="E1464" s="11" t="str">
        <x:v>West</x:v>
      </x:c>
      <x:c r="F1464" s="11" t="str">
        <x:v>Technology</x:v>
      </x:c>
      <x:c r="G1464" s="11" t="str">
        <x:v>Monitor</x:v>
      </x:c>
      <x:c r="H1464" s="11" t="n">
        <x:v>4</x:v>
      </x:c>
      <x:c r="I1464" s="19" t="n">
        <x:v>0.1</x:v>
      </x:c>
      <x:c r="J1464" s="11" t="n">
        <x:v>0</x:v>
      </x:c>
      <x:c r="K1464" s="20" t="n">
        <x:v>960</x:v>
      </x:c>
      <x:c r="L1464" s="20" t="n">
        <x:v>96</x:v>
      </x:c>
      <x:c r="M1464" s="20" t="n">
        <x:v>640</x:v>
      </x:c>
      <x:c r="N1464" s="20" t="n">
        <x:f>IF(J1464=1,0,K1464-L1464)</x:f>
        <x:v>864</x:v>
      </x:c>
      <x:c r="O1464" s="20" t="n">
        <x:f>N1464-M1464</x:f>
        <x:v>224</x:v>
      </x:c>
    </x:row>
    <x:row r="1465" ht="22" customHeight="1">
      <x:c r="A1465" s="11" t="n">
        <x:v>1461</x:v>
      </x:c>
      <x:c r="B1465" s="11" t="n">
        <x:v>740</x:v>
      </x:c>
      <x:c r="C1465" s="18" t="n">
        <x:v>45405</x:v>
      </x:c>
      <x:c r="D1465" s="11" t="str">
        <x:v>2024-04</x:v>
      </x:c>
      <x:c r="E1465" s="11" t="str">
        <x:v>West</x:v>
      </x:c>
      <x:c r="F1465" s="11" t="str">
        <x:v>Office Supplies</x:v>
      </x:c>
      <x:c r="G1465" s="11" t="str">
        <x:v>Storage box</x:v>
      </x:c>
      <x:c r="H1465" s="11" t="n">
        <x:v>4</x:v>
      </x:c>
      <x:c r="I1465" s="19" t="n">
        <x:v>0</x:v>
      </x:c>
      <x:c r="J1465" s="11" t="n">
        <x:v>0</x:v>
      </x:c>
      <x:c r="K1465" s="20" t="n">
        <x:v>104</x:v>
      </x:c>
      <x:c r="L1465" s="20" t="n">
        <x:v>0</x:v>
      </x:c>
      <x:c r="M1465" s="20" t="n">
        <x:v>48</x:v>
      </x:c>
      <x:c r="N1465" s="20" t="n">
        <x:f>IF(J1465=1,0,K1465-L1465)</x:f>
        <x:v>104</x:v>
      </x:c>
      <x:c r="O1465" s="20" t="n">
        <x:f>N1465-M1465</x:f>
        <x:v>56</x:v>
      </x:c>
    </x:row>
    <x:row r="1466" ht="22" customHeight="1">
      <x:c r="A1466" s="11" t="n">
        <x:v>1462</x:v>
      </x:c>
      <x:c r="B1466" s="11" t="n">
        <x:v>740</x:v>
      </x:c>
      <x:c r="C1466" s="18" t="n">
        <x:v>45405</x:v>
      </x:c>
      <x:c r="D1466" s="11" t="str">
        <x:v>2024-04</x:v>
      </x:c>
      <x:c r="E1466" s="11" t="str">
        <x:v>West</x:v>
      </x:c>
      <x:c r="F1466" s="11" t="str">
        <x:v>Furniture</x:v>
      </x:c>
      <x:c r="G1466" s="11" t="str">
        <x:v>Desk</x:v>
      </x:c>
      <x:c r="H1466" s="11" t="n">
        <x:v>2</x:v>
      </x:c>
      <x:c r="I1466" s="19" t="n">
        <x:v>0.1</x:v>
      </x:c>
      <x:c r="J1466" s="11" t="n">
        <x:v>0</x:v>
      </x:c>
      <x:c r="K1466" s="20" t="n">
        <x:v>560</x:v>
      </x:c>
      <x:c r="L1466" s="20" t="n">
        <x:v>56</x:v>
      </x:c>
      <x:c r="M1466" s="20" t="n">
        <x:v>380</x:v>
      </x:c>
      <x:c r="N1466" s="20" t="n">
        <x:f>IF(J1466=1,0,K1466-L1466)</x:f>
        <x:v>504</x:v>
      </x:c>
      <x:c r="O1466" s="20" t="n">
        <x:f>N1466-M1466</x:f>
        <x:v>124</x:v>
      </x:c>
    </x:row>
    <x:row r="1467" ht="22" customHeight="1">
      <x:c r="A1467" s="11" t="n">
        <x:v>1463</x:v>
      </x:c>
      <x:c r="B1467" s="11" t="n">
        <x:v>741</x:v>
      </x:c>
      <x:c r="C1467" s="18" t="n">
        <x:v>46018</x:v>
      </x:c>
      <x:c r="D1467" s="11" t="str">
        <x:v>2025-12</x:v>
      </x:c>
      <x:c r="E1467" s="11" t="str">
        <x:v>East</x:v>
      </x:c>
      <x:c r="F1467" s="11" t="str">
        <x:v>Office Supplies</x:v>
      </x:c>
      <x:c r="G1467" s="11" t="str">
        <x:v>Notebook pack</x:v>
      </x:c>
      <x:c r="H1467" s="11" t="n">
        <x:v>5</x:v>
      </x:c>
      <x:c r="I1467" s="19" t="n">
        <x:v>0.05</x:v>
      </x:c>
      <x:c r="J1467" s="11" t="n">
        <x:v>0</x:v>
      </x:c>
      <x:c r="K1467" s="20" t="n">
        <x:v>90</x:v>
      </x:c>
      <x:c r="L1467" s="20" t="n">
        <x:v>4.5</x:v>
      </x:c>
      <x:c r="M1467" s="20" t="n">
        <x:v>35</x:v>
      </x:c>
      <x:c r="N1467" s="20" t="n">
        <x:f>IF(J1467=1,0,K1467-L1467)</x:f>
        <x:v>85.5</x:v>
      </x:c>
      <x:c r="O1467" s="20" t="n">
        <x:f>N1467-M1467</x:f>
        <x:v>50.5</x:v>
      </x:c>
    </x:row>
    <x:row r="1468" ht="22" customHeight="1">
      <x:c r="A1468" s="11" t="n">
        <x:v>1464</x:v>
      </x:c>
      <x:c r="B1468" s="11" t="n">
        <x:v>742</x:v>
      </x:c>
      <x:c r="C1468" s="18" t="n">
        <x:v>45806</x:v>
      </x:c>
      <x:c r="D1468" s="11" t="str">
        <x:v>2025-05</x:v>
      </x:c>
      <x:c r="E1468" s="11" t="str">
        <x:v>South</x:v>
      </x:c>
      <x:c r="F1468" s="11" t="str">
        <x:v>Furniture</x:v>
      </x:c>
      <x:c r="G1468" s="11" t="str">
        <x:v>Chair</x:v>
      </x:c>
      <x:c r="H1468" s="11" t="n">
        <x:v>2</x:v>
      </x:c>
      <x:c r="I1468" s="19" t="n">
        <x:v>0.35</x:v>
      </x:c>
      <x:c r="J1468" s="11" t="n">
        <x:v>0</x:v>
      </x:c>
      <x:c r="K1468" s="20" t="n">
        <x:v>340</x:v>
      </x:c>
      <x:c r="L1468" s="20" t="n">
        <x:v>119</x:v>
      </x:c>
      <x:c r="M1468" s="20" t="n">
        <x:v>220</x:v>
      </x:c>
      <x:c r="N1468" s="20" t="n">
        <x:f>IF(J1468=1,0,K1468-L1468)</x:f>
        <x:v>221</x:v>
      </x:c>
      <x:c r="O1468" s="20" t="n">
        <x:f>N1468-M1468</x:f>
        <x:v>1</x:v>
      </x:c>
    </x:row>
    <x:row r="1469" ht="22" customHeight="1">
      <x:c r="A1469" s="11" t="n">
        <x:v>1465</x:v>
      </x:c>
      <x:c r="B1469" s="11" t="n">
        <x:v>742</x:v>
      </x:c>
      <x:c r="C1469" s="18" t="n">
        <x:v>45806</x:v>
      </x:c>
      <x:c r="D1469" s="11" t="str">
        <x:v>2025-05</x:v>
      </x:c>
      <x:c r="E1469" s="11" t="str">
        <x:v>South</x:v>
      </x:c>
      <x:c r="F1469" s="11" t="str">
        <x:v>Furniture</x:v>
      </x:c>
      <x:c r="G1469" s="11" t="str">
        <x:v>Desk</x:v>
      </x:c>
      <x:c r="H1469" s="11" t="n">
        <x:v>4</x:v>
      </x:c>
      <x:c r="I1469" s="19" t="n">
        <x:v>0.05</x:v>
      </x:c>
      <x:c r="J1469" s="11" t="n">
        <x:v>0</x:v>
      </x:c>
      <x:c r="K1469" s="20" t="n">
        <x:v>1120</x:v>
      </x:c>
      <x:c r="L1469" s="20" t="n">
        <x:v>56</x:v>
      </x:c>
      <x:c r="M1469" s="20" t="n">
        <x:v>760</x:v>
      </x:c>
      <x:c r="N1469" s="20" t="n">
        <x:f>IF(J1469=1,0,K1469-L1469)</x:f>
        <x:v>1064</x:v>
      </x:c>
      <x:c r="O1469" s="20" t="n">
        <x:f>N1469-M1469</x:f>
        <x:v>304</x:v>
      </x:c>
    </x:row>
    <x:row r="1470" ht="22" customHeight="1">
      <x:c r="A1470" s="11" t="n">
        <x:v>1466</x:v>
      </x:c>
      <x:c r="B1470" s="11" t="n">
        <x:v>743</x:v>
      </x:c>
      <x:c r="C1470" s="18" t="n">
        <x:v>45874</x:v>
      </x:c>
      <x:c r="D1470" s="11" t="str">
        <x:v>2025-08</x:v>
      </x:c>
      <x:c r="E1470" s="11" t="str">
        <x:v>West</x:v>
      </x:c>
      <x:c r="F1470" s="11" t="str">
        <x:v>Office Supplies</x:v>
      </x:c>
      <x:c r="G1470" s="11" t="str">
        <x:v>Notebook pack</x:v>
      </x:c>
      <x:c r="H1470" s="11" t="n">
        <x:v>1</x:v>
      </x:c>
      <x:c r="I1470" s="19" t="n">
        <x:v>0.05</x:v>
      </x:c>
      <x:c r="J1470" s="11" t="n">
        <x:v>0</x:v>
      </x:c>
      <x:c r="K1470" s="20" t="n">
        <x:v>18</x:v>
      </x:c>
      <x:c r="L1470" s="20" t="n">
        <x:v>0.9</x:v>
      </x:c>
      <x:c r="M1470" s="20" t="n">
        <x:v>7</x:v>
      </x:c>
      <x:c r="N1470" s="20" t="n">
        <x:f>IF(J1470=1,0,K1470-L1470)</x:f>
        <x:v>17.1</x:v>
      </x:c>
      <x:c r="O1470" s="20" t="n">
        <x:f>N1470-M1470</x:f>
        <x:v>10.100000000000001</x:v>
      </x:c>
    </x:row>
    <x:row r="1471" ht="22" customHeight="1">
      <x:c r="A1471" s="11" t="n">
        <x:v>1467</x:v>
      </x:c>
      <x:c r="B1471" s="11" t="n">
        <x:v>743</x:v>
      </x:c>
      <x:c r="C1471" s="18" t="n">
        <x:v>45874</x:v>
      </x:c>
      <x:c r="D1471" s="11" t="str">
        <x:v>2025-08</x:v>
      </x:c>
      <x:c r="E1471" s="11" t="str">
        <x:v>West</x:v>
      </x:c>
      <x:c r="F1471" s="11" t="str">
        <x:v>Furniture</x:v>
      </x:c>
      <x:c r="G1471" s="11" t="str">
        <x:v>Desk</x:v>
      </x:c>
      <x:c r="H1471" s="11" t="n">
        <x:v>4</x:v>
      </x:c>
      <x:c r="I1471" s="19" t="n">
        <x:v>0.15</x:v>
      </x:c>
      <x:c r="J1471" s="11" t="n">
        <x:v>0</x:v>
      </x:c>
      <x:c r="K1471" s="20" t="n">
        <x:v>1120</x:v>
      </x:c>
      <x:c r="L1471" s="20" t="n">
        <x:v>168</x:v>
      </x:c>
      <x:c r="M1471" s="20" t="n">
        <x:v>760</x:v>
      </x:c>
      <x:c r="N1471" s="20" t="n">
        <x:f>IF(J1471=1,0,K1471-L1471)</x:f>
        <x:v>952</x:v>
      </x:c>
      <x:c r="O1471" s="20" t="n">
        <x:f>N1471-M1471</x:f>
        <x:v>192</x:v>
      </x:c>
    </x:row>
    <x:row r="1472" ht="22" customHeight="1">
      <x:c r="A1472" s="11" t="n">
        <x:v>1468</x:v>
      </x:c>
      <x:c r="B1472" s="11" t="n">
        <x:v>744</x:v>
      </x:c>
      <x:c r="C1472" s="18" t="n">
        <x:v>46020</x:v>
      </x:c>
      <x:c r="D1472" s="11" t="str">
        <x:v>2025-12</x:v>
      </x:c>
      <x:c r="E1472" s="11" t="str">
        <x:v>Central</x:v>
      </x:c>
      <x:c r="F1472" s="11" t="str">
        <x:v>Furniture</x:v>
      </x:c>
      <x:c r="G1472" s="11" t="str">
        <x:v>Chair</x:v>
      </x:c>
      <x:c r="H1472" s="11" t="n">
        <x:v>2</x:v>
      </x:c>
      <x:c r="I1472" s="19" t="n">
        <x:v>0.25</x:v>
      </x:c>
      <x:c r="J1472" s="11" t="n">
        <x:v>0</x:v>
      </x:c>
      <x:c r="K1472" s="20" t="n">
        <x:v>340</x:v>
      </x:c>
      <x:c r="L1472" s="20" t="n">
        <x:v>85</x:v>
      </x:c>
      <x:c r="M1472" s="20" t="n">
        <x:v>220</x:v>
      </x:c>
      <x:c r="N1472" s="20" t="n">
        <x:f>IF(J1472=1,0,K1472-L1472)</x:f>
        <x:v>255</x:v>
      </x:c>
      <x:c r="O1472" s="20" t="n">
        <x:f>N1472-M1472</x:f>
        <x:v>35</x:v>
      </x:c>
    </x:row>
    <x:row r="1473" ht="22" customHeight="1">
      <x:c r="A1473" s="11" t="n">
        <x:v>1469</x:v>
      </x:c>
      <x:c r="B1473" s="11" t="n">
        <x:v>744</x:v>
      </x:c>
      <x:c r="C1473" s="18" t="n">
        <x:v>46020</x:v>
      </x:c>
      <x:c r="D1473" s="11" t="str">
        <x:v>2025-12</x:v>
      </x:c>
      <x:c r="E1473" s="11" t="str">
        <x:v>Central</x:v>
      </x:c>
      <x:c r="F1473" s="11" t="str">
        <x:v>Technology</x:v>
      </x:c>
      <x:c r="G1473" s="11" t="str">
        <x:v>Keyboard</x:v>
      </x:c>
      <x:c r="H1473" s="11" t="n">
        <x:v>2</x:v>
      </x:c>
      <x:c r="I1473" s="19" t="n">
        <x:v>0.15</x:v>
      </x:c>
      <x:c r="J1473" s="11" t="n">
        <x:v>0</x:v>
      </x:c>
      <x:c r="K1473" s="20" t="n">
        <x:v>130</x:v>
      </x:c>
      <x:c r="L1473" s="20" t="n">
        <x:v>19.5</x:v>
      </x:c>
      <x:c r="M1473" s="20" t="n">
        <x:v>64</x:v>
      </x:c>
      <x:c r="N1473" s="20" t="n">
        <x:f>IF(J1473=1,0,K1473-L1473)</x:f>
        <x:v>110.5</x:v>
      </x:c>
      <x:c r="O1473" s="20" t="n">
        <x:f>N1473-M1473</x:f>
        <x:v>46.5</x:v>
      </x:c>
    </x:row>
    <x:row r="1474" ht="22" customHeight="1">
      <x:c r="A1474" s="11" t="n">
        <x:v>1470</x:v>
      </x:c>
      <x:c r="B1474" s="11" t="n">
        <x:v>744</x:v>
      </x:c>
      <x:c r="C1474" s="18" t="n">
        <x:v>46020</x:v>
      </x:c>
      <x:c r="D1474" s="11" t="str">
        <x:v>2025-12</x:v>
      </x:c>
      <x:c r="E1474" s="11" t="str">
        <x:v>Central</x:v>
      </x:c>
      <x:c r="F1474" s="11" t="str">
        <x:v>Office Supplies</x:v>
      </x:c>
      <x:c r="G1474" s="11" t="str">
        <x:v>Storage box</x:v>
      </x:c>
      <x:c r="H1474" s="11" t="n">
        <x:v>1</x:v>
      </x:c>
      <x:c r="I1474" s="19" t="n">
        <x:v>0</x:v>
      </x:c>
      <x:c r="J1474" s="11" t="n">
        <x:v>0</x:v>
      </x:c>
      <x:c r="K1474" s="20" t="n">
        <x:v>26</x:v>
      </x:c>
      <x:c r="L1474" s="20" t="n">
        <x:v>0</x:v>
      </x:c>
      <x:c r="M1474" s="20" t="n">
        <x:v>12</x:v>
      </x:c>
      <x:c r="N1474" s="20" t="n">
        <x:f>IF(J1474=1,0,K1474-L1474)</x:f>
        <x:v>26</x:v>
      </x:c>
      <x:c r="O1474" s="20" t="n">
        <x:f>N1474-M1474</x:f>
        <x:v>14</x:v>
      </x:c>
    </x:row>
    <x:row r="1475" ht="22" customHeight="1">
      <x:c r="A1475" s="11" t="n">
        <x:v>1471</x:v>
      </x:c>
      <x:c r="B1475" s="11" t="n">
        <x:v>745</x:v>
      </x:c>
      <x:c r="C1475" s="18" t="n">
        <x:v>45453</x:v>
      </x:c>
      <x:c r="D1475" s="11" t="str">
        <x:v>2024-06</x:v>
      </x:c>
      <x:c r="E1475" s="11" t="str">
        <x:v>South</x:v>
      </x:c>
      <x:c r="F1475" s="11" t="str">
        <x:v>Furniture</x:v>
      </x:c>
      <x:c r="G1475" s="11" t="str">
        <x:v>Desk</x:v>
      </x:c>
      <x:c r="H1475" s="11" t="n">
        <x:v>4</x:v>
      </x:c>
      <x:c r="I1475" s="19" t="n">
        <x:v>0</x:v>
      </x:c>
      <x:c r="J1475" s="11" t="n">
        <x:v>0</x:v>
      </x:c>
      <x:c r="K1475" s="20" t="n">
        <x:v>1120</x:v>
      </x:c>
      <x:c r="L1475" s="20" t="n">
        <x:v>0</x:v>
      </x:c>
      <x:c r="M1475" s="20" t="n">
        <x:v>760</x:v>
      </x:c>
      <x:c r="N1475" s="20" t="n">
        <x:f>IF(J1475=1,0,K1475-L1475)</x:f>
        <x:v>1120</x:v>
      </x:c>
      <x:c r="O1475" s="20" t="n">
        <x:f>N1475-M1475</x:f>
        <x:v>360</x:v>
      </x:c>
    </x:row>
    <x:row r="1476" ht="22" customHeight="1">
      <x:c r="A1476" s="11" t="n">
        <x:v>1472</x:v>
      </x:c>
      <x:c r="B1476" s="11" t="n">
        <x:v>745</x:v>
      </x:c>
      <x:c r="C1476" s="18" t="n">
        <x:v>45453</x:v>
      </x:c>
      <x:c r="D1476" s="11" t="str">
        <x:v>2024-06</x:v>
      </x:c>
      <x:c r="E1476" s="11" t="str">
        <x:v>South</x:v>
      </x:c>
      <x:c r="F1476" s="11" t="str">
        <x:v>Furniture</x:v>
      </x:c>
      <x:c r="G1476" s="11" t="str">
        <x:v>Chair</x:v>
      </x:c>
      <x:c r="H1476" s="11" t="n">
        <x:v>1</x:v>
      </x:c>
      <x:c r="I1476" s="19" t="n">
        <x:v>0</x:v>
      </x:c>
      <x:c r="J1476" s="11" t="n">
        <x:v>0</x:v>
      </x:c>
      <x:c r="K1476" s="20" t="n">
        <x:v>170</x:v>
      </x:c>
      <x:c r="L1476" s="20" t="n">
        <x:v>0</x:v>
      </x:c>
      <x:c r="M1476" s="20" t="n">
        <x:v>110</x:v>
      </x:c>
      <x:c r="N1476" s="20" t="n">
        <x:f>IF(J1476=1,0,K1476-L1476)</x:f>
        <x:v>170</x:v>
      </x:c>
      <x:c r="O1476" s="20" t="n">
        <x:f>N1476-M1476</x:f>
        <x:v>60</x:v>
      </x:c>
    </x:row>
    <x:row r="1477" ht="22" customHeight="1">
      <x:c r="A1477" s="11" t="n">
        <x:v>1473</x:v>
      </x:c>
      <x:c r="B1477" s="11" t="n">
        <x:v>745</x:v>
      </x:c>
      <x:c r="C1477" s="18" t="n">
        <x:v>45453</x:v>
      </x:c>
      <x:c r="D1477" s="11" t="str">
        <x:v>2024-06</x:v>
      </x:c>
      <x:c r="E1477" s="11" t="str">
        <x:v>South</x:v>
      </x:c>
      <x:c r="F1477" s="11" t="str">
        <x:v>Technology</x:v>
      </x:c>
      <x:c r="G1477" s="11" t="str">
        <x:v>Keyboard</x:v>
      </x:c>
      <x:c r="H1477" s="11" t="n">
        <x:v>3</x:v>
      </x:c>
      <x:c r="I1477" s="19" t="n">
        <x:v>0.1</x:v>
      </x:c>
      <x:c r="J1477" s="11" t="n">
        <x:v>0</x:v>
      </x:c>
      <x:c r="K1477" s="20" t="n">
        <x:v>195</x:v>
      </x:c>
      <x:c r="L1477" s="20" t="n">
        <x:v>19.5</x:v>
      </x:c>
      <x:c r="M1477" s="20" t="n">
        <x:v>96</x:v>
      </x:c>
      <x:c r="N1477" s="20" t="n">
        <x:f>IF(J1477=1,0,K1477-L1477)</x:f>
        <x:v>175.5</x:v>
      </x:c>
      <x:c r="O1477" s="20" t="n">
        <x:f>N1477-M1477</x:f>
        <x:v>79.5</x:v>
      </x:c>
    </x:row>
    <x:row r="1478" ht="22" customHeight="1">
      <x:c r="A1478" s="11" t="n">
        <x:v>1474</x:v>
      </x:c>
      <x:c r="B1478" s="11" t="n">
        <x:v>746</x:v>
      </x:c>
      <x:c r="C1478" s="18" t="n">
        <x:v>45550</x:v>
      </x:c>
      <x:c r="D1478" s="11" t="str">
        <x:v>2024-09</x:v>
      </x:c>
      <x:c r="E1478" s="11" t="str">
        <x:v>Central</x:v>
      </x:c>
      <x:c r="F1478" s="11" t="str">
        <x:v>Furniture</x:v>
      </x:c>
      <x:c r="G1478" s="11" t="str">
        <x:v>Desk</x:v>
      </x:c>
      <x:c r="H1478" s="11" t="n">
        <x:v>4</x:v>
      </x:c>
      <x:c r="I1478" s="19" t="n">
        <x:v>0.25</x:v>
      </x:c>
      <x:c r="J1478" s="11" t="n">
        <x:v>0</x:v>
      </x:c>
      <x:c r="K1478" s="20" t="n">
        <x:v>1120</x:v>
      </x:c>
      <x:c r="L1478" s="20" t="n">
        <x:v>280</x:v>
      </x:c>
      <x:c r="M1478" s="20" t="n">
        <x:v>760</x:v>
      </x:c>
      <x:c r="N1478" s="20" t="n">
        <x:f>IF(J1478=1,0,K1478-L1478)</x:f>
        <x:v>840</x:v>
      </x:c>
      <x:c r="O1478" s="20" t="n">
        <x:f>N1478-M1478</x:f>
        <x:v>80</x:v>
      </x:c>
    </x:row>
    <x:row r="1479" ht="22" customHeight="1">
      <x:c r="A1479" s="11" t="n">
        <x:v>1475</x:v>
      </x:c>
      <x:c r="B1479" s="11" t="n">
        <x:v>746</x:v>
      </x:c>
      <x:c r="C1479" s="18" t="n">
        <x:v>45550</x:v>
      </x:c>
      <x:c r="D1479" s="11" t="str">
        <x:v>2024-09</x:v>
      </x:c>
      <x:c r="E1479" s="11" t="str">
        <x:v>Central</x:v>
      </x:c>
      <x:c r="F1479" s="11" t="str">
        <x:v>Office Supplies</x:v>
      </x:c>
      <x:c r="G1479" s="11" t="str">
        <x:v>Storage box</x:v>
      </x:c>
      <x:c r="H1479" s="11" t="n">
        <x:v>4</x:v>
      </x:c>
      <x:c r="I1479" s="19" t="n">
        <x:v>0</x:v>
      </x:c>
      <x:c r="J1479" s="11" t="n">
        <x:v>0</x:v>
      </x:c>
      <x:c r="K1479" s="20" t="n">
        <x:v>104</x:v>
      </x:c>
      <x:c r="L1479" s="20" t="n">
        <x:v>0</x:v>
      </x:c>
      <x:c r="M1479" s="20" t="n">
        <x:v>48</x:v>
      </x:c>
      <x:c r="N1479" s="20" t="n">
        <x:f>IF(J1479=1,0,K1479-L1479)</x:f>
        <x:v>104</x:v>
      </x:c>
      <x:c r="O1479" s="20" t="n">
        <x:f>N1479-M1479</x:f>
        <x:v>56</x:v>
      </x:c>
    </x:row>
    <x:row r="1480" ht="22" customHeight="1">
      <x:c r="A1480" s="11" t="n">
        <x:v>1476</x:v>
      </x:c>
      <x:c r="B1480" s="11" t="n">
        <x:v>747</x:v>
      </x:c>
      <x:c r="C1480" s="18" t="n">
        <x:v>45302</x:v>
      </x:c>
      <x:c r="D1480" s="11" t="str">
        <x:v>2024-01</x:v>
      </x:c>
      <x:c r="E1480" s="11" t="str">
        <x:v>West</x:v>
      </x:c>
      <x:c r="F1480" s="11" t="str">
        <x:v>Furniture</x:v>
      </x:c>
      <x:c r="G1480" s="11" t="str">
        <x:v>Chair</x:v>
      </x:c>
      <x:c r="H1480" s="11" t="n">
        <x:v>4</x:v>
      </x:c>
      <x:c r="I1480" s="19" t="n">
        <x:v>0.35</x:v>
      </x:c>
      <x:c r="J1480" s="11" t="n">
        <x:v>0</x:v>
      </x:c>
      <x:c r="K1480" s="20" t="n">
        <x:v>680</x:v>
      </x:c>
      <x:c r="L1480" s="20" t="n">
        <x:v>238</x:v>
      </x:c>
      <x:c r="M1480" s="20" t="n">
        <x:v>440</x:v>
      </x:c>
      <x:c r="N1480" s="20" t="n">
        <x:f>IF(J1480=1,0,K1480-L1480)</x:f>
        <x:v>442</x:v>
      </x:c>
      <x:c r="O1480" s="20" t="n">
        <x:f>N1480-M1480</x:f>
        <x:v>2</x:v>
      </x:c>
    </x:row>
    <x:row r="1481" ht="22" customHeight="1">
      <x:c r="A1481" s="11" t="n">
        <x:v>1477</x:v>
      </x:c>
      <x:c r="B1481" s="11" t="n">
        <x:v>747</x:v>
      </x:c>
      <x:c r="C1481" s="18" t="n">
        <x:v>45302</x:v>
      </x:c>
      <x:c r="D1481" s="11" t="str">
        <x:v>2024-01</x:v>
      </x:c>
      <x:c r="E1481" s="11" t="str">
        <x:v>West</x:v>
      </x:c>
      <x:c r="F1481" s="11" t="str">
        <x:v>Technology</x:v>
      </x:c>
      <x:c r="G1481" s="11" t="str">
        <x:v>Monitor</x:v>
      </x:c>
      <x:c r="H1481" s="11" t="n">
        <x:v>5</x:v>
      </x:c>
      <x:c r="I1481" s="19" t="n">
        <x:v>0</x:v>
      </x:c>
      <x:c r="J1481" s="11" t="n">
        <x:v>0</x:v>
      </x:c>
      <x:c r="K1481" s="20" t="n">
        <x:v>1200</x:v>
      </x:c>
      <x:c r="L1481" s="20" t="n">
        <x:v>0</x:v>
      </x:c>
      <x:c r="M1481" s="20" t="n">
        <x:v>800</x:v>
      </x:c>
      <x:c r="N1481" s="20" t="n">
        <x:f>IF(J1481=1,0,K1481-L1481)</x:f>
        <x:v>1200</x:v>
      </x:c>
      <x:c r="O1481" s="20" t="n">
        <x:f>N1481-M1481</x:f>
        <x:v>400</x:v>
      </x:c>
    </x:row>
    <x:row r="1482" ht="22" customHeight="1">
      <x:c r="A1482" s="11" t="n">
        <x:v>1478</x:v>
      </x:c>
      <x:c r="B1482" s="11" t="n">
        <x:v>747</x:v>
      </x:c>
      <x:c r="C1482" s="18" t="n">
        <x:v>45302</x:v>
      </x:c>
      <x:c r="D1482" s="11" t="str">
        <x:v>2024-01</x:v>
      </x:c>
      <x:c r="E1482" s="11" t="str">
        <x:v>West</x:v>
      </x:c>
      <x:c r="F1482" s="11" t="str">
        <x:v>Technology</x:v>
      </x:c>
      <x:c r="G1482" s="11" t="str">
        <x:v>Keyboard</x:v>
      </x:c>
      <x:c r="H1482" s="11" t="n">
        <x:v>4</x:v>
      </x:c>
      <x:c r="I1482" s="19" t="n">
        <x:v>0</x:v>
      </x:c>
      <x:c r="J1482" s="11" t="n">
        <x:v>0</x:v>
      </x:c>
      <x:c r="K1482" s="20" t="n">
        <x:v>260</x:v>
      </x:c>
      <x:c r="L1482" s="20" t="n">
        <x:v>0</x:v>
      </x:c>
      <x:c r="M1482" s="20" t="n">
        <x:v>128</x:v>
      </x:c>
      <x:c r="N1482" s="20" t="n">
        <x:f>IF(J1482=1,0,K1482-L1482)</x:f>
        <x:v>260</x:v>
      </x:c>
      <x:c r="O1482" s="20" t="n">
        <x:f>N1482-M1482</x:f>
        <x:v>132</x:v>
      </x:c>
    </x:row>
    <x:row r="1483" ht="22" customHeight="1">
      <x:c r="A1483" s="11" t="n">
        <x:v>1479</x:v>
      </x:c>
      <x:c r="B1483" s="11" t="n">
        <x:v>748</x:v>
      </x:c>
      <x:c r="C1483" s="18" t="n">
        <x:v>45577</x:v>
      </x:c>
      <x:c r="D1483" s="11" t="str">
        <x:v>2024-10</x:v>
      </x:c>
      <x:c r="E1483" s="11" t="str">
        <x:v>Central</x:v>
      </x:c>
      <x:c r="F1483" s="11" t="str">
        <x:v>Office Supplies</x:v>
      </x:c>
      <x:c r="G1483" s="11" t="str">
        <x:v>Notebook pack</x:v>
      </x:c>
      <x:c r="H1483" s="11" t="n">
        <x:v>1</x:v>
      </x:c>
      <x:c r="I1483" s="19" t="n">
        <x:v>0</x:v>
      </x:c>
      <x:c r="J1483" s="11" t="n">
        <x:v>0</x:v>
      </x:c>
      <x:c r="K1483" s="20" t="n">
        <x:v>18</x:v>
      </x:c>
      <x:c r="L1483" s="20" t="n">
        <x:v>0</x:v>
      </x:c>
      <x:c r="M1483" s="20" t="n">
        <x:v>7</x:v>
      </x:c>
      <x:c r="N1483" s="20" t="n">
        <x:f>IF(J1483=1,0,K1483-L1483)</x:f>
        <x:v>18</x:v>
      </x:c>
      <x:c r="O1483" s="20" t="n">
        <x:f>N1483-M1483</x:f>
        <x:v>11</x:v>
      </x:c>
    </x:row>
    <x:row r="1484" ht="22" customHeight="1">
      <x:c r="A1484" s="11" t="n">
        <x:v>1480</x:v>
      </x:c>
      <x:c r="B1484" s="11" t="n">
        <x:v>749</x:v>
      </x:c>
      <x:c r="C1484" s="18" t="n">
        <x:v>45839</x:v>
      </x:c>
      <x:c r="D1484" s="11" t="str">
        <x:v>2025-07</x:v>
      </x:c>
      <x:c r="E1484" s="11" t="str">
        <x:v>Central</x:v>
      </x:c>
      <x:c r="F1484" s="11" t="str">
        <x:v>Furniture</x:v>
      </x:c>
      <x:c r="G1484" s="11" t="str">
        <x:v>Desk</x:v>
      </x:c>
      <x:c r="H1484" s="11" t="n">
        <x:v>1</x:v>
      </x:c>
      <x:c r="I1484" s="19" t="n">
        <x:v>0.1</x:v>
      </x:c>
      <x:c r="J1484" s="11" t="n">
        <x:v>0</x:v>
      </x:c>
      <x:c r="K1484" s="20" t="n">
        <x:v>280</x:v>
      </x:c>
      <x:c r="L1484" s="20" t="n">
        <x:v>28</x:v>
      </x:c>
      <x:c r="M1484" s="20" t="n">
        <x:v>190</x:v>
      </x:c>
      <x:c r="N1484" s="20" t="n">
        <x:f>IF(J1484=1,0,K1484-L1484)</x:f>
        <x:v>252</x:v>
      </x:c>
      <x:c r="O1484" s="20" t="n">
        <x:f>N1484-M1484</x:f>
        <x:v>62</x:v>
      </x:c>
    </x:row>
    <x:row r="1485" ht="22" customHeight="1">
      <x:c r="A1485" s="11" t="n">
        <x:v>1481</x:v>
      </x:c>
      <x:c r="B1485" s="11" t="n">
        <x:v>750</x:v>
      </x:c>
      <x:c r="C1485" s="18" t="n">
        <x:v>45658</x:v>
      </x:c>
      <x:c r="D1485" s="11" t="str">
        <x:v>2025-01</x:v>
      </x:c>
      <x:c r="E1485" s="11" t="str">
        <x:v>West</x:v>
      </x:c>
      <x:c r="F1485" s="11" t="str">
        <x:v>Furniture</x:v>
      </x:c>
      <x:c r="G1485" s="11" t="str">
        <x:v>Desk</x:v>
      </x:c>
      <x:c r="H1485" s="11" t="n">
        <x:v>4</x:v>
      </x:c>
      <x:c r="I1485" s="19" t="n">
        <x:v>0</x:v>
      </x:c>
      <x:c r="J1485" s="11" t="n">
        <x:v>0</x:v>
      </x:c>
      <x:c r="K1485" s="20" t="n">
        <x:v>1120</x:v>
      </x:c>
      <x:c r="L1485" s="20" t="n">
        <x:v>0</x:v>
      </x:c>
      <x:c r="M1485" s="20" t="n">
        <x:v>760</x:v>
      </x:c>
      <x:c r="N1485" s="20" t="n">
        <x:f>IF(J1485=1,0,K1485-L1485)</x:f>
        <x:v>1120</x:v>
      </x:c>
      <x:c r="O1485" s="20" t="n">
        <x:f>N1485-M1485</x:f>
        <x:v>360</x:v>
      </x:c>
    </x:row>
    <x:row r="1486" ht="22" customHeight="1">
      <x:c r="A1486" s="11" t="n">
        <x:v>1482</x:v>
      </x:c>
      <x:c r="B1486" s="11" t="n">
        <x:v>750</x:v>
      </x:c>
      <x:c r="C1486" s="18" t="n">
        <x:v>45658</x:v>
      </x:c>
      <x:c r="D1486" s="11" t="str">
        <x:v>2025-01</x:v>
      </x:c>
      <x:c r="E1486" s="11" t="str">
        <x:v>West</x:v>
      </x:c>
      <x:c r="F1486" s="11" t="str">
        <x:v>Office Supplies</x:v>
      </x:c>
      <x:c r="G1486" s="11" t="str">
        <x:v>Notebook pack</x:v>
      </x:c>
      <x:c r="H1486" s="11" t="n">
        <x:v>5</x:v>
      </x:c>
      <x:c r="I1486" s="19" t="n">
        <x:v>0</x:v>
      </x:c>
      <x:c r="J1486" s="11" t="n">
        <x:v>0</x:v>
      </x:c>
      <x:c r="K1486" s="20" t="n">
        <x:v>90</x:v>
      </x:c>
      <x:c r="L1486" s="20" t="n">
        <x:v>0</x:v>
      </x:c>
      <x:c r="M1486" s="20" t="n">
        <x:v>35</x:v>
      </x:c>
      <x:c r="N1486" s="20" t="n">
        <x:f>IF(J1486=1,0,K1486-L1486)</x:f>
        <x:v>90</x:v>
      </x:c>
      <x:c r="O1486" s="20" t="n">
        <x:f>N1486-M1486</x:f>
        <x:v>55</x:v>
      </x:c>
    </x:row>
    <x:row r="1487" ht="22" customHeight="1">
      <x:c r="A1487" s="11" t="n">
        <x:v>1483</x:v>
      </x:c>
      <x:c r="B1487" s="11" t="n">
        <x:v>750</x:v>
      </x:c>
      <x:c r="C1487" s="18" t="n">
        <x:v>45658</x:v>
      </x:c>
      <x:c r="D1487" s="11" t="str">
        <x:v>2025-01</x:v>
      </x:c>
      <x:c r="E1487" s="11" t="str">
        <x:v>West</x:v>
      </x:c>
      <x:c r="F1487" s="11" t="str">
        <x:v>Furniture</x:v>
      </x:c>
      <x:c r="G1487" s="11" t="str">
        <x:v>Chair</x:v>
      </x:c>
      <x:c r="H1487" s="11" t="n">
        <x:v>3</x:v>
      </x:c>
      <x:c r="I1487" s="19" t="n">
        <x:v>0.35</x:v>
      </x:c>
      <x:c r="J1487" s="11" t="n">
        <x:v>1</x:v>
      </x:c>
      <x:c r="K1487" s="20" t="n">
        <x:v>510</x:v>
      </x:c>
      <x:c r="L1487" s="20" t="n">
        <x:v>178.5</x:v>
      </x:c>
      <x:c r="M1487" s="20" t="n">
        <x:v>0</x:v>
      </x:c>
      <x:c r="N1487" s="20" t="n">
        <x:f>IF(J1487=1,0,K1487-L1487)</x:f>
        <x:v>0</x:v>
      </x:c>
      <x:c r="O1487" s="20" t="n">
        <x:f>N1487-M1487</x:f>
        <x:v>0</x:v>
      </x:c>
    </x:row>
    <x:row r="1488" ht="22" customHeight="1">
      <x:c r="A1488" s="11" t="n">
        <x:v>1484</x:v>
      </x:c>
      <x:c r="B1488" s="11" t="n">
        <x:v>751</x:v>
      </x:c>
      <x:c r="C1488" s="18" t="n">
        <x:v>45296</x:v>
      </x:c>
      <x:c r="D1488" s="11" t="str">
        <x:v>2024-01</x:v>
      </x:c>
      <x:c r="E1488" s="11" t="str">
        <x:v>Central</x:v>
      </x:c>
      <x:c r="F1488" s="11" t="str">
        <x:v>Furniture</x:v>
      </x:c>
      <x:c r="G1488" s="11" t="str">
        <x:v>Chair</x:v>
      </x:c>
      <x:c r="H1488" s="11" t="n">
        <x:v>3</x:v>
      </x:c>
      <x:c r="I1488" s="19" t="n">
        <x:v>0.05</x:v>
      </x:c>
      <x:c r="J1488" s="11" t="n">
        <x:v>0</x:v>
      </x:c>
      <x:c r="K1488" s="20" t="n">
        <x:v>510</x:v>
      </x:c>
      <x:c r="L1488" s="20" t="n">
        <x:v>25.5</x:v>
      </x:c>
      <x:c r="M1488" s="20" t="n">
        <x:v>330</x:v>
      </x:c>
      <x:c r="N1488" s="20" t="n">
        <x:f>IF(J1488=1,0,K1488-L1488)</x:f>
        <x:v>484.5</x:v>
      </x:c>
      <x:c r="O1488" s="20" t="n">
        <x:f>N1488-M1488</x:f>
        <x:v>154.5</x:v>
      </x:c>
    </x:row>
    <x:row r="1489" ht="22" customHeight="1">
      <x:c r="A1489" s="11" t="n">
        <x:v>1485</x:v>
      </x:c>
      <x:c r="B1489" s="11" t="n">
        <x:v>752</x:v>
      </x:c>
      <x:c r="C1489" s="18" t="n">
        <x:v>45308</x:v>
      </x:c>
      <x:c r="D1489" s="11" t="str">
        <x:v>2024-01</x:v>
      </x:c>
      <x:c r="E1489" s="11" t="str">
        <x:v>South</x:v>
      </x:c>
      <x:c r="F1489" s="11" t="str">
        <x:v>Technology</x:v>
      </x:c>
      <x:c r="G1489" s="11" t="str">
        <x:v>Monitor</x:v>
      </x:c>
      <x:c r="H1489" s="11" t="n">
        <x:v>2</x:v>
      </x:c>
      <x:c r="I1489" s="19" t="n">
        <x:v>0</x:v>
      </x:c>
      <x:c r="J1489" s="11" t="n">
        <x:v>0</x:v>
      </x:c>
      <x:c r="K1489" s="20" t="n">
        <x:v>480</x:v>
      </x:c>
      <x:c r="L1489" s="20" t="n">
        <x:v>0</x:v>
      </x:c>
      <x:c r="M1489" s="20" t="n">
        <x:v>320</x:v>
      </x:c>
      <x:c r="N1489" s="20" t="n">
        <x:f>IF(J1489=1,0,K1489-L1489)</x:f>
        <x:v>480</x:v>
      </x:c>
      <x:c r="O1489" s="20" t="n">
        <x:f>N1489-M1489</x:f>
        <x:v>160</x:v>
      </x:c>
    </x:row>
    <x:row r="1490" ht="22" customHeight="1">
      <x:c r="A1490" s="11" t="n">
        <x:v>1486</x:v>
      </x:c>
      <x:c r="B1490" s="11" t="n">
        <x:v>753</x:v>
      </x:c>
      <x:c r="C1490" s="18" t="n">
        <x:v>45390</x:v>
      </x:c>
      <x:c r="D1490" s="11" t="str">
        <x:v>2024-04</x:v>
      </x:c>
      <x:c r="E1490" s="11" t="str">
        <x:v>East</x:v>
      </x:c>
      <x:c r="F1490" s="11" t="str">
        <x:v>Furniture</x:v>
      </x:c>
      <x:c r="G1490" s="11" t="str">
        <x:v>Chair</x:v>
      </x:c>
      <x:c r="H1490" s="11" t="n">
        <x:v>5</x:v>
      </x:c>
      <x:c r="I1490" s="19" t="n">
        <x:v>0</x:v>
      </x:c>
      <x:c r="J1490" s="11" t="n">
        <x:v>0</x:v>
      </x:c>
      <x:c r="K1490" s="20" t="n">
        <x:v>850</x:v>
      </x:c>
      <x:c r="L1490" s="20" t="n">
        <x:v>0</x:v>
      </x:c>
      <x:c r="M1490" s="20" t="n">
        <x:v>550</x:v>
      </x:c>
      <x:c r="N1490" s="20" t="n">
        <x:f>IF(J1490=1,0,K1490-L1490)</x:f>
        <x:v>850</x:v>
      </x:c>
      <x:c r="O1490" s="20" t="n">
        <x:f>N1490-M1490</x:f>
        <x:v>300</x:v>
      </x:c>
    </x:row>
    <x:row r="1491" ht="22" customHeight="1">
      <x:c r="A1491" s="11" t="n">
        <x:v>1487</x:v>
      </x:c>
      <x:c r="B1491" s="11" t="n">
        <x:v>753</x:v>
      </x:c>
      <x:c r="C1491" s="18" t="n">
        <x:v>45390</x:v>
      </x:c>
      <x:c r="D1491" s="11" t="str">
        <x:v>2024-04</x:v>
      </x:c>
      <x:c r="E1491" s="11" t="str">
        <x:v>East</x:v>
      </x:c>
      <x:c r="F1491" s="11" t="str">
        <x:v>Furniture</x:v>
      </x:c>
      <x:c r="G1491" s="11" t="str">
        <x:v>Desk</x:v>
      </x:c>
      <x:c r="H1491" s="11" t="n">
        <x:v>3</x:v>
      </x:c>
      <x:c r="I1491" s="19" t="n">
        <x:v>0.05</x:v>
      </x:c>
      <x:c r="J1491" s="11" t="n">
        <x:v>0</x:v>
      </x:c>
      <x:c r="K1491" s="20" t="n">
        <x:v>840</x:v>
      </x:c>
      <x:c r="L1491" s="20" t="n">
        <x:v>42</x:v>
      </x:c>
      <x:c r="M1491" s="20" t="n">
        <x:v>570</x:v>
      </x:c>
      <x:c r="N1491" s="20" t="n">
        <x:f>IF(J1491=1,0,K1491-L1491)</x:f>
        <x:v>798</x:v>
      </x:c>
      <x:c r="O1491" s="20" t="n">
        <x:f>N1491-M1491</x:f>
        <x:v>228</x:v>
      </x:c>
    </x:row>
    <x:row r="1492" ht="22" customHeight="1">
      <x:c r="A1492" s="11" t="n">
        <x:v>1488</x:v>
      </x:c>
      <x:c r="B1492" s="11" t="n">
        <x:v>753</x:v>
      </x:c>
      <x:c r="C1492" s="18" t="n">
        <x:v>45390</x:v>
      </x:c>
      <x:c r="D1492" s="11" t="str">
        <x:v>2024-04</x:v>
      </x:c>
      <x:c r="E1492" s="11" t="str">
        <x:v>East</x:v>
      </x:c>
      <x:c r="F1492" s="11" t="str">
        <x:v>Technology</x:v>
      </x:c>
      <x:c r="G1492" s="11" t="str">
        <x:v>Keyboard</x:v>
      </x:c>
      <x:c r="H1492" s="11" t="n">
        <x:v>5</x:v>
      </x:c>
      <x:c r="I1492" s="19" t="n">
        <x:v>0.1</x:v>
      </x:c>
      <x:c r="J1492" s="11" t="n">
        <x:v>0</x:v>
      </x:c>
      <x:c r="K1492" s="20" t="n">
        <x:v>325</x:v>
      </x:c>
      <x:c r="L1492" s="20" t="n">
        <x:v>32.5</x:v>
      </x:c>
      <x:c r="M1492" s="20" t="n">
        <x:v>160</x:v>
      </x:c>
      <x:c r="N1492" s="20" t="n">
        <x:f>IF(J1492=1,0,K1492-L1492)</x:f>
        <x:v>292.5</x:v>
      </x:c>
      <x:c r="O1492" s="20" t="n">
        <x:f>N1492-M1492</x:f>
        <x:v>132.5</x:v>
      </x:c>
    </x:row>
    <x:row r="1493" ht="22" customHeight="1">
      <x:c r="A1493" s="11" t="n">
        <x:v>1489</x:v>
      </x:c>
      <x:c r="B1493" s="11" t="n">
        <x:v>754</x:v>
      </x:c>
      <x:c r="C1493" s="18" t="n">
        <x:v>45415</x:v>
      </x:c>
      <x:c r="D1493" s="11" t="str">
        <x:v>2024-05</x:v>
      </x:c>
      <x:c r="E1493" s="11" t="str">
        <x:v>West</x:v>
      </x:c>
      <x:c r="F1493" s="11" t="str">
        <x:v>Technology</x:v>
      </x:c>
      <x:c r="G1493" s="11" t="str">
        <x:v>Monitor</x:v>
      </x:c>
      <x:c r="H1493" s="11" t="n">
        <x:v>3</x:v>
      </x:c>
      <x:c r="I1493" s="19" t="n">
        <x:v>0</x:v>
      </x:c>
      <x:c r="J1493" s="11" t="n">
        <x:v>1</x:v>
      </x:c>
      <x:c r="K1493" s="20" t="n">
        <x:v>720</x:v>
      </x:c>
      <x:c r="L1493" s="20" t="n">
        <x:v>0</x:v>
      </x:c>
      <x:c r="M1493" s="20" t="n">
        <x:v>0</x:v>
      </x:c>
      <x:c r="N1493" s="20" t="n">
        <x:f>IF(J1493=1,0,K1493-L1493)</x:f>
        <x:v>0</x:v>
      </x:c>
      <x:c r="O1493" s="20" t="n">
        <x:f>N1493-M1493</x:f>
        <x:v>0</x:v>
      </x:c>
    </x:row>
    <x:row r="1494" ht="22" customHeight="1">
      <x:c r="A1494" s="11" t="n">
        <x:v>1490</x:v>
      </x:c>
      <x:c r="B1494" s="11" t="n">
        <x:v>755</x:v>
      </x:c>
      <x:c r="C1494" s="18" t="n">
        <x:v>45961</x:v>
      </x:c>
      <x:c r="D1494" s="11" t="str">
        <x:v>2025-10</x:v>
      </x:c>
      <x:c r="E1494" s="11" t="str">
        <x:v>East</x:v>
      </x:c>
      <x:c r="F1494" s="11" t="str">
        <x:v>Furniture</x:v>
      </x:c>
      <x:c r="G1494" s="11" t="str">
        <x:v>Chair</x:v>
      </x:c>
      <x:c r="H1494" s="11" t="n">
        <x:v>2</x:v>
      </x:c>
      <x:c r="I1494" s="19" t="n">
        <x:v>0</x:v>
      </x:c>
      <x:c r="J1494" s="11" t="n">
        <x:v>0</x:v>
      </x:c>
      <x:c r="K1494" s="20" t="n">
        <x:v>340</x:v>
      </x:c>
      <x:c r="L1494" s="20" t="n">
        <x:v>0</x:v>
      </x:c>
      <x:c r="M1494" s="20" t="n">
        <x:v>220</x:v>
      </x:c>
      <x:c r="N1494" s="20" t="n">
        <x:f>IF(J1494=1,0,K1494-L1494)</x:f>
        <x:v>340</x:v>
      </x:c>
      <x:c r="O1494" s="20" t="n">
        <x:f>N1494-M1494</x:f>
        <x:v>120</x:v>
      </x:c>
    </x:row>
    <x:row r="1495" ht="22" customHeight="1">
      <x:c r="A1495" s="11" t="n">
        <x:v>1491</x:v>
      </x:c>
      <x:c r="B1495" s="11" t="n">
        <x:v>755</x:v>
      </x:c>
      <x:c r="C1495" s="18" t="n">
        <x:v>45961</x:v>
      </x:c>
      <x:c r="D1495" s="11" t="str">
        <x:v>2025-10</x:v>
      </x:c>
      <x:c r="E1495" s="11" t="str">
        <x:v>East</x:v>
      </x:c>
      <x:c r="F1495" s="11" t="str">
        <x:v>Technology</x:v>
      </x:c>
      <x:c r="G1495" s="11" t="str">
        <x:v>Keyboard</x:v>
      </x:c>
      <x:c r="H1495" s="11" t="n">
        <x:v>3</x:v>
      </x:c>
      <x:c r="I1495" s="19" t="n">
        <x:v>0.15</x:v>
      </x:c>
      <x:c r="J1495" s="11" t="n">
        <x:v>0</x:v>
      </x:c>
      <x:c r="K1495" s="20" t="n">
        <x:v>195</x:v>
      </x:c>
      <x:c r="L1495" s="20" t="n">
        <x:v>29.25</x:v>
      </x:c>
      <x:c r="M1495" s="20" t="n">
        <x:v>96</x:v>
      </x:c>
      <x:c r="N1495" s="20" t="n">
        <x:f>IF(J1495=1,0,K1495-L1495)</x:f>
        <x:v>165.75</x:v>
      </x:c>
      <x:c r="O1495" s="20" t="n">
        <x:f>N1495-M1495</x:f>
        <x:v>69.75</x:v>
      </x:c>
    </x:row>
    <x:row r="1496" ht="22" customHeight="1">
      <x:c r="A1496" s="11" t="n">
        <x:v>1492</x:v>
      </x:c>
      <x:c r="B1496" s="11" t="n">
        <x:v>756</x:v>
      </x:c>
      <x:c r="C1496" s="18" t="n">
        <x:v>45360</x:v>
      </x:c>
      <x:c r="D1496" s="11" t="str">
        <x:v>2024-03</x:v>
      </x:c>
      <x:c r="E1496" s="11" t="str">
        <x:v>West</x:v>
      </x:c>
      <x:c r="F1496" s="11" t="str">
        <x:v>Office Supplies</x:v>
      </x:c>
      <x:c r="G1496" s="11" t="str">
        <x:v>Notebook pack</x:v>
      </x:c>
      <x:c r="H1496" s="11" t="n">
        <x:v>1</x:v>
      </x:c>
      <x:c r="I1496" s="19" t="n">
        <x:v>0.15</x:v>
      </x:c>
      <x:c r="J1496" s="11" t="n">
        <x:v>0</x:v>
      </x:c>
      <x:c r="K1496" s="20" t="n">
        <x:v>18</x:v>
      </x:c>
      <x:c r="L1496" s="20" t="n">
        <x:v>2.7</x:v>
      </x:c>
      <x:c r="M1496" s="20" t="n">
        <x:v>7</x:v>
      </x:c>
      <x:c r="N1496" s="20" t="n">
        <x:f>IF(J1496=1,0,K1496-L1496)</x:f>
        <x:v>15.3</x:v>
      </x:c>
      <x:c r="O1496" s="20" t="n">
        <x:f>N1496-M1496</x:f>
        <x:v>8.3</x:v>
      </x:c>
    </x:row>
    <x:row r="1497" ht="22" customHeight="1">
      <x:c r="A1497" s="11" t="n">
        <x:v>1493</x:v>
      </x:c>
      <x:c r="B1497" s="11" t="n">
        <x:v>756</x:v>
      </x:c>
      <x:c r="C1497" s="18" t="n">
        <x:v>45360</x:v>
      </x:c>
      <x:c r="D1497" s="11" t="str">
        <x:v>2024-03</x:v>
      </x:c>
      <x:c r="E1497" s="11" t="str">
        <x:v>West</x:v>
      </x:c>
      <x:c r="F1497" s="11" t="str">
        <x:v>Technology</x:v>
      </x:c>
      <x:c r="G1497" s="11" t="str">
        <x:v>Keyboard</x:v>
      </x:c>
      <x:c r="H1497" s="11" t="n">
        <x:v>5</x:v>
      </x:c>
      <x:c r="I1497" s="19" t="n">
        <x:v>0</x:v>
      </x:c>
      <x:c r="J1497" s="11" t="n">
        <x:v>0</x:v>
      </x:c>
      <x:c r="K1497" s="20" t="n">
        <x:v>325</x:v>
      </x:c>
      <x:c r="L1497" s="20" t="n">
        <x:v>0</x:v>
      </x:c>
      <x:c r="M1497" s="20" t="n">
        <x:v>160</x:v>
      </x:c>
      <x:c r="N1497" s="20" t="n">
        <x:f>IF(J1497=1,0,K1497-L1497)</x:f>
        <x:v>325</x:v>
      </x:c>
      <x:c r="O1497" s="20" t="n">
        <x:f>N1497-M1497</x:f>
        <x:v>165</x:v>
      </x:c>
    </x:row>
    <x:row r="1498" ht="22" customHeight="1">
      <x:c r="A1498" s="11" t="n">
        <x:v>1494</x:v>
      </x:c>
      <x:c r="B1498" s="11" t="n">
        <x:v>757</x:v>
      </x:c>
      <x:c r="C1498" s="18" t="n">
        <x:v>45389</x:v>
      </x:c>
      <x:c r="D1498" s="11" t="str">
        <x:v>2024-04</x:v>
      </x:c>
      <x:c r="E1498" s="11" t="str">
        <x:v>West</x:v>
      </x:c>
      <x:c r="F1498" s="11" t="str">
        <x:v>Office Supplies</x:v>
      </x:c>
      <x:c r="G1498" s="11" t="str">
        <x:v>Storage box</x:v>
      </x:c>
      <x:c r="H1498" s="11" t="n">
        <x:v>3</x:v>
      </x:c>
      <x:c r="I1498" s="19" t="n">
        <x:v>0</x:v>
      </x:c>
      <x:c r="J1498" s="11" t="n">
        <x:v>0</x:v>
      </x:c>
      <x:c r="K1498" s="20" t="n">
        <x:v>78</x:v>
      </x:c>
      <x:c r="L1498" s="20" t="n">
        <x:v>0</x:v>
      </x:c>
      <x:c r="M1498" s="20" t="n">
        <x:v>36</x:v>
      </x:c>
      <x:c r="N1498" s="20" t="n">
        <x:f>IF(J1498=1,0,K1498-L1498)</x:f>
        <x:v>78</x:v>
      </x:c>
      <x:c r="O1498" s="20" t="n">
        <x:f>N1498-M1498</x:f>
        <x:v>42</x:v>
      </x:c>
    </x:row>
    <x:row r="1499" ht="22" customHeight="1">
      <x:c r="A1499" s="11" t="n">
        <x:v>1495</x:v>
      </x:c>
      <x:c r="B1499" s="11" t="n">
        <x:v>757</x:v>
      </x:c>
      <x:c r="C1499" s="18" t="n">
        <x:v>45389</x:v>
      </x:c>
      <x:c r="D1499" s="11" t="str">
        <x:v>2024-04</x:v>
      </x:c>
      <x:c r="E1499" s="11" t="str">
        <x:v>West</x:v>
      </x:c>
      <x:c r="F1499" s="11" t="str">
        <x:v>Technology</x:v>
      </x:c>
      <x:c r="G1499" s="11" t="str">
        <x:v>Keyboard</x:v>
      </x:c>
      <x:c r="H1499" s="11" t="n">
        <x:v>3</x:v>
      </x:c>
      <x:c r="I1499" s="19" t="n">
        <x:v>0.1</x:v>
      </x:c>
      <x:c r="J1499" s="11" t="n">
        <x:v>0</x:v>
      </x:c>
      <x:c r="K1499" s="20" t="n">
        <x:v>195</x:v>
      </x:c>
      <x:c r="L1499" s="20" t="n">
        <x:v>19.5</x:v>
      </x:c>
      <x:c r="M1499" s="20" t="n">
        <x:v>96</x:v>
      </x:c>
      <x:c r="N1499" s="20" t="n">
        <x:f>IF(J1499=1,0,K1499-L1499)</x:f>
        <x:v>175.5</x:v>
      </x:c>
      <x:c r="O1499" s="20" t="n">
        <x:f>N1499-M1499</x:f>
        <x:v>79.5</x:v>
      </x:c>
    </x:row>
    <x:row r="1500" ht="22" customHeight="1">
      <x:c r="A1500" s="11" t="n">
        <x:v>1496</x:v>
      </x:c>
      <x:c r="B1500" s="11" t="n">
        <x:v>757</x:v>
      </x:c>
      <x:c r="C1500" s="18" t="n">
        <x:v>45389</x:v>
      </x:c>
      <x:c r="D1500" s="11" t="str">
        <x:v>2024-04</x:v>
      </x:c>
      <x:c r="E1500" s="11" t="str">
        <x:v>West</x:v>
      </x:c>
      <x:c r="F1500" s="11" t="str">
        <x:v>Furniture</x:v>
      </x:c>
      <x:c r="G1500" s="11" t="str">
        <x:v>Chair</x:v>
      </x:c>
      <x:c r="H1500" s="11" t="n">
        <x:v>1</x:v>
      </x:c>
      <x:c r="I1500" s="19" t="n">
        <x:v>0.35</x:v>
      </x:c>
      <x:c r="J1500" s="11" t="n">
        <x:v>0</x:v>
      </x:c>
      <x:c r="K1500" s="20" t="n">
        <x:v>170</x:v>
      </x:c>
      <x:c r="L1500" s="20" t="n">
        <x:v>59.5</x:v>
      </x:c>
      <x:c r="M1500" s="20" t="n">
        <x:v>110</x:v>
      </x:c>
      <x:c r="N1500" s="20" t="n">
        <x:f>IF(J1500=1,0,K1500-L1500)</x:f>
        <x:v>110.5</x:v>
      </x:c>
      <x:c r="O1500" s="20" t="n">
        <x:f>N1500-M1500</x:f>
        <x:v>0.5</x:v>
      </x:c>
    </x:row>
    <x:row r="1501" ht="22" customHeight="1">
      <x:c r="A1501" s="11" t="n">
        <x:v>1497</x:v>
      </x:c>
      <x:c r="B1501" s="11" t="n">
        <x:v>758</x:v>
      </x:c>
      <x:c r="C1501" s="18" t="n">
        <x:v>45947</x:v>
      </x:c>
      <x:c r="D1501" s="11" t="str">
        <x:v>2025-10</x:v>
      </x:c>
      <x:c r="E1501" s="11" t="str">
        <x:v>Central</x:v>
      </x:c>
      <x:c r="F1501" s="11" t="str">
        <x:v>Office Supplies</x:v>
      </x:c>
      <x:c r="G1501" s="11" t="str">
        <x:v>Notebook pack</x:v>
      </x:c>
      <x:c r="H1501" s="11" t="n">
        <x:v>1</x:v>
      </x:c>
      <x:c r="I1501" s="19" t="n">
        <x:v>0.15</x:v>
      </x:c>
      <x:c r="J1501" s="11" t="n">
        <x:v>0</x:v>
      </x:c>
      <x:c r="K1501" s="20" t="n">
        <x:v>18</x:v>
      </x:c>
      <x:c r="L1501" s="20" t="n">
        <x:v>2.7</x:v>
      </x:c>
      <x:c r="M1501" s="20" t="n">
        <x:v>7</x:v>
      </x:c>
      <x:c r="N1501" s="20" t="n">
        <x:f>IF(J1501=1,0,K1501-L1501)</x:f>
        <x:v>15.3</x:v>
      </x:c>
      <x:c r="O1501" s="20" t="n">
        <x:f>N1501-M1501</x:f>
        <x:v>8.3</x:v>
      </x:c>
    </x:row>
    <x:row r="1502" ht="22" customHeight="1">
      <x:c r="A1502" s="11" t="n">
        <x:v>1498</x:v>
      </x:c>
      <x:c r="B1502" s="11" t="n">
        <x:v>758</x:v>
      </x:c>
      <x:c r="C1502" s="18" t="n">
        <x:v>45947</x:v>
      </x:c>
      <x:c r="D1502" s="11" t="str">
        <x:v>2025-10</x:v>
      </x:c>
      <x:c r="E1502" s="11" t="str">
        <x:v>Central</x:v>
      </x:c>
      <x:c r="F1502" s="11" t="str">
        <x:v>Furniture</x:v>
      </x:c>
      <x:c r="G1502" s="11" t="str">
        <x:v>Desk</x:v>
      </x:c>
      <x:c r="H1502" s="11" t="n">
        <x:v>1</x:v>
      </x:c>
      <x:c r="I1502" s="19" t="n">
        <x:v>0.1</x:v>
      </x:c>
      <x:c r="J1502" s="11" t="n">
        <x:v>0</x:v>
      </x:c>
      <x:c r="K1502" s="20" t="n">
        <x:v>280</x:v>
      </x:c>
      <x:c r="L1502" s="20" t="n">
        <x:v>28</x:v>
      </x:c>
      <x:c r="M1502" s="20" t="n">
        <x:v>190</x:v>
      </x:c>
      <x:c r="N1502" s="20" t="n">
        <x:f>IF(J1502=1,0,K1502-L1502)</x:f>
        <x:v>252</x:v>
      </x:c>
      <x:c r="O1502" s="20" t="n">
        <x:f>N1502-M1502</x:f>
        <x:v>62</x:v>
      </x:c>
    </x:row>
    <x:row r="1503" ht="22" customHeight="1">
      <x:c r="A1503" s="11" t="n">
        <x:v>1499</x:v>
      </x:c>
      <x:c r="B1503" s="11" t="n">
        <x:v>758</x:v>
      </x:c>
      <x:c r="C1503" s="18" t="n">
        <x:v>45947</x:v>
      </x:c>
      <x:c r="D1503" s="11" t="str">
        <x:v>2025-10</x:v>
      </x:c>
      <x:c r="E1503" s="11" t="str">
        <x:v>Central</x:v>
      </x:c>
      <x:c r="F1503" s="11" t="str">
        <x:v>Furniture</x:v>
      </x:c>
      <x:c r="G1503" s="11" t="str">
        <x:v>Chair</x:v>
      </x:c>
      <x:c r="H1503" s="11" t="n">
        <x:v>4</x:v>
      </x:c>
      <x:c r="I1503" s="19" t="n">
        <x:v>0.05</x:v>
      </x:c>
      <x:c r="J1503" s="11" t="n">
        <x:v>0</x:v>
      </x:c>
      <x:c r="K1503" s="20" t="n">
        <x:v>680</x:v>
      </x:c>
      <x:c r="L1503" s="20" t="n">
        <x:v>34</x:v>
      </x:c>
      <x:c r="M1503" s="20" t="n">
        <x:v>440</x:v>
      </x:c>
      <x:c r="N1503" s="20" t="n">
        <x:f>IF(J1503=1,0,K1503-L1503)</x:f>
        <x:v>646</x:v>
      </x:c>
      <x:c r="O1503" s="20" t="n">
        <x:f>N1503-M1503</x:f>
        <x:v>206</x:v>
      </x:c>
    </x:row>
    <x:row r="1504" ht="22" customHeight="1">
      <x:c r="A1504" s="11" t="n">
        <x:v>1500</x:v>
      </x:c>
      <x:c r="B1504" s="11" t="n">
        <x:v>759</x:v>
      </x:c>
      <x:c r="C1504" s="18" t="n">
        <x:v>45353</x:v>
      </x:c>
      <x:c r="D1504" s="11" t="str">
        <x:v>2024-03</x:v>
      </x:c>
      <x:c r="E1504" s="11" t="str">
        <x:v>East</x:v>
      </x:c>
      <x:c r="F1504" s="11" t="str">
        <x:v>Technology</x:v>
      </x:c>
      <x:c r="G1504" s="11" t="str">
        <x:v>Monitor</x:v>
      </x:c>
      <x:c r="H1504" s="11" t="n">
        <x:v>2</x:v>
      </x:c>
      <x:c r="I1504" s="19" t="n">
        <x:v>0.1</x:v>
      </x:c>
      <x:c r="J1504" s="11" t="n">
        <x:v>0</x:v>
      </x:c>
      <x:c r="K1504" s="20" t="n">
        <x:v>480</x:v>
      </x:c>
      <x:c r="L1504" s="20" t="n">
        <x:v>48</x:v>
      </x:c>
      <x:c r="M1504" s="20" t="n">
        <x:v>320</x:v>
      </x:c>
      <x:c r="N1504" s="20" t="n">
        <x:f>IF(J1504=1,0,K1504-L1504)</x:f>
        <x:v>432</x:v>
      </x:c>
      <x:c r="O1504" s="20" t="n">
        <x:f>N1504-M1504</x:f>
        <x:v>112</x:v>
      </x:c>
    </x:row>
    <x:row r="1505" ht="22" customHeight="1">
      <x:c r="A1505" s="11" t="n">
        <x:v>1501</x:v>
      </x:c>
      <x:c r="B1505" s="11" t="n">
        <x:v>759</x:v>
      </x:c>
      <x:c r="C1505" s="18" t="n">
        <x:v>45353</x:v>
      </x:c>
      <x:c r="D1505" s="11" t="str">
        <x:v>2024-03</x:v>
      </x:c>
      <x:c r="E1505" s="11" t="str">
        <x:v>East</x:v>
      </x:c>
      <x:c r="F1505" s="11" t="str">
        <x:v>Furniture</x:v>
      </x:c>
      <x:c r="G1505" s="11" t="str">
        <x:v>Chair</x:v>
      </x:c>
      <x:c r="H1505" s="11" t="n">
        <x:v>1</x:v>
      </x:c>
      <x:c r="I1505" s="19" t="n">
        <x:v>0.05</x:v>
      </x:c>
      <x:c r="J1505" s="11" t="n">
        <x:v>0</x:v>
      </x:c>
      <x:c r="K1505" s="20" t="n">
        <x:v>170</x:v>
      </x:c>
      <x:c r="L1505" s="20" t="n">
        <x:v>8.5</x:v>
      </x:c>
      <x:c r="M1505" s="20" t="n">
        <x:v>110</x:v>
      </x:c>
      <x:c r="N1505" s="20" t="n">
        <x:f>IF(J1505=1,0,K1505-L1505)</x:f>
        <x:v>161.5</x:v>
      </x:c>
      <x:c r="O1505" s="20" t="n">
        <x:f>N1505-M1505</x:f>
        <x:v>51.5</x:v>
      </x:c>
    </x:row>
    <x:row r="1506" ht="22" customHeight="1">
      <x:c r="A1506" s="11" t="n">
        <x:v>1502</x:v>
      </x:c>
      <x:c r="B1506" s="11" t="n">
        <x:v>760</x:v>
      </x:c>
      <x:c r="C1506" s="18" t="n">
        <x:v>45904</x:v>
      </x:c>
      <x:c r="D1506" s="11" t="str">
        <x:v>2025-09</x:v>
      </x:c>
      <x:c r="E1506" s="11" t="str">
        <x:v>Central</x:v>
      </x:c>
      <x:c r="F1506" s="11" t="str">
        <x:v>Technology</x:v>
      </x:c>
      <x:c r="G1506" s="11" t="str">
        <x:v>Monitor</x:v>
      </x:c>
      <x:c r="H1506" s="11" t="n">
        <x:v>3</x:v>
      </x:c>
      <x:c r="I1506" s="19" t="n">
        <x:v>0</x:v>
      </x:c>
      <x:c r="J1506" s="11" t="n">
        <x:v>0</x:v>
      </x:c>
      <x:c r="K1506" s="20" t="n">
        <x:v>720</x:v>
      </x:c>
      <x:c r="L1506" s="20" t="n">
        <x:v>0</x:v>
      </x:c>
      <x:c r="M1506" s="20" t="n">
        <x:v>480</x:v>
      </x:c>
      <x:c r="N1506" s="20" t="n">
        <x:f>IF(J1506=1,0,K1506-L1506)</x:f>
        <x:v>720</x:v>
      </x:c>
      <x:c r="O1506" s="20" t="n">
        <x:f>N1506-M1506</x:f>
        <x:v>240</x:v>
      </x:c>
    </x:row>
    <x:row r="1507" ht="22" customHeight="1">
      <x:c r="A1507" s="11" t="n">
        <x:v>1503</x:v>
      </x:c>
      <x:c r="B1507" s="11" t="n">
        <x:v>761</x:v>
      </x:c>
      <x:c r="C1507" s="18" t="n">
        <x:v>45716</x:v>
      </x:c>
      <x:c r="D1507" s="11" t="str">
        <x:v>2025-02</x:v>
      </x:c>
      <x:c r="E1507" s="11" t="str">
        <x:v>South</x:v>
      </x:c>
      <x:c r="F1507" s="11" t="str">
        <x:v>Furniture</x:v>
      </x:c>
      <x:c r="G1507" s="11" t="str">
        <x:v>Chair</x:v>
      </x:c>
      <x:c r="H1507" s="11" t="n">
        <x:v>3</x:v>
      </x:c>
      <x:c r="I1507" s="19" t="n">
        <x:v>0.15</x:v>
      </x:c>
      <x:c r="J1507" s="11" t="n">
        <x:v>0</x:v>
      </x:c>
      <x:c r="K1507" s="20" t="n">
        <x:v>510</x:v>
      </x:c>
      <x:c r="L1507" s="20" t="n">
        <x:v>76.5</x:v>
      </x:c>
      <x:c r="M1507" s="20" t="n">
        <x:v>330</x:v>
      </x:c>
      <x:c r="N1507" s="20" t="n">
        <x:f>IF(J1507=1,0,K1507-L1507)</x:f>
        <x:v>433.5</x:v>
      </x:c>
      <x:c r="O1507" s="20" t="n">
        <x:f>N1507-M1507</x:f>
        <x:v>103.5</x:v>
      </x:c>
    </x:row>
    <x:row r="1508" ht="22" customHeight="1">
      <x:c r="A1508" s="11" t="n">
        <x:v>1504</x:v>
      </x:c>
      <x:c r="B1508" s="11" t="n">
        <x:v>762</x:v>
      </x:c>
      <x:c r="C1508" s="18" t="n">
        <x:v>45844</x:v>
      </x:c>
      <x:c r="D1508" s="11" t="str">
        <x:v>2025-07</x:v>
      </x:c>
      <x:c r="E1508" s="11" t="str">
        <x:v>West</x:v>
      </x:c>
      <x:c r="F1508" s="11" t="str">
        <x:v>Office Supplies</x:v>
      </x:c>
      <x:c r="G1508" s="11" t="str">
        <x:v>Storage box</x:v>
      </x:c>
      <x:c r="H1508" s="11" t="n">
        <x:v>5</x:v>
      </x:c>
      <x:c r="I1508" s="19" t="n">
        <x:v>0.05</x:v>
      </x:c>
      <x:c r="J1508" s="11" t="n">
        <x:v>0</x:v>
      </x:c>
      <x:c r="K1508" s="20" t="n">
        <x:v>130</x:v>
      </x:c>
      <x:c r="L1508" s="20" t="n">
        <x:v>6.5</x:v>
      </x:c>
      <x:c r="M1508" s="20" t="n">
        <x:v>60</x:v>
      </x:c>
      <x:c r="N1508" s="20" t="n">
        <x:f>IF(J1508=1,0,K1508-L1508)</x:f>
        <x:v>123.5</x:v>
      </x:c>
      <x:c r="O1508" s="20" t="n">
        <x:f>N1508-M1508</x:f>
        <x:v>63.5</x:v>
      </x:c>
    </x:row>
    <x:row r="1509" ht="22" customHeight="1">
      <x:c r="A1509" s="11" t="n">
        <x:v>1505</x:v>
      </x:c>
      <x:c r="B1509" s="11" t="n">
        <x:v>762</x:v>
      </x:c>
      <x:c r="C1509" s="18" t="n">
        <x:v>45844</x:v>
      </x:c>
      <x:c r="D1509" s="11" t="str">
        <x:v>2025-07</x:v>
      </x:c>
      <x:c r="E1509" s="11" t="str">
        <x:v>West</x:v>
      </x:c>
      <x:c r="F1509" s="11" t="str">
        <x:v>Furniture</x:v>
      </x:c>
      <x:c r="G1509" s="11" t="str">
        <x:v>Chair</x:v>
      </x:c>
      <x:c r="H1509" s="11" t="n">
        <x:v>1</x:v>
      </x:c>
      <x:c r="I1509" s="19" t="n">
        <x:v>0</x:v>
      </x:c>
      <x:c r="J1509" s="11" t="n">
        <x:v>0</x:v>
      </x:c>
      <x:c r="K1509" s="20" t="n">
        <x:v>170</x:v>
      </x:c>
      <x:c r="L1509" s="20" t="n">
        <x:v>0</x:v>
      </x:c>
      <x:c r="M1509" s="20" t="n">
        <x:v>110</x:v>
      </x:c>
      <x:c r="N1509" s="20" t="n">
        <x:f>IF(J1509=1,0,K1509-L1509)</x:f>
        <x:v>170</x:v>
      </x:c>
      <x:c r="O1509" s="20" t="n">
        <x:f>N1509-M1509</x:f>
        <x:v>60</x:v>
      </x:c>
    </x:row>
    <x:row r="1510" ht="22" customHeight="1">
      <x:c r="A1510" s="11" t="n">
        <x:v>1506</x:v>
      </x:c>
      <x:c r="B1510" s="11" t="n">
        <x:v>762</x:v>
      </x:c>
      <x:c r="C1510" s="18" t="n">
        <x:v>45844</x:v>
      </x:c>
      <x:c r="D1510" s="11" t="str">
        <x:v>2025-07</x:v>
      </x:c>
      <x:c r="E1510" s="11" t="str">
        <x:v>West</x:v>
      </x:c>
      <x:c r="F1510" s="11" t="str">
        <x:v>Technology</x:v>
      </x:c>
      <x:c r="G1510" s="11" t="str">
        <x:v>Keyboard</x:v>
      </x:c>
      <x:c r="H1510" s="11" t="n">
        <x:v>1</x:v>
      </x:c>
      <x:c r="I1510" s="19" t="n">
        <x:v>0</x:v>
      </x:c>
      <x:c r="J1510" s="11" t="n">
        <x:v>1</x:v>
      </x:c>
      <x:c r="K1510" s="20" t="n">
        <x:v>65</x:v>
      </x:c>
      <x:c r="L1510" s="20" t="n">
        <x:v>0</x:v>
      </x:c>
      <x:c r="M1510" s="20" t="n">
        <x:v>0</x:v>
      </x:c>
      <x:c r="N1510" s="20" t="n">
        <x:f>IF(J1510=1,0,K1510-L1510)</x:f>
        <x:v>0</x:v>
      </x:c>
      <x:c r="O1510" s="20" t="n">
        <x:f>N1510-M1510</x:f>
        <x:v>0</x:v>
      </x:c>
    </x:row>
    <x:row r="1511" ht="22" customHeight="1">
      <x:c r="A1511" s="11" t="n">
        <x:v>1507</x:v>
      </x:c>
      <x:c r="B1511" s="11" t="n">
        <x:v>763</x:v>
      </x:c>
      <x:c r="C1511" s="18" t="n">
        <x:v>45436</x:v>
      </x:c>
      <x:c r="D1511" s="11" t="str">
        <x:v>2024-05</x:v>
      </x:c>
      <x:c r="E1511" s="11" t="str">
        <x:v>East</x:v>
      </x:c>
      <x:c r="F1511" s="11" t="str">
        <x:v>Furniture</x:v>
      </x:c>
      <x:c r="G1511" s="11" t="str">
        <x:v>Chair</x:v>
      </x:c>
      <x:c r="H1511" s="11" t="n">
        <x:v>5</x:v>
      </x:c>
      <x:c r="I1511" s="19" t="n">
        <x:v>0.05</x:v>
      </x:c>
      <x:c r="J1511" s="11" t="n">
        <x:v>0</x:v>
      </x:c>
      <x:c r="K1511" s="20" t="n">
        <x:v>850</x:v>
      </x:c>
      <x:c r="L1511" s="20" t="n">
        <x:v>42.5</x:v>
      </x:c>
      <x:c r="M1511" s="20" t="n">
        <x:v>550</x:v>
      </x:c>
      <x:c r="N1511" s="20" t="n">
        <x:f>IF(J1511=1,0,K1511-L1511)</x:f>
        <x:v>807.5</x:v>
      </x:c>
      <x:c r="O1511" s="20" t="n">
        <x:f>N1511-M1511</x:f>
        <x:v>257.5</x:v>
      </x:c>
    </x:row>
    <x:row r="1512" ht="22" customHeight="1">
      <x:c r="A1512" s="11" t="n">
        <x:v>1508</x:v>
      </x:c>
      <x:c r="B1512" s="11" t="n">
        <x:v>764</x:v>
      </x:c>
      <x:c r="C1512" s="18" t="n">
        <x:v>45372</x:v>
      </x:c>
      <x:c r="D1512" s="11" t="str">
        <x:v>2024-03</x:v>
      </x:c>
      <x:c r="E1512" s="11" t="str">
        <x:v>South</x:v>
      </x:c>
      <x:c r="F1512" s="11" t="str">
        <x:v>Furniture</x:v>
      </x:c>
      <x:c r="G1512" s="11" t="str">
        <x:v>Chair</x:v>
      </x:c>
      <x:c r="H1512" s="11" t="n">
        <x:v>2</x:v>
      </x:c>
      <x:c r="I1512" s="19" t="n">
        <x:v>0.25</x:v>
      </x:c>
      <x:c r="J1512" s="11" t="n">
        <x:v>0</x:v>
      </x:c>
      <x:c r="K1512" s="20" t="n">
        <x:v>340</x:v>
      </x:c>
      <x:c r="L1512" s="20" t="n">
        <x:v>85</x:v>
      </x:c>
      <x:c r="M1512" s="20" t="n">
        <x:v>220</x:v>
      </x:c>
      <x:c r="N1512" s="20" t="n">
        <x:f>IF(J1512=1,0,K1512-L1512)</x:f>
        <x:v>255</x:v>
      </x:c>
      <x:c r="O1512" s="20" t="n">
        <x:f>N1512-M1512</x:f>
        <x:v>35</x:v>
      </x:c>
    </x:row>
    <x:row r="1513" ht="22" customHeight="1">
      <x:c r="A1513" s="11" t="n">
        <x:v>1509</x:v>
      </x:c>
      <x:c r="B1513" s="11" t="n">
        <x:v>764</x:v>
      </x:c>
      <x:c r="C1513" s="18" t="n">
        <x:v>45372</x:v>
      </x:c>
      <x:c r="D1513" s="11" t="str">
        <x:v>2024-03</x:v>
      </x:c>
      <x:c r="E1513" s="11" t="str">
        <x:v>South</x:v>
      </x:c>
      <x:c r="F1513" s="11" t="str">
        <x:v>Office Supplies</x:v>
      </x:c>
      <x:c r="G1513" s="11" t="str">
        <x:v>Storage box</x:v>
      </x:c>
      <x:c r="H1513" s="11" t="n">
        <x:v>2</x:v>
      </x:c>
      <x:c r="I1513" s="19" t="n">
        <x:v>0.05</x:v>
      </x:c>
      <x:c r="J1513" s="11" t="n">
        <x:v>0</x:v>
      </x:c>
      <x:c r="K1513" s="20" t="n">
        <x:v>52</x:v>
      </x:c>
      <x:c r="L1513" s="20" t="n">
        <x:v>2.6</x:v>
      </x:c>
      <x:c r="M1513" s="20" t="n">
        <x:v>24</x:v>
      </x:c>
      <x:c r="N1513" s="20" t="n">
        <x:f>IF(J1513=1,0,K1513-L1513)</x:f>
        <x:v>49.4</x:v>
      </x:c>
      <x:c r="O1513" s="20" t="n">
        <x:f>N1513-M1513</x:f>
        <x:v>25.4</x:v>
      </x:c>
    </x:row>
    <x:row r="1514" ht="22" customHeight="1">
      <x:c r="A1514" s="11" t="n">
        <x:v>1510</x:v>
      </x:c>
      <x:c r="B1514" s="11" t="n">
        <x:v>765</x:v>
      </x:c>
      <x:c r="C1514" s="18" t="n">
        <x:v>45751</x:v>
      </x:c>
      <x:c r="D1514" s="11" t="str">
        <x:v>2025-04</x:v>
      </x:c>
      <x:c r="E1514" s="11" t="str">
        <x:v>Central</x:v>
      </x:c>
      <x:c r="F1514" s="11" t="str">
        <x:v>Technology</x:v>
      </x:c>
      <x:c r="G1514" s="11" t="str">
        <x:v>Keyboard</x:v>
      </x:c>
      <x:c r="H1514" s="11" t="n">
        <x:v>3</x:v>
      </x:c>
      <x:c r="I1514" s="19" t="n">
        <x:v>0.1</x:v>
      </x:c>
      <x:c r="J1514" s="11" t="n">
        <x:v>0</x:v>
      </x:c>
      <x:c r="K1514" s="20" t="n">
        <x:v>195</x:v>
      </x:c>
      <x:c r="L1514" s="20" t="n">
        <x:v>19.5</x:v>
      </x:c>
      <x:c r="M1514" s="20" t="n">
        <x:v>96</x:v>
      </x:c>
      <x:c r="N1514" s="20" t="n">
        <x:f>IF(J1514=1,0,K1514-L1514)</x:f>
        <x:v>175.5</x:v>
      </x:c>
      <x:c r="O1514" s="20" t="n">
        <x:f>N1514-M1514</x:f>
        <x:v>79.5</x:v>
      </x:c>
    </x:row>
    <x:row r="1515" ht="22" customHeight="1">
      <x:c r="A1515" s="11" t="n">
        <x:v>1511</x:v>
      </x:c>
      <x:c r="B1515" s="11" t="n">
        <x:v>765</x:v>
      </x:c>
      <x:c r="C1515" s="18" t="n">
        <x:v>45751</x:v>
      </x:c>
      <x:c r="D1515" s="11" t="str">
        <x:v>2025-04</x:v>
      </x:c>
      <x:c r="E1515" s="11" t="str">
        <x:v>Central</x:v>
      </x:c>
      <x:c r="F1515" s="11" t="str">
        <x:v>Furniture</x:v>
      </x:c>
      <x:c r="G1515" s="11" t="str">
        <x:v>Desk</x:v>
      </x:c>
      <x:c r="H1515" s="11" t="n">
        <x:v>4</x:v>
      </x:c>
      <x:c r="I1515" s="19" t="n">
        <x:v>0.35</x:v>
      </x:c>
      <x:c r="J1515" s="11" t="n">
        <x:v>0</x:v>
      </x:c>
      <x:c r="K1515" s="20" t="n">
        <x:v>1120</x:v>
      </x:c>
      <x:c r="L1515" s="20" t="n">
        <x:v>392</x:v>
      </x:c>
      <x:c r="M1515" s="20" t="n">
        <x:v>760</x:v>
      </x:c>
      <x:c r="N1515" s="20" t="n">
        <x:f>IF(J1515=1,0,K1515-L1515)</x:f>
        <x:v>728</x:v>
      </x:c>
      <x:c r="O1515" s="20" t="n">
        <x:f>N1515-M1515</x:f>
        <x:v>-32</x:v>
      </x:c>
    </x:row>
    <x:row r="1516" ht="22" customHeight="1">
      <x:c r="A1516" s="11" t="n">
        <x:v>1512</x:v>
      </x:c>
      <x:c r="B1516" s="11" t="n">
        <x:v>766</x:v>
      </x:c>
      <x:c r="C1516" s="18" t="n">
        <x:v>45916</x:v>
      </x:c>
      <x:c r="D1516" s="11" t="str">
        <x:v>2025-09</x:v>
      </x:c>
      <x:c r="E1516" s="11" t="str">
        <x:v>Central</x:v>
      </x:c>
      <x:c r="F1516" s="11" t="str">
        <x:v>Technology</x:v>
      </x:c>
      <x:c r="G1516" s="11" t="str">
        <x:v>Keyboard</x:v>
      </x:c>
      <x:c r="H1516" s="11" t="n">
        <x:v>1</x:v>
      </x:c>
      <x:c r="I1516" s="19" t="n">
        <x:v>0.1</x:v>
      </x:c>
      <x:c r="J1516" s="11" t="n">
        <x:v>0</x:v>
      </x:c>
      <x:c r="K1516" s="20" t="n">
        <x:v>65</x:v>
      </x:c>
      <x:c r="L1516" s="20" t="n">
        <x:v>6.5</x:v>
      </x:c>
      <x:c r="M1516" s="20" t="n">
        <x:v>32</x:v>
      </x:c>
      <x:c r="N1516" s="20" t="n">
        <x:f>IF(J1516=1,0,K1516-L1516)</x:f>
        <x:v>58.5</x:v>
      </x:c>
      <x:c r="O1516" s="20" t="n">
        <x:f>N1516-M1516</x:f>
        <x:v>26.5</x:v>
      </x:c>
    </x:row>
    <x:row r="1517" ht="22" customHeight="1">
      <x:c r="A1517" s="11" t="n">
        <x:v>1513</x:v>
      </x:c>
      <x:c r="B1517" s="11" t="n">
        <x:v>767</x:v>
      </x:c>
      <x:c r="C1517" s="18" t="n">
        <x:v>45377</x:v>
      </x:c>
      <x:c r="D1517" s="11" t="str">
        <x:v>2024-03</x:v>
      </x:c>
      <x:c r="E1517" s="11" t="str">
        <x:v>East</x:v>
      </x:c>
      <x:c r="F1517" s="11" t="str">
        <x:v>Office Supplies</x:v>
      </x:c>
      <x:c r="G1517" s="11" t="str">
        <x:v>Notebook pack</x:v>
      </x:c>
      <x:c r="H1517" s="11" t="n">
        <x:v>3</x:v>
      </x:c>
      <x:c r="I1517" s="19" t="n">
        <x:v>0.1</x:v>
      </x:c>
      <x:c r="J1517" s="11" t="n">
        <x:v>0</x:v>
      </x:c>
      <x:c r="K1517" s="20" t="n">
        <x:v>54</x:v>
      </x:c>
      <x:c r="L1517" s="20" t="n">
        <x:v>5.4</x:v>
      </x:c>
      <x:c r="M1517" s="20" t="n">
        <x:v>21</x:v>
      </x:c>
      <x:c r="N1517" s="20" t="n">
        <x:f>IF(J1517=1,0,K1517-L1517)</x:f>
        <x:v>48.6</x:v>
      </x:c>
      <x:c r="O1517" s="20" t="n">
        <x:f>N1517-M1517</x:f>
        <x:v>27.6</x:v>
      </x:c>
    </x:row>
    <x:row r="1518" ht="22" customHeight="1">
      <x:c r="A1518" s="11" t="n">
        <x:v>1514</x:v>
      </x:c>
      <x:c r="B1518" s="11" t="n">
        <x:v>767</x:v>
      </x:c>
      <x:c r="C1518" s="18" t="n">
        <x:v>45377</x:v>
      </x:c>
      <x:c r="D1518" s="11" t="str">
        <x:v>2024-03</x:v>
      </x:c>
      <x:c r="E1518" s="11" t="str">
        <x:v>East</x:v>
      </x:c>
      <x:c r="F1518" s="11" t="str">
        <x:v>Furniture</x:v>
      </x:c>
      <x:c r="G1518" s="11" t="str">
        <x:v>Chair</x:v>
      </x:c>
      <x:c r="H1518" s="11" t="n">
        <x:v>4</x:v>
      </x:c>
      <x:c r="I1518" s="19" t="n">
        <x:v>0.1</x:v>
      </x:c>
      <x:c r="J1518" s="11" t="n">
        <x:v>0</x:v>
      </x:c>
      <x:c r="K1518" s="20" t="n">
        <x:v>680</x:v>
      </x:c>
      <x:c r="L1518" s="20" t="n">
        <x:v>68</x:v>
      </x:c>
      <x:c r="M1518" s="20" t="n">
        <x:v>440</x:v>
      </x:c>
      <x:c r="N1518" s="20" t="n">
        <x:f>IF(J1518=1,0,K1518-L1518)</x:f>
        <x:v>612</x:v>
      </x:c>
      <x:c r="O1518" s="20" t="n">
        <x:f>N1518-M1518</x:f>
        <x:v>172</x:v>
      </x:c>
    </x:row>
    <x:row r="1519" ht="22" customHeight="1">
      <x:c r="A1519" s="11" t="n">
        <x:v>1515</x:v>
      </x:c>
      <x:c r="B1519" s="11" t="n">
        <x:v>767</x:v>
      </x:c>
      <x:c r="C1519" s="18" t="n">
        <x:v>45377</x:v>
      </x:c>
      <x:c r="D1519" s="11" t="str">
        <x:v>2024-03</x:v>
      </x:c>
      <x:c r="E1519" s="11" t="str">
        <x:v>East</x:v>
      </x:c>
      <x:c r="F1519" s="11" t="str">
        <x:v>Office Supplies</x:v>
      </x:c>
      <x:c r="G1519" s="11" t="str">
        <x:v>Storage box</x:v>
      </x:c>
      <x:c r="H1519" s="11" t="n">
        <x:v>5</x:v>
      </x:c>
      <x:c r="I1519" s="19" t="n">
        <x:v>0.1</x:v>
      </x:c>
      <x:c r="J1519" s="11" t="n">
        <x:v>0</x:v>
      </x:c>
      <x:c r="K1519" s="20" t="n">
        <x:v>130</x:v>
      </x:c>
      <x:c r="L1519" s="20" t="n">
        <x:v>13</x:v>
      </x:c>
      <x:c r="M1519" s="20" t="n">
        <x:v>60</x:v>
      </x:c>
      <x:c r="N1519" s="20" t="n">
        <x:f>IF(J1519=1,0,K1519-L1519)</x:f>
        <x:v>117</x:v>
      </x:c>
      <x:c r="O1519" s="20" t="n">
        <x:f>N1519-M1519</x:f>
        <x:v>57</x:v>
      </x:c>
    </x:row>
    <x:row r="1520" ht="22" customHeight="1">
      <x:c r="A1520" s="11" t="n">
        <x:v>1516</x:v>
      </x:c>
      <x:c r="B1520" s="11" t="n">
        <x:v>768</x:v>
      </x:c>
      <x:c r="C1520" s="18" t="n">
        <x:v>45431</x:v>
      </x:c>
      <x:c r="D1520" s="11" t="str">
        <x:v>2024-05</x:v>
      </x:c>
      <x:c r="E1520" s="11" t="str">
        <x:v>South</x:v>
      </x:c>
      <x:c r="F1520" s="11" t="str">
        <x:v>Furniture</x:v>
      </x:c>
      <x:c r="G1520" s="11" t="str">
        <x:v>Chair</x:v>
      </x:c>
      <x:c r="H1520" s="11" t="n">
        <x:v>2</x:v>
      </x:c>
      <x:c r="I1520" s="19" t="n">
        <x:v>0</x:v>
      </x:c>
      <x:c r="J1520" s="11" t="n">
        <x:v>1</x:v>
      </x:c>
      <x:c r="K1520" s="20" t="n">
        <x:v>340</x:v>
      </x:c>
      <x:c r="L1520" s="20" t="n">
        <x:v>0</x:v>
      </x:c>
      <x:c r="M1520" s="20" t="n">
        <x:v>0</x:v>
      </x:c>
      <x:c r="N1520" s="20" t="n">
        <x:f>IF(J1520=1,0,K1520-L1520)</x:f>
        <x:v>0</x:v>
      </x:c>
      <x:c r="O1520" s="20" t="n">
        <x:f>N1520-M1520</x:f>
        <x:v>0</x:v>
      </x:c>
    </x:row>
    <x:row r="1521" ht="22" customHeight="1">
      <x:c r="A1521" s="11" t="n">
        <x:v>1517</x:v>
      </x:c>
      <x:c r="B1521" s="11" t="n">
        <x:v>769</x:v>
      </x:c>
      <x:c r="C1521" s="18" t="n">
        <x:v>45804</x:v>
      </x:c>
      <x:c r="D1521" s="11" t="str">
        <x:v>2025-05</x:v>
      </x:c>
      <x:c r="E1521" s="11" t="str">
        <x:v>Central</x:v>
      </x:c>
      <x:c r="F1521" s="11" t="str">
        <x:v>Technology</x:v>
      </x:c>
      <x:c r="G1521" s="11" t="str">
        <x:v>Keyboard</x:v>
      </x:c>
      <x:c r="H1521" s="11" t="n">
        <x:v>4</x:v>
      </x:c>
      <x:c r="I1521" s="19" t="n">
        <x:v>0.05</x:v>
      </x:c>
      <x:c r="J1521" s="11" t="n">
        <x:v>0</x:v>
      </x:c>
      <x:c r="K1521" s="20" t="n">
        <x:v>260</x:v>
      </x:c>
      <x:c r="L1521" s="20" t="n">
        <x:v>13</x:v>
      </x:c>
      <x:c r="M1521" s="20" t="n">
        <x:v>128</x:v>
      </x:c>
      <x:c r="N1521" s="20" t="n">
        <x:f>IF(J1521=1,0,K1521-L1521)</x:f>
        <x:v>247</x:v>
      </x:c>
      <x:c r="O1521" s="20" t="n">
        <x:f>N1521-M1521</x:f>
        <x:v>119</x:v>
      </x:c>
    </x:row>
    <x:row r="1522" ht="22" customHeight="1">
      <x:c r="A1522" s="11" t="n">
        <x:v>1518</x:v>
      </x:c>
      <x:c r="B1522" s="11" t="n">
        <x:v>769</x:v>
      </x:c>
      <x:c r="C1522" s="18" t="n">
        <x:v>45804</x:v>
      </x:c>
      <x:c r="D1522" s="11" t="str">
        <x:v>2025-05</x:v>
      </x:c>
      <x:c r="E1522" s="11" t="str">
        <x:v>Central</x:v>
      </x:c>
      <x:c r="F1522" s="11" t="str">
        <x:v>Office Supplies</x:v>
      </x:c>
      <x:c r="G1522" s="11" t="str">
        <x:v>Storage box</x:v>
      </x:c>
      <x:c r="H1522" s="11" t="n">
        <x:v>3</x:v>
      </x:c>
      <x:c r="I1522" s="19" t="n">
        <x:v>0.15</x:v>
      </x:c>
      <x:c r="J1522" s="11" t="n">
        <x:v>0</x:v>
      </x:c>
      <x:c r="K1522" s="20" t="n">
        <x:v>78</x:v>
      </x:c>
      <x:c r="L1522" s="20" t="n">
        <x:v>11.7</x:v>
      </x:c>
      <x:c r="M1522" s="20" t="n">
        <x:v>36</x:v>
      </x:c>
      <x:c r="N1522" s="20" t="n">
        <x:f>IF(J1522=1,0,K1522-L1522)</x:f>
        <x:v>66.3</x:v>
      </x:c>
      <x:c r="O1522" s="20" t="n">
        <x:f>N1522-M1522</x:f>
        <x:v>30.299999999999997</x:v>
      </x:c>
    </x:row>
    <x:row r="1523" ht="22" customHeight="1">
      <x:c r="A1523" s="11" t="n">
        <x:v>1519</x:v>
      </x:c>
      <x:c r="B1523" s="11" t="n">
        <x:v>770</x:v>
      </x:c>
      <x:c r="C1523" s="18" t="n">
        <x:v>45331</x:v>
      </x:c>
      <x:c r="D1523" s="11" t="str">
        <x:v>2024-02</x:v>
      </x:c>
      <x:c r="E1523" s="11" t="str">
        <x:v>West</x:v>
      </x:c>
      <x:c r="F1523" s="11" t="str">
        <x:v>Furniture</x:v>
      </x:c>
      <x:c r="G1523" s="11" t="str">
        <x:v>Chair</x:v>
      </x:c>
      <x:c r="H1523" s="11" t="n">
        <x:v>3</x:v>
      </x:c>
      <x:c r="I1523" s="19" t="n">
        <x:v>0.15</x:v>
      </x:c>
      <x:c r="J1523" s="11" t="n">
        <x:v>0</x:v>
      </x:c>
      <x:c r="K1523" s="20" t="n">
        <x:v>510</x:v>
      </x:c>
      <x:c r="L1523" s="20" t="n">
        <x:v>76.5</x:v>
      </x:c>
      <x:c r="M1523" s="20" t="n">
        <x:v>330</x:v>
      </x:c>
      <x:c r="N1523" s="20" t="n">
        <x:f>IF(J1523=1,0,K1523-L1523)</x:f>
        <x:v>433.5</x:v>
      </x:c>
      <x:c r="O1523" s="20" t="n">
        <x:f>N1523-M1523</x:f>
        <x:v>103.5</x:v>
      </x:c>
    </x:row>
    <x:row r="1524" ht="22" customHeight="1">
      <x:c r="A1524" s="11" t="n">
        <x:v>1520</x:v>
      </x:c>
      <x:c r="B1524" s="11" t="n">
        <x:v>770</x:v>
      </x:c>
      <x:c r="C1524" s="18" t="n">
        <x:v>45331</x:v>
      </x:c>
      <x:c r="D1524" s="11" t="str">
        <x:v>2024-02</x:v>
      </x:c>
      <x:c r="E1524" s="11" t="str">
        <x:v>West</x:v>
      </x:c>
      <x:c r="F1524" s="11" t="str">
        <x:v>Office Supplies</x:v>
      </x:c>
      <x:c r="G1524" s="11" t="str">
        <x:v>Storage box</x:v>
      </x:c>
      <x:c r="H1524" s="11" t="n">
        <x:v>4</x:v>
      </x:c>
      <x:c r="I1524" s="19" t="n">
        <x:v>0.05</x:v>
      </x:c>
      <x:c r="J1524" s="11" t="n">
        <x:v>0</x:v>
      </x:c>
      <x:c r="K1524" s="20" t="n">
        <x:v>104</x:v>
      </x:c>
      <x:c r="L1524" s="20" t="n">
        <x:v>5.2</x:v>
      </x:c>
      <x:c r="M1524" s="20" t="n">
        <x:v>48</x:v>
      </x:c>
      <x:c r="N1524" s="20" t="n">
        <x:f>IF(J1524=1,0,K1524-L1524)</x:f>
        <x:v>98.8</x:v>
      </x:c>
      <x:c r="O1524" s="20" t="n">
        <x:f>N1524-M1524</x:f>
        <x:v>50.8</x:v>
      </x:c>
    </x:row>
    <x:row r="1525" ht="22" customHeight="1">
      <x:c r="A1525" s="11" t="n">
        <x:v>1521</x:v>
      </x:c>
      <x:c r="B1525" s="11" t="n">
        <x:v>770</x:v>
      </x:c>
      <x:c r="C1525" s="18" t="n">
        <x:v>45331</x:v>
      </x:c>
      <x:c r="D1525" s="11" t="str">
        <x:v>2024-02</x:v>
      </x:c>
      <x:c r="E1525" s="11" t="str">
        <x:v>West</x:v>
      </x:c>
      <x:c r="F1525" s="11" t="str">
        <x:v>Technology</x:v>
      </x:c>
      <x:c r="G1525" s="11" t="str">
        <x:v>Keyboard</x:v>
      </x:c>
      <x:c r="H1525" s="11" t="n">
        <x:v>4</x:v>
      </x:c>
      <x:c r="I1525" s="19" t="n">
        <x:v>0.1</x:v>
      </x:c>
      <x:c r="J1525" s="11" t="n">
        <x:v>0</x:v>
      </x:c>
      <x:c r="K1525" s="20" t="n">
        <x:v>260</x:v>
      </x:c>
      <x:c r="L1525" s="20" t="n">
        <x:v>26</x:v>
      </x:c>
      <x:c r="M1525" s="20" t="n">
        <x:v>128</x:v>
      </x:c>
      <x:c r="N1525" s="20" t="n">
        <x:f>IF(J1525=1,0,K1525-L1525)</x:f>
        <x:v>234</x:v>
      </x:c>
      <x:c r="O1525" s="20" t="n">
        <x:f>N1525-M1525</x:f>
        <x:v>106</x:v>
      </x:c>
    </x:row>
    <x:row r="1526" ht="22" customHeight="1">
      <x:c r="A1526" s="11" t="n">
        <x:v>1522</x:v>
      </x:c>
      <x:c r="B1526" s="11" t="n">
        <x:v>771</x:v>
      </x:c>
      <x:c r="C1526" s="18" t="n">
        <x:v>45540</x:v>
      </x:c>
      <x:c r="D1526" s="11" t="str">
        <x:v>2024-09</x:v>
      </x:c>
      <x:c r="E1526" s="11" t="str">
        <x:v>Central</x:v>
      </x:c>
      <x:c r="F1526" s="11" t="str">
        <x:v>Office Supplies</x:v>
      </x:c>
      <x:c r="G1526" s="11" t="str">
        <x:v>Storage box</x:v>
      </x:c>
      <x:c r="H1526" s="11" t="n">
        <x:v>2</x:v>
      </x:c>
      <x:c r="I1526" s="19" t="n">
        <x:v>0.05</x:v>
      </x:c>
      <x:c r="J1526" s="11" t="n">
        <x:v>0</x:v>
      </x:c>
      <x:c r="K1526" s="20" t="n">
        <x:v>52</x:v>
      </x:c>
      <x:c r="L1526" s="20" t="n">
        <x:v>2.6</x:v>
      </x:c>
      <x:c r="M1526" s="20" t="n">
        <x:v>24</x:v>
      </x:c>
      <x:c r="N1526" s="20" t="n">
        <x:f>IF(J1526=1,0,K1526-L1526)</x:f>
        <x:v>49.4</x:v>
      </x:c>
      <x:c r="O1526" s="20" t="n">
        <x:f>N1526-M1526</x:f>
        <x:v>25.4</x:v>
      </x:c>
    </x:row>
    <x:row r="1527" ht="22" customHeight="1">
      <x:c r="A1527" s="11" t="n">
        <x:v>1523</x:v>
      </x:c>
      <x:c r="B1527" s="11" t="n">
        <x:v>771</x:v>
      </x:c>
      <x:c r="C1527" s="18" t="n">
        <x:v>45540</x:v>
      </x:c>
      <x:c r="D1527" s="11" t="str">
        <x:v>2024-09</x:v>
      </x:c>
      <x:c r="E1527" s="11" t="str">
        <x:v>Central</x:v>
      </x:c>
      <x:c r="F1527" s="11" t="str">
        <x:v>Furniture</x:v>
      </x:c>
      <x:c r="G1527" s="11" t="str">
        <x:v>Desk</x:v>
      </x:c>
      <x:c r="H1527" s="11" t="n">
        <x:v>2</x:v>
      </x:c>
      <x:c r="I1527" s="19" t="n">
        <x:v>0.1</x:v>
      </x:c>
      <x:c r="J1527" s="11" t="n">
        <x:v>0</x:v>
      </x:c>
      <x:c r="K1527" s="20" t="n">
        <x:v>560</x:v>
      </x:c>
      <x:c r="L1527" s="20" t="n">
        <x:v>56</x:v>
      </x:c>
      <x:c r="M1527" s="20" t="n">
        <x:v>380</x:v>
      </x:c>
      <x:c r="N1527" s="20" t="n">
        <x:f>IF(J1527=1,0,K1527-L1527)</x:f>
        <x:v>504</x:v>
      </x:c>
      <x:c r="O1527" s="20" t="n">
        <x:f>N1527-M1527</x:f>
        <x:v>124</x:v>
      </x:c>
    </x:row>
    <x:row r="1528" ht="22" customHeight="1">
      <x:c r="A1528" s="11" t="n">
        <x:v>1524</x:v>
      </x:c>
      <x:c r="B1528" s="11" t="n">
        <x:v>772</x:v>
      </x:c>
      <x:c r="C1528" s="18" t="n">
        <x:v>45884</x:v>
      </x:c>
      <x:c r="D1528" s="11" t="str">
        <x:v>2025-08</x:v>
      </x:c>
      <x:c r="E1528" s="11" t="str">
        <x:v>West</x:v>
      </x:c>
      <x:c r="F1528" s="11" t="str">
        <x:v>Furniture</x:v>
      </x:c>
      <x:c r="G1528" s="11" t="str">
        <x:v>Desk</x:v>
      </x:c>
      <x:c r="H1528" s="11" t="n">
        <x:v>1</x:v>
      </x:c>
      <x:c r="I1528" s="19" t="n">
        <x:v>0.25</x:v>
      </x:c>
      <x:c r="J1528" s="11" t="n">
        <x:v>0</x:v>
      </x:c>
      <x:c r="K1528" s="20" t="n">
        <x:v>280</x:v>
      </x:c>
      <x:c r="L1528" s="20" t="n">
        <x:v>70</x:v>
      </x:c>
      <x:c r="M1528" s="20" t="n">
        <x:v>190</x:v>
      </x:c>
      <x:c r="N1528" s="20" t="n">
        <x:f>IF(J1528=1,0,K1528-L1528)</x:f>
        <x:v>210</x:v>
      </x:c>
      <x:c r="O1528" s="20" t="n">
        <x:f>N1528-M1528</x:f>
        <x:v>20</x:v>
      </x:c>
    </x:row>
    <x:row r="1529" ht="22" customHeight="1">
      <x:c r="A1529" s="11" t="n">
        <x:v>1525</x:v>
      </x:c>
      <x:c r="B1529" s="11" t="n">
        <x:v>773</x:v>
      </x:c>
      <x:c r="C1529" s="18" t="n">
        <x:v>45892</x:v>
      </x:c>
      <x:c r="D1529" s="11" t="str">
        <x:v>2025-08</x:v>
      </x:c>
      <x:c r="E1529" s="11" t="str">
        <x:v>Central</x:v>
      </x:c>
      <x:c r="F1529" s="11" t="str">
        <x:v>Furniture</x:v>
      </x:c>
      <x:c r="G1529" s="11" t="str">
        <x:v>Chair</x:v>
      </x:c>
      <x:c r="H1529" s="11" t="n">
        <x:v>3</x:v>
      </x:c>
      <x:c r="I1529" s="19" t="n">
        <x:v>0.1</x:v>
      </x:c>
      <x:c r="J1529" s="11" t="n">
        <x:v>0</x:v>
      </x:c>
      <x:c r="K1529" s="20" t="n">
        <x:v>510</x:v>
      </x:c>
      <x:c r="L1529" s="20" t="n">
        <x:v>51</x:v>
      </x:c>
      <x:c r="M1529" s="20" t="n">
        <x:v>330</x:v>
      </x:c>
      <x:c r="N1529" s="20" t="n">
        <x:f>IF(J1529=1,0,K1529-L1529)</x:f>
        <x:v>459</x:v>
      </x:c>
      <x:c r="O1529" s="20" t="n">
        <x:f>N1529-M1529</x:f>
        <x:v>129</x:v>
      </x:c>
    </x:row>
    <x:row r="1530" ht="22" customHeight="1">
      <x:c r="A1530" s="11" t="n">
        <x:v>1526</x:v>
      </x:c>
      <x:c r="B1530" s="11" t="n">
        <x:v>773</x:v>
      </x:c>
      <x:c r="C1530" s="18" t="n">
        <x:v>45892</x:v>
      </x:c>
      <x:c r="D1530" s="11" t="str">
        <x:v>2025-08</x:v>
      </x:c>
      <x:c r="E1530" s="11" t="str">
        <x:v>Central</x:v>
      </x:c>
      <x:c r="F1530" s="11" t="str">
        <x:v>Technology</x:v>
      </x:c>
      <x:c r="G1530" s="11" t="str">
        <x:v>Keyboard</x:v>
      </x:c>
      <x:c r="H1530" s="11" t="n">
        <x:v>5</x:v>
      </x:c>
      <x:c r="I1530" s="19" t="n">
        <x:v>0.1</x:v>
      </x:c>
      <x:c r="J1530" s="11" t="n">
        <x:v>0</x:v>
      </x:c>
      <x:c r="K1530" s="20" t="n">
        <x:v>325</x:v>
      </x:c>
      <x:c r="L1530" s="20" t="n">
        <x:v>32.5</x:v>
      </x:c>
      <x:c r="M1530" s="20" t="n">
        <x:v>160</x:v>
      </x:c>
      <x:c r="N1530" s="20" t="n">
        <x:f>IF(J1530=1,0,K1530-L1530)</x:f>
        <x:v>292.5</x:v>
      </x:c>
      <x:c r="O1530" s="20" t="n">
        <x:f>N1530-M1530</x:f>
        <x:v>132.5</x:v>
      </x:c>
    </x:row>
    <x:row r="1531" ht="22" customHeight="1">
      <x:c r="A1531" s="11" t="n">
        <x:v>1527</x:v>
      </x:c>
      <x:c r="B1531" s="11" t="n">
        <x:v>774</x:v>
      </x:c>
      <x:c r="C1531" s="18" t="n">
        <x:v>45713</x:v>
      </x:c>
      <x:c r="D1531" s="11" t="str">
        <x:v>2025-02</x:v>
      </x:c>
      <x:c r="E1531" s="11" t="str">
        <x:v>South</x:v>
      </x:c>
      <x:c r="F1531" s="11" t="str">
        <x:v>Office Supplies</x:v>
      </x:c>
      <x:c r="G1531" s="11" t="str">
        <x:v>Storage box</x:v>
      </x:c>
      <x:c r="H1531" s="11" t="n">
        <x:v>5</x:v>
      </x:c>
      <x:c r="I1531" s="19" t="n">
        <x:v>0.05</x:v>
      </x:c>
      <x:c r="J1531" s="11" t="n">
        <x:v>0</x:v>
      </x:c>
      <x:c r="K1531" s="20" t="n">
        <x:v>130</x:v>
      </x:c>
      <x:c r="L1531" s="20" t="n">
        <x:v>6.5</x:v>
      </x:c>
      <x:c r="M1531" s="20" t="n">
        <x:v>60</x:v>
      </x:c>
      <x:c r="N1531" s="20" t="n">
        <x:f>IF(J1531=1,0,K1531-L1531)</x:f>
        <x:v>123.5</x:v>
      </x:c>
      <x:c r="O1531" s="20" t="n">
        <x:f>N1531-M1531</x:f>
        <x:v>63.5</x:v>
      </x:c>
    </x:row>
    <x:row r="1532" ht="22" customHeight="1">
      <x:c r="A1532" s="11" t="n">
        <x:v>1528</x:v>
      </x:c>
      <x:c r="B1532" s="11" t="n">
        <x:v>775</x:v>
      </x:c>
      <x:c r="C1532" s="18" t="n">
        <x:v>45567</x:v>
      </x:c>
      <x:c r="D1532" s="11" t="str">
        <x:v>2024-10</x:v>
      </x:c>
      <x:c r="E1532" s="11" t="str">
        <x:v>West</x:v>
      </x:c>
      <x:c r="F1532" s="11" t="str">
        <x:v>Technology</x:v>
      </x:c>
      <x:c r="G1532" s="11" t="str">
        <x:v>Keyboard</x:v>
      </x:c>
      <x:c r="H1532" s="11" t="n">
        <x:v>2</x:v>
      </x:c>
      <x:c r="I1532" s="19" t="n">
        <x:v>0.1</x:v>
      </x:c>
      <x:c r="J1532" s="11" t="n">
        <x:v>1</x:v>
      </x:c>
      <x:c r="K1532" s="20" t="n">
        <x:v>130</x:v>
      </x:c>
      <x:c r="L1532" s="20" t="n">
        <x:v>13</x:v>
      </x:c>
      <x:c r="M1532" s="20" t="n">
        <x:v>0</x:v>
      </x:c>
      <x:c r="N1532" s="20" t="n">
        <x:f>IF(J1532=1,0,K1532-L1532)</x:f>
        <x:v>0</x:v>
      </x:c>
      <x:c r="O1532" s="20" t="n">
        <x:f>N1532-M1532</x:f>
        <x:v>0</x:v>
      </x:c>
    </x:row>
    <x:row r="1533" ht="22" customHeight="1">
      <x:c r="A1533" s="11" t="n">
        <x:v>1529</x:v>
      </x:c>
      <x:c r="B1533" s="11" t="n">
        <x:v>775</x:v>
      </x:c>
      <x:c r="C1533" s="18" t="n">
        <x:v>45567</x:v>
      </x:c>
      <x:c r="D1533" s="11" t="str">
        <x:v>2024-10</x:v>
      </x:c>
      <x:c r="E1533" s="11" t="str">
        <x:v>West</x:v>
      </x:c>
      <x:c r="F1533" s="11" t="str">
        <x:v>Technology</x:v>
      </x:c>
      <x:c r="G1533" s="11" t="str">
        <x:v>Monitor</x:v>
      </x:c>
      <x:c r="H1533" s="11" t="n">
        <x:v>1</x:v>
      </x:c>
      <x:c r="I1533" s="19" t="n">
        <x:v>0.1</x:v>
      </x:c>
      <x:c r="J1533" s="11" t="n">
        <x:v>0</x:v>
      </x:c>
      <x:c r="K1533" s="20" t="n">
        <x:v>240</x:v>
      </x:c>
      <x:c r="L1533" s="20" t="n">
        <x:v>24</x:v>
      </x:c>
      <x:c r="M1533" s="20" t="n">
        <x:v>160</x:v>
      </x:c>
      <x:c r="N1533" s="20" t="n">
        <x:f>IF(J1533=1,0,K1533-L1533)</x:f>
        <x:v>216</x:v>
      </x:c>
      <x:c r="O1533" s="20" t="n">
        <x:f>N1533-M1533</x:f>
        <x:v>56</x:v>
      </x:c>
    </x:row>
    <x:row r="1534" ht="22" customHeight="1">
      <x:c r="A1534" s="11" t="n">
        <x:v>1530</x:v>
      </x:c>
      <x:c r="B1534" s="11" t="n">
        <x:v>775</x:v>
      </x:c>
      <x:c r="C1534" s="18" t="n">
        <x:v>45567</x:v>
      </x:c>
      <x:c r="D1534" s="11" t="str">
        <x:v>2024-10</x:v>
      </x:c>
      <x:c r="E1534" s="11" t="str">
        <x:v>West</x:v>
      </x:c>
      <x:c r="F1534" s="11" t="str">
        <x:v>Furniture</x:v>
      </x:c>
      <x:c r="G1534" s="11" t="str">
        <x:v>Desk</x:v>
      </x:c>
      <x:c r="H1534" s="11" t="n">
        <x:v>3</x:v>
      </x:c>
      <x:c r="I1534" s="19" t="n">
        <x:v>0.25</x:v>
      </x:c>
      <x:c r="J1534" s="11" t="n">
        <x:v>0</x:v>
      </x:c>
      <x:c r="K1534" s="20" t="n">
        <x:v>840</x:v>
      </x:c>
      <x:c r="L1534" s="20" t="n">
        <x:v>210</x:v>
      </x:c>
      <x:c r="M1534" s="20" t="n">
        <x:v>570</x:v>
      </x:c>
      <x:c r="N1534" s="20" t="n">
        <x:f>IF(J1534=1,0,K1534-L1534)</x:f>
        <x:v>630</x:v>
      </x:c>
      <x:c r="O1534" s="20" t="n">
        <x:f>N1534-M1534</x:f>
        <x:v>60</x:v>
      </x:c>
    </x:row>
    <x:row r="1535" ht="22" customHeight="1">
      <x:c r="A1535" s="11" t="n">
        <x:v>1531</x:v>
      </x:c>
      <x:c r="B1535" s="11" t="n">
        <x:v>776</x:v>
      </x:c>
      <x:c r="C1535" s="18" t="n">
        <x:v>45675</x:v>
      </x:c>
      <x:c r="D1535" s="11" t="str">
        <x:v>2025-01</x:v>
      </x:c>
      <x:c r="E1535" s="11" t="str">
        <x:v>East</x:v>
      </x:c>
      <x:c r="F1535" s="11" t="str">
        <x:v>Technology</x:v>
      </x:c>
      <x:c r="G1535" s="11" t="str">
        <x:v>Keyboard</x:v>
      </x:c>
      <x:c r="H1535" s="11" t="n">
        <x:v>2</x:v>
      </x:c>
      <x:c r="I1535" s="19" t="n">
        <x:v>0.15</x:v>
      </x:c>
      <x:c r="J1535" s="11" t="n">
        <x:v>0</x:v>
      </x:c>
      <x:c r="K1535" s="20" t="n">
        <x:v>130</x:v>
      </x:c>
      <x:c r="L1535" s="20" t="n">
        <x:v>19.5</x:v>
      </x:c>
      <x:c r="M1535" s="20" t="n">
        <x:v>64</x:v>
      </x:c>
      <x:c r="N1535" s="20" t="n">
        <x:f>IF(J1535=1,0,K1535-L1535)</x:f>
        <x:v>110.5</x:v>
      </x:c>
      <x:c r="O1535" s="20" t="n">
        <x:f>N1535-M1535</x:f>
        <x:v>46.5</x:v>
      </x:c>
    </x:row>
    <x:row r="1536" ht="22" customHeight="1">
      <x:c r="A1536" s="11" t="n">
        <x:v>1532</x:v>
      </x:c>
      <x:c r="B1536" s="11" t="n">
        <x:v>777</x:v>
      </x:c>
      <x:c r="C1536" s="18" t="n">
        <x:v>45753</x:v>
      </x:c>
      <x:c r="D1536" s="11" t="str">
        <x:v>2025-04</x:v>
      </x:c>
      <x:c r="E1536" s="11" t="str">
        <x:v>East</x:v>
      </x:c>
      <x:c r="F1536" s="11" t="str">
        <x:v>Furniture</x:v>
      </x:c>
      <x:c r="G1536" s="11" t="str">
        <x:v>Chair</x:v>
      </x:c>
      <x:c r="H1536" s="11" t="n">
        <x:v>1</x:v>
      </x:c>
      <x:c r="I1536" s="19" t="n">
        <x:v>0</x:v>
      </x:c>
      <x:c r="J1536" s="11" t="n">
        <x:v>0</x:v>
      </x:c>
      <x:c r="K1536" s="20" t="n">
        <x:v>170</x:v>
      </x:c>
      <x:c r="L1536" s="20" t="n">
        <x:v>0</x:v>
      </x:c>
      <x:c r="M1536" s="20" t="n">
        <x:v>110</x:v>
      </x:c>
      <x:c r="N1536" s="20" t="n">
        <x:f>IF(J1536=1,0,K1536-L1536)</x:f>
        <x:v>170</x:v>
      </x:c>
      <x:c r="O1536" s="20" t="n">
        <x:f>N1536-M1536</x:f>
        <x:v>60</x:v>
      </x:c>
    </x:row>
    <x:row r="1537" ht="22" customHeight="1">
      <x:c r="A1537" s="11" t="n">
        <x:v>1533</x:v>
      </x:c>
      <x:c r="B1537" s="11" t="n">
        <x:v>778</x:v>
      </x:c>
      <x:c r="C1537" s="18" t="n">
        <x:v>45488</x:v>
      </x:c>
      <x:c r="D1537" s="11" t="str">
        <x:v>2024-07</x:v>
      </x:c>
      <x:c r="E1537" s="11" t="str">
        <x:v>East</x:v>
      </x:c>
      <x:c r="F1537" s="11" t="str">
        <x:v>Office Supplies</x:v>
      </x:c>
      <x:c r="G1537" s="11" t="str">
        <x:v>Storage box</x:v>
      </x:c>
      <x:c r="H1537" s="11" t="n">
        <x:v>1</x:v>
      </x:c>
      <x:c r="I1537" s="19" t="n">
        <x:v>0</x:v>
      </x:c>
      <x:c r="J1537" s="11" t="n">
        <x:v>0</x:v>
      </x:c>
      <x:c r="K1537" s="20" t="n">
        <x:v>26</x:v>
      </x:c>
      <x:c r="L1537" s="20" t="n">
        <x:v>0</x:v>
      </x:c>
      <x:c r="M1537" s="20" t="n">
        <x:v>12</x:v>
      </x:c>
      <x:c r="N1537" s="20" t="n">
        <x:f>IF(J1537=1,0,K1537-L1537)</x:f>
        <x:v>26</x:v>
      </x:c>
      <x:c r="O1537" s="20" t="n">
        <x:f>N1537-M1537</x:f>
        <x:v>14</x:v>
      </x:c>
    </x:row>
    <x:row r="1538" ht="22" customHeight="1">
      <x:c r="A1538" s="11" t="n">
        <x:v>1534</x:v>
      </x:c>
      <x:c r="B1538" s="11" t="n">
        <x:v>778</x:v>
      </x:c>
      <x:c r="C1538" s="18" t="n">
        <x:v>45488</x:v>
      </x:c>
      <x:c r="D1538" s="11" t="str">
        <x:v>2024-07</x:v>
      </x:c>
      <x:c r="E1538" s="11" t="str">
        <x:v>East</x:v>
      </x:c>
      <x:c r="F1538" s="11" t="str">
        <x:v>Office Supplies</x:v>
      </x:c>
      <x:c r="G1538" s="11" t="str">
        <x:v>Notebook pack</x:v>
      </x:c>
      <x:c r="H1538" s="11" t="n">
        <x:v>1</x:v>
      </x:c>
      <x:c r="I1538" s="19" t="n">
        <x:v>0.1</x:v>
      </x:c>
      <x:c r="J1538" s="11" t="n">
        <x:v>0</x:v>
      </x:c>
      <x:c r="K1538" s="20" t="n">
        <x:v>18</x:v>
      </x:c>
      <x:c r="L1538" s="20" t="n">
        <x:v>1.8</x:v>
      </x:c>
      <x:c r="M1538" s="20" t="n">
        <x:v>7</x:v>
      </x:c>
      <x:c r="N1538" s="20" t="n">
        <x:f>IF(J1538=1,0,K1538-L1538)</x:f>
        <x:v>16.2</x:v>
      </x:c>
      <x:c r="O1538" s="20" t="n">
        <x:f>N1538-M1538</x:f>
        <x:v>9.2</x:v>
      </x:c>
    </x:row>
    <x:row r="1539" ht="22" customHeight="1">
      <x:c r="A1539" s="11" t="n">
        <x:v>1535</x:v>
      </x:c>
      <x:c r="B1539" s="11" t="n">
        <x:v>779</x:v>
      </x:c>
      <x:c r="C1539" s="18" t="n">
        <x:v>45357</x:v>
      </x:c>
      <x:c r="D1539" s="11" t="str">
        <x:v>2024-03</x:v>
      </x:c>
      <x:c r="E1539" s="11" t="str">
        <x:v>East</x:v>
      </x:c>
      <x:c r="F1539" s="11" t="str">
        <x:v>Furniture</x:v>
      </x:c>
      <x:c r="G1539" s="11" t="str">
        <x:v>Chair</x:v>
      </x:c>
      <x:c r="H1539" s="11" t="n">
        <x:v>1</x:v>
      </x:c>
      <x:c r="I1539" s="19" t="n">
        <x:v>0</x:v>
      </x:c>
      <x:c r="J1539" s="11" t="n">
        <x:v>0</x:v>
      </x:c>
      <x:c r="K1539" s="20" t="n">
        <x:v>170</x:v>
      </x:c>
      <x:c r="L1539" s="20" t="n">
        <x:v>0</x:v>
      </x:c>
      <x:c r="M1539" s="20" t="n">
        <x:v>110</x:v>
      </x:c>
      <x:c r="N1539" s="20" t="n">
        <x:f>IF(J1539=1,0,K1539-L1539)</x:f>
        <x:v>170</x:v>
      </x:c>
      <x:c r="O1539" s="20" t="n">
        <x:f>N1539-M1539</x:f>
        <x:v>60</x:v>
      </x:c>
    </x:row>
    <x:row r="1540" ht="22" customHeight="1">
      <x:c r="A1540" s="11" t="n">
        <x:v>1536</x:v>
      </x:c>
      <x:c r="B1540" s="11" t="n">
        <x:v>779</x:v>
      </x:c>
      <x:c r="C1540" s="18" t="n">
        <x:v>45357</x:v>
      </x:c>
      <x:c r="D1540" s="11" t="str">
        <x:v>2024-03</x:v>
      </x:c>
      <x:c r="E1540" s="11" t="str">
        <x:v>East</x:v>
      </x:c>
      <x:c r="F1540" s="11" t="str">
        <x:v>Technology</x:v>
      </x:c>
      <x:c r="G1540" s="11" t="str">
        <x:v>Keyboard</x:v>
      </x:c>
      <x:c r="H1540" s="11" t="n">
        <x:v>1</x:v>
      </x:c>
      <x:c r="I1540" s="19" t="n">
        <x:v>0.15</x:v>
      </x:c>
      <x:c r="J1540" s="11" t="n">
        <x:v>0</x:v>
      </x:c>
      <x:c r="K1540" s="20" t="n">
        <x:v>65</x:v>
      </x:c>
      <x:c r="L1540" s="20" t="n">
        <x:v>9.75</x:v>
      </x:c>
      <x:c r="M1540" s="20" t="n">
        <x:v>32</x:v>
      </x:c>
      <x:c r="N1540" s="20" t="n">
        <x:f>IF(J1540=1,0,K1540-L1540)</x:f>
        <x:v>55.25</x:v>
      </x:c>
      <x:c r="O1540" s="20" t="n">
        <x:f>N1540-M1540</x:f>
        <x:v>23.25</x:v>
      </x:c>
    </x:row>
    <x:row r="1541" ht="22" customHeight="1">
      <x:c r="A1541" s="11" t="n">
        <x:v>1537</x:v>
      </x:c>
      <x:c r="B1541" s="11" t="n">
        <x:v>779</x:v>
      </x:c>
      <x:c r="C1541" s="18" t="n">
        <x:v>45357</x:v>
      </x:c>
      <x:c r="D1541" s="11" t="str">
        <x:v>2024-03</x:v>
      </x:c>
      <x:c r="E1541" s="11" t="str">
        <x:v>East</x:v>
      </x:c>
      <x:c r="F1541" s="11" t="str">
        <x:v>Office Supplies</x:v>
      </x:c>
      <x:c r="G1541" s="11" t="str">
        <x:v>Notebook pack</x:v>
      </x:c>
      <x:c r="H1541" s="11" t="n">
        <x:v>1</x:v>
      </x:c>
      <x:c r="I1541" s="19" t="n">
        <x:v>0</x:v>
      </x:c>
      <x:c r="J1541" s="11" t="n">
        <x:v>0</x:v>
      </x:c>
      <x:c r="K1541" s="20" t="n">
        <x:v>18</x:v>
      </x:c>
      <x:c r="L1541" s="20" t="n">
        <x:v>0</x:v>
      </x:c>
      <x:c r="M1541" s="20" t="n">
        <x:v>7</x:v>
      </x:c>
      <x:c r="N1541" s="20" t="n">
        <x:f>IF(J1541=1,0,K1541-L1541)</x:f>
        <x:v>18</x:v>
      </x:c>
      <x:c r="O1541" s="20" t="n">
        <x:f>N1541-M1541</x:f>
        <x:v>11</x:v>
      </x:c>
    </x:row>
    <x:row r="1542" ht="22" customHeight="1">
      <x:c r="A1542" s="11" t="n">
        <x:v>1538</x:v>
      </x:c>
      <x:c r="B1542" s="11" t="n">
        <x:v>780</x:v>
      </x:c>
      <x:c r="C1542" s="18" t="n">
        <x:v>45299</x:v>
      </x:c>
      <x:c r="D1542" s="11" t="str">
        <x:v>2024-01</x:v>
      </x:c>
      <x:c r="E1542" s="11" t="str">
        <x:v>South</x:v>
      </x:c>
      <x:c r="F1542" s="11" t="str">
        <x:v>Technology</x:v>
      </x:c>
      <x:c r="G1542" s="11" t="str">
        <x:v>Keyboard</x:v>
      </x:c>
      <x:c r="H1542" s="11" t="n">
        <x:v>5</x:v>
      </x:c>
      <x:c r="I1542" s="19" t="n">
        <x:v>0.1</x:v>
      </x:c>
      <x:c r="J1542" s="11" t="n">
        <x:v>0</x:v>
      </x:c>
      <x:c r="K1542" s="20" t="n">
        <x:v>325</x:v>
      </x:c>
      <x:c r="L1542" s="20" t="n">
        <x:v>32.5</x:v>
      </x:c>
      <x:c r="M1542" s="20" t="n">
        <x:v>160</x:v>
      </x:c>
      <x:c r="N1542" s="20" t="n">
        <x:f>IF(J1542=1,0,K1542-L1542)</x:f>
        <x:v>292.5</x:v>
      </x:c>
      <x:c r="O1542" s="20" t="n">
        <x:f>N1542-M1542</x:f>
        <x:v>132.5</x:v>
      </x:c>
    </x:row>
    <x:row r="1543" ht="22" customHeight="1">
      <x:c r="A1543" s="11" t="n">
        <x:v>1539</x:v>
      </x:c>
      <x:c r="B1543" s="11" t="n">
        <x:v>780</x:v>
      </x:c>
      <x:c r="C1543" s="18" t="n">
        <x:v>45299</x:v>
      </x:c>
      <x:c r="D1543" s="11" t="str">
        <x:v>2024-01</x:v>
      </x:c>
      <x:c r="E1543" s="11" t="str">
        <x:v>South</x:v>
      </x:c>
      <x:c r="F1543" s="11" t="str">
        <x:v>Technology</x:v>
      </x:c>
      <x:c r="G1543" s="11" t="str">
        <x:v>Monitor</x:v>
      </x:c>
      <x:c r="H1543" s="11" t="n">
        <x:v>3</x:v>
      </x:c>
      <x:c r="I1543" s="19" t="n">
        <x:v>0.05</x:v>
      </x:c>
      <x:c r="J1543" s="11" t="n">
        <x:v>0</x:v>
      </x:c>
      <x:c r="K1543" s="20" t="n">
        <x:v>720</x:v>
      </x:c>
      <x:c r="L1543" s="20" t="n">
        <x:v>36</x:v>
      </x:c>
      <x:c r="M1543" s="20" t="n">
        <x:v>480</x:v>
      </x:c>
      <x:c r="N1543" s="20" t="n">
        <x:f>IF(J1543=1,0,K1543-L1543)</x:f>
        <x:v>684</x:v>
      </x:c>
      <x:c r="O1543" s="20" t="n">
        <x:f>N1543-M1543</x:f>
        <x:v>204</x:v>
      </x:c>
    </x:row>
    <x:row r="1544" ht="22" customHeight="1">
      <x:c r="A1544" s="11" t="n">
        <x:v>1540</x:v>
      </x:c>
      <x:c r="B1544" s="11" t="n">
        <x:v>781</x:v>
      </x:c>
      <x:c r="C1544" s="18" t="n">
        <x:v>45661</x:v>
      </x:c>
      <x:c r="D1544" s="11" t="str">
        <x:v>2025-01</x:v>
      </x:c>
      <x:c r="E1544" s="11" t="str">
        <x:v>East</x:v>
      </x:c>
      <x:c r="F1544" s="11" t="str">
        <x:v>Office Supplies</x:v>
      </x:c>
      <x:c r="G1544" s="11" t="str">
        <x:v>Notebook pack</x:v>
      </x:c>
      <x:c r="H1544" s="11" t="n">
        <x:v>3</x:v>
      </x:c>
      <x:c r="I1544" s="19" t="n">
        <x:v>0.05</x:v>
      </x:c>
      <x:c r="J1544" s="11" t="n">
        <x:v>0</x:v>
      </x:c>
      <x:c r="K1544" s="20" t="n">
        <x:v>54</x:v>
      </x:c>
      <x:c r="L1544" s="20" t="n">
        <x:v>2.7</x:v>
      </x:c>
      <x:c r="M1544" s="20" t="n">
        <x:v>21</x:v>
      </x:c>
      <x:c r="N1544" s="20" t="n">
        <x:f>IF(J1544=1,0,K1544-L1544)</x:f>
        <x:v>51.3</x:v>
      </x:c>
      <x:c r="O1544" s="20" t="n">
        <x:f>N1544-M1544</x:f>
        <x:v>30.299999999999997</x:v>
      </x:c>
    </x:row>
    <x:row r="1545" ht="22" customHeight="1">
      <x:c r="A1545" s="11" t="n">
        <x:v>1541</x:v>
      </x:c>
      <x:c r="B1545" s="11" t="n">
        <x:v>781</x:v>
      </x:c>
      <x:c r="C1545" s="18" t="n">
        <x:v>45661</x:v>
      </x:c>
      <x:c r="D1545" s="11" t="str">
        <x:v>2025-01</x:v>
      </x:c>
      <x:c r="E1545" s="11" t="str">
        <x:v>East</x:v>
      </x:c>
      <x:c r="F1545" s="11" t="str">
        <x:v>Furniture</x:v>
      </x:c>
      <x:c r="G1545" s="11" t="str">
        <x:v>Desk</x:v>
      </x:c>
      <x:c r="H1545" s="11" t="n">
        <x:v>1</x:v>
      </x:c>
      <x:c r="I1545" s="19" t="n">
        <x:v>0.35</x:v>
      </x:c>
      <x:c r="J1545" s="11" t="n">
        <x:v>0</x:v>
      </x:c>
      <x:c r="K1545" s="20" t="n">
        <x:v>280</x:v>
      </x:c>
      <x:c r="L1545" s="20" t="n">
        <x:v>98</x:v>
      </x:c>
      <x:c r="M1545" s="20" t="n">
        <x:v>190</x:v>
      </x:c>
      <x:c r="N1545" s="20" t="n">
        <x:f>IF(J1545=1,0,K1545-L1545)</x:f>
        <x:v>182</x:v>
      </x:c>
      <x:c r="O1545" s="20" t="n">
        <x:f>N1545-M1545</x:f>
        <x:v>-8</x:v>
      </x:c>
    </x:row>
    <x:row r="1546" ht="22" customHeight="1">
      <x:c r="A1546" s="11" t="n">
        <x:v>1542</x:v>
      </x:c>
      <x:c r="B1546" s="11" t="n">
        <x:v>782</x:v>
      </x:c>
      <x:c r="C1546" s="18" t="n">
        <x:v>45703</x:v>
      </x:c>
      <x:c r="D1546" s="11" t="str">
        <x:v>2025-02</x:v>
      </x:c>
      <x:c r="E1546" s="11" t="str">
        <x:v>South</x:v>
      </x:c>
      <x:c r="F1546" s="11" t="str">
        <x:v>Office Supplies</x:v>
      </x:c>
      <x:c r="G1546" s="11" t="str">
        <x:v>Notebook pack</x:v>
      </x:c>
      <x:c r="H1546" s="11" t="n">
        <x:v>1</x:v>
      </x:c>
      <x:c r="I1546" s="19" t="n">
        <x:v>0.15</x:v>
      </x:c>
      <x:c r="J1546" s="11" t="n">
        <x:v>0</x:v>
      </x:c>
      <x:c r="K1546" s="20" t="n">
        <x:v>18</x:v>
      </x:c>
      <x:c r="L1546" s="20" t="n">
        <x:v>2.7</x:v>
      </x:c>
      <x:c r="M1546" s="20" t="n">
        <x:v>7</x:v>
      </x:c>
      <x:c r="N1546" s="20" t="n">
        <x:f>IF(J1546=1,0,K1546-L1546)</x:f>
        <x:v>15.3</x:v>
      </x:c>
      <x:c r="O1546" s="20" t="n">
        <x:f>N1546-M1546</x:f>
        <x:v>8.3</x:v>
      </x:c>
    </x:row>
    <x:row r="1547" ht="22" customHeight="1">
      <x:c r="A1547" s="11" t="n">
        <x:v>1543</x:v>
      </x:c>
      <x:c r="B1547" s="11" t="n">
        <x:v>783</x:v>
      </x:c>
      <x:c r="C1547" s="18" t="n">
        <x:v>46008</x:v>
      </x:c>
      <x:c r="D1547" s="11" t="str">
        <x:v>2025-12</x:v>
      </x:c>
      <x:c r="E1547" s="11" t="str">
        <x:v>South</x:v>
      </x:c>
      <x:c r="F1547" s="11" t="str">
        <x:v>Technology</x:v>
      </x:c>
      <x:c r="G1547" s="11" t="str">
        <x:v>Keyboard</x:v>
      </x:c>
      <x:c r="H1547" s="11" t="n">
        <x:v>4</x:v>
      </x:c>
      <x:c r="I1547" s="19" t="n">
        <x:v>0.15</x:v>
      </x:c>
      <x:c r="J1547" s="11" t="n">
        <x:v>0</x:v>
      </x:c>
      <x:c r="K1547" s="20" t="n">
        <x:v>260</x:v>
      </x:c>
      <x:c r="L1547" s="20" t="n">
        <x:v>39</x:v>
      </x:c>
      <x:c r="M1547" s="20" t="n">
        <x:v>128</x:v>
      </x:c>
      <x:c r="N1547" s="20" t="n">
        <x:f>IF(J1547=1,0,K1547-L1547)</x:f>
        <x:v>221</x:v>
      </x:c>
      <x:c r="O1547" s="20" t="n">
        <x:f>N1547-M1547</x:f>
        <x:v>93</x:v>
      </x:c>
    </x:row>
    <x:row r="1548" ht="22" customHeight="1">
      <x:c r="A1548" s="11" t="n">
        <x:v>1544</x:v>
      </x:c>
      <x:c r="B1548" s="11" t="n">
        <x:v>783</x:v>
      </x:c>
      <x:c r="C1548" s="18" t="n">
        <x:v>46008</x:v>
      </x:c>
      <x:c r="D1548" s="11" t="str">
        <x:v>2025-12</x:v>
      </x:c>
      <x:c r="E1548" s="11" t="str">
        <x:v>South</x:v>
      </x:c>
      <x:c r="F1548" s="11" t="str">
        <x:v>Office Supplies</x:v>
      </x:c>
      <x:c r="G1548" s="11" t="str">
        <x:v>Notebook pack</x:v>
      </x:c>
      <x:c r="H1548" s="11" t="n">
        <x:v>2</x:v>
      </x:c>
      <x:c r="I1548" s="19" t="n">
        <x:v>0</x:v>
      </x:c>
      <x:c r="J1548" s="11" t="n">
        <x:v>0</x:v>
      </x:c>
      <x:c r="K1548" s="20" t="n">
        <x:v>36</x:v>
      </x:c>
      <x:c r="L1548" s="20" t="n">
        <x:v>0</x:v>
      </x:c>
      <x:c r="M1548" s="20" t="n">
        <x:v>14</x:v>
      </x:c>
      <x:c r="N1548" s="20" t="n">
        <x:f>IF(J1548=1,0,K1548-L1548)</x:f>
        <x:v>36</x:v>
      </x:c>
      <x:c r="O1548" s="20" t="n">
        <x:f>N1548-M1548</x:f>
        <x:v>22</x:v>
      </x:c>
    </x:row>
    <x:row r="1549" ht="22" customHeight="1">
      <x:c r="A1549" s="11" t="n">
        <x:v>1545</x:v>
      </x:c>
      <x:c r="B1549" s="11" t="n">
        <x:v>784</x:v>
      </x:c>
      <x:c r="C1549" s="18" t="n">
        <x:v>45621</x:v>
      </x:c>
      <x:c r="D1549" s="11" t="str">
        <x:v>2024-11</x:v>
      </x:c>
      <x:c r="E1549" s="11" t="str">
        <x:v>South</x:v>
      </x:c>
      <x:c r="F1549" s="11" t="str">
        <x:v>Office Supplies</x:v>
      </x:c>
      <x:c r="G1549" s="11" t="str">
        <x:v>Storage box</x:v>
      </x:c>
      <x:c r="H1549" s="11" t="n">
        <x:v>3</x:v>
      </x:c>
      <x:c r="I1549" s="19" t="n">
        <x:v>0.1</x:v>
      </x:c>
      <x:c r="J1549" s="11" t="n">
        <x:v>0</x:v>
      </x:c>
      <x:c r="K1549" s="20" t="n">
        <x:v>78</x:v>
      </x:c>
      <x:c r="L1549" s="20" t="n">
        <x:v>7.8</x:v>
      </x:c>
      <x:c r="M1549" s="20" t="n">
        <x:v>36</x:v>
      </x:c>
      <x:c r="N1549" s="20" t="n">
        <x:f>IF(J1549=1,0,K1549-L1549)</x:f>
        <x:v>70.2</x:v>
      </x:c>
      <x:c r="O1549" s="20" t="n">
        <x:f>N1549-M1549</x:f>
        <x:v>34.2</x:v>
      </x:c>
    </x:row>
    <x:row r="1550" ht="22" customHeight="1">
      <x:c r="A1550" s="11" t="n">
        <x:v>1546</x:v>
      </x:c>
      <x:c r="B1550" s="11" t="n">
        <x:v>785</x:v>
      </x:c>
      <x:c r="C1550" s="18" t="n">
        <x:v>45788</x:v>
      </x:c>
      <x:c r="D1550" s="11" t="str">
        <x:v>2025-05</x:v>
      </x:c>
      <x:c r="E1550" s="11" t="str">
        <x:v>West</x:v>
      </x:c>
      <x:c r="F1550" s="11" t="str">
        <x:v>Technology</x:v>
      </x:c>
      <x:c r="G1550" s="11" t="str">
        <x:v>Keyboard</x:v>
      </x:c>
      <x:c r="H1550" s="11" t="n">
        <x:v>1</x:v>
      </x:c>
      <x:c r="I1550" s="19" t="n">
        <x:v>0.1</x:v>
      </x:c>
      <x:c r="J1550" s="11" t="n">
        <x:v>0</x:v>
      </x:c>
      <x:c r="K1550" s="20" t="n">
        <x:v>65</x:v>
      </x:c>
      <x:c r="L1550" s="20" t="n">
        <x:v>6.5</x:v>
      </x:c>
      <x:c r="M1550" s="20" t="n">
        <x:v>32</x:v>
      </x:c>
      <x:c r="N1550" s="20" t="n">
        <x:f>IF(J1550=1,0,K1550-L1550)</x:f>
        <x:v>58.5</x:v>
      </x:c>
      <x:c r="O1550" s="20" t="n">
        <x:f>N1550-M1550</x:f>
        <x:v>26.5</x:v>
      </x:c>
    </x:row>
    <x:row r="1551" ht="22" customHeight="1">
      <x:c r="A1551" s="11" t="n">
        <x:v>1547</x:v>
      </x:c>
      <x:c r="B1551" s="11" t="n">
        <x:v>785</x:v>
      </x:c>
      <x:c r="C1551" s="18" t="n">
        <x:v>45788</x:v>
      </x:c>
      <x:c r="D1551" s="11" t="str">
        <x:v>2025-05</x:v>
      </x:c>
      <x:c r="E1551" s="11" t="str">
        <x:v>West</x:v>
      </x:c>
      <x:c r="F1551" s="11" t="str">
        <x:v>Office Supplies</x:v>
      </x:c>
      <x:c r="G1551" s="11" t="str">
        <x:v>Storage box</x:v>
      </x:c>
      <x:c r="H1551" s="11" t="n">
        <x:v>2</x:v>
      </x:c>
      <x:c r="I1551" s="19" t="n">
        <x:v>0</x:v>
      </x:c>
      <x:c r="J1551" s="11" t="n">
        <x:v>0</x:v>
      </x:c>
      <x:c r="K1551" s="20" t="n">
        <x:v>52</x:v>
      </x:c>
      <x:c r="L1551" s="20" t="n">
        <x:v>0</x:v>
      </x:c>
      <x:c r="M1551" s="20" t="n">
        <x:v>24</x:v>
      </x:c>
      <x:c r="N1551" s="20" t="n">
        <x:f>IF(J1551=1,0,K1551-L1551)</x:f>
        <x:v>52</x:v>
      </x:c>
      <x:c r="O1551" s="20" t="n">
        <x:f>N1551-M1551</x:f>
        <x:v>28</x:v>
      </x:c>
    </x:row>
    <x:row r="1552" ht="22" customHeight="1">
      <x:c r="A1552" s="11" t="n">
        <x:v>1548</x:v>
      </x:c>
      <x:c r="B1552" s="11" t="n">
        <x:v>786</x:v>
      </x:c>
      <x:c r="C1552" s="18" t="n">
        <x:v>45877</x:v>
      </x:c>
      <x:c r="D1552" s="11" t="str">
        <x:v>2025-08</x:v>
      </x:c>
      <x:c r="E1552" s="11" t="str">
        <x:v>South</x:v>
      </x:c>
      <x:c r="F1552" s="11" t="str">
        <x:v>Technology</x:v>
      </x:c>
      <x:c r="G1552" s="11" t="str">
        <x:v>Keyboard</x:v>
      </x:c>
      <x:c r="H1552" s="11" t="n">
        <x:v>1</x:v>
      </x:c>
      <x:c r="I1552" s="19" t="n">
        <x:v>0.05</x:v>
      </x:c>
      <x:c r="J1552" s="11" t="n">
        <x:v>0</x:v>
      </x:c>
      <x:c r="K1552" s="20" t="n">
        <x:v>65</x:v>
      </x:c>
      <x:c r="L1552" s="20" t="n">
        <x:v>3.25</x:v>
      </x:c>
      <x:c r="M1552" s="20" t="n">
        <x:v>32</x:v>
      </x:c>
      <x:c r="N1552" s="20" t="n">
        <x:f>IF(J1552=1,0,K1552-L1552)</x:f>
        <x:v>61.75</x:v>
      </x:c>
      <x:c r="O1552" s="20" t="n">
        <x:f>N1552-M1552</x:f>
        <x:v>29.75</x:v>
      </x:c>
    </x:row>
    <x:row r="1553" ht="22" customHeight="1">
      <x:c r="A1553" s="11" t="n">
        <x:v>1549</x:v>
      </x:c>
      <x:c r="B1553" s="11" t="n">
        <x:v>787</x:v>
      </x:c>
      <x:c r="C1553" s="18" t="n">
        <x:v>45853</x:v>
      </x:c>
      <x:c r="D1553" s="11" t="str">
        <x:v>2025-07</x:v>
      </x:c>
      <x:c r="E1553" s="11" t="str">
        <x:v>East</x:v>
      </x:c>
      <x:c r="F1553" s="11" t="str">
        <x:v>Furniture</x:v>
      </x:c>
      <x:c r="G1553" s="11" t="str">
        <x:v>Desk</x:v>
      </x:c>
      <x:c r="H1553" s="11" t="n">
        <x:v>5</x:v>
      </x:c>
      <x:c r="I1553" s="19" t="n">
        <x:v>0.05</x:v>
      </x:c>
      <x:c r="J1553" s="11" t="n">
        <x:v>0</x:v>
      </x:c>
      <x:c r="K1553" s="20" t="n">
        <x:v>1400</x:v>
      </x:c>
      <x:c r="L1553" s="20" t="n">
        <x:v>70</x:v>
      </x:c>
      <x:c r="M1553" s="20" t="n">
        <x:v>950</x:v>
      </x:c>
      <x:c r="N1553" s="20" t="n">
        <x:f>IF(J1553=1,0,K1553-L1553)</x:f>
        <x:v>1330</x:v>
      </x:c>
      <x:c r="O1553" s="20" t="n">
        <x:f>N1553-M1553</x:f>
        <x:v>380</x:v>
      </x:c>
    </x:row>
    <x:row r="1554" ht="22" customHeight="1">
      <x:c r="A1554" s="11" t="n">
        <x:v>1550</x:v>
      </x:c>
      <x:c r="B1554" s="11" t="n">
        <x:v>787</x:v>
      </x:c>
      <x:c r="C1554" s="18" t="n">
        <x:v>45853</x:v>
      </x:c>
      <x:c r="D1554" s="11" t="str">
        <x:v>2025-07</x:v>
      </x:c>
      <x:c r="E1554" s="11" t="str">
        <x:v>East</x:v>
      </x:c>
      <x:c r="F1554" s="11" t="str">
        <x:v>Technology</x:v>
      </x:c>
      <x:c r="G1554" s="11" t="str">
        <x:v>Keyboard</x:v>
      </x:c>
      <x:c r="H1554" s="11" t="n">
        <x:v>2</x:v>
      </x:c>
      <x:c r="I1554" s="19" t="n">
        <x:v>0</x:v>
      </x:c>
      <x:c r="J1554" s="11" t="n">
        <x:v>0</x:v>
      </x:c>
      <x:c r="K1554" s="20" t="n">
        <x:v>130</x:v>
      </x:c>
      <x:c r="L1554" s="20" t="n">
        <x:v>0</x:v>
      </x:c>
      <x:c r="M1554" s="20" t="n">
        <x:v>64</x:v>
      </x:c>
      <x:c r="N1554" s="20" t="n">
        <x:f>IF(J1554=1,0,K1554-L1554)</x:f>
        <x:v>130</x:v>
      </x:c>
      <x:c r="O1554" s="20" t="n">
        <x:f>N1554-M1554</x:f>
        <x:v>66</x:v>
      </x:c>
    </x:row>
    <x:row r="1555" ht="22" customHeight="1">
      <x:c r="A1555" s="11" t="n">
        <x:v>1551</x:v>
      </x:c>
      <x:c r="B1555" s="11" t="n">
        <x:v>788</x:v>
      </x:c>
      <x:c r="C1555" s="18" t="n">
        <x:v>45321</x:v>
      </x:c>
      <x:c r="D1555" s="11" t="str">
        <x:v>2024-01</x:v>
      </x:c>
      <x:c r="E1555" s="11" t="str">
        <x:v>Central</x:v>
      </x:c>
      <x:c r="F1555" s="11" t="str">
        <x:v>Technology</x:v>
      </x:c>
      <x:c r="G1555" s="11" t="str">
        <x:v>Monitor</x:v>
      </x:c>
      <x:c r="H1555" s="11" t="n">
        <x:v>3</x:v>
      </x:c>
      <x:c r="I1555" s="19" t="n">
        <x:v>0.1</x:v>
      </x:c>
      <x:c r="J1555" s="11" t="n">
        <x:v>0</x:v>
      </x:c>
      <x:c r="K1555" s="20" t="n">
        <x:v>720</x:v>
      </x:c>
      <x:c r="L1555" s="20" t="n">
        <x:v>72</x:v>
      </x:c>
      <x:c r="M1555" s="20" t="n">
        <x:v>480</x:v>
      </x:c>
      <x:c r="N1555" s="20" t="n">
        <x:f>IF(J1555=1,0,K1555-L1555)</x:f>
        <x:v>648</x:v>
      </x:c>
      <x:c r="O1555" s="20" t="n">
        <x:f>N1555-M1555</x:f>
        <x:v>168</x:v>
      </x:c>
    </x:row>
    <x:row r="1556" ht="22" customHeight="1">
      <x:c r="A1556" s="11" t="n">
        <x:v>1552</x:v>
      </x:c>
      <x:c r="B1556" s="11" t="n">
        <x:v>788</x:v>
      </x:c>
      <x:c r="C1556" s="18" t="n">
        <x:v>45321</x:v>
      </x:c>
      <x:c r="D1556" s="11" t="str">
        <x:v>2024-01</x:v>
      </x:c>
      <x:c r="E1556" s="11" t="str">
        <x:v>Central</x:v>
      </x:c>
      <x:c r="F1556" s="11" t="str">
        <x:v>Furniture</x:v>
      </x:c>
      <x:c r="G1556" s="11" t="str">
        <x:v>Chair</x:v>
      </x:c>
      <x:c r="H1556" s="11" t="n">
        <x:v>1</x:v>
      </x:c>
      <x:c r="I1556" s="19" t="n">
        <x:v>0</x:v>
      </x:c>
      <x:c r="J1556" s="11" t="n">
        <x:v>0</x:v>
      </x:c>
      <x:c r="K1556" s="20" t="n">
        <x:v>170</x:v>
      </x:c>
      <x:c r="L1556" s="20" t="n">
        <x:v>0</x:v>
      </x:c>
      <x:c r="M1556" s="20" t="n">
        <x:v>110</x:v>
      </x:c>
      <x:c r="N1556" s="20" t="n">
        <x:f>IF(J1556=1,0,K1556-L1556)</x:f>
        <x:v>170</x:v>
      </x:c>
      <x:c r="O1556" s="20" t="n">
        <x:f>N1556-M1556</x:f>
        <x:v>60</x:v>
      </x:c>
    </x:row>
    <x:row r="1557" ht="22" customHeight="1">
      <x:c r="A1557" s="11" t="n">
        <x:v>1553</x:v>
      </x:c>
      <x:c r="B1557" s="11" t="n">
        <x:v>789</x:v>
      </x:c>
      <x:c r="C1557" s="18" t="n">
        <x:v>45940</x:v>
      </x:c>
      <x:c r="D1557" s="11" t="str">
        <x:v>2025-10</x:v>
      </x:c>
      <x:c r="E1557" s="11" t="str">
        <x:v>South</x:v>
      </x:c>
      <x:c r="F1557" s="11" t="str">
        <x:v>Office Supplies</x:v>
      </x:c>
      <x:c r="G1557" s="11" t="str">
        <x:v>Storage box</x:v>
      </x:c>
      <x:c r="H1557" s="11" t="n">
        <x:v>3</x:v>
      </x:c>
      <x:c r="I1557" s="19" t="n">
        <x:v>0</x:v>
      </x:c>
      <x:c r="J1557" s="11" t="n">
        <x:v>0</x:v>
      </x:c>
      <x:c r="K1557" s="20" t="n">
        <x:v>78</x:v>
      </x:c>
      <x:c r="L1557" s="20" t="n">
        <x:v>0</x:v>
      </x:c>
      <x:c r="M1557" s="20" t="n">
        <x:v>36</x:v>
      </x:c>
      <x:c r="N1557" s="20" t="n">
        <x:f>IF(J1557=1,0,K1557-L1557)</x:f>
        <x:v>78</x:v>
      </x:c>
      <x:c r="O1557" s="20" t="n">
        <x:f>N1557-M1557</x:f>
        <x:v>42</x:v>
      </x:c>
    </x:row>
    <x:row r="1558" ht="22" customHeight="1">
      <x:c r="A1558" s="11" t="n">
        <x:v>1554</x:v>
      </x:c>
      <x:c r="B1558" s="11" t="n">
        <x:v>790</x:v>
      </x:c>
      <x:c r="C1558" s="18" t="n">
        <x:v>45907</x:v>
      </x:c>
      <x:c r="D1558" s="11" t="str">
        <x:v>2025-09</x:v>
      </x:c>
      <x:c r="E1558" s="11" t="str">
        <x:v>Central</x:v>
      </x:c>
      <x:c r="F1558" s="11" t="str">
        <x:v>Office Supplies</x:v>
      </x:c>
      <x:c r="G1558" s="11" t="str">
        <x:v>Storage box</x:v>
      </x:c>
      <x:c r="H1558" s="11" t="n">
        <x:v>5</x:v>
      </x:c>
      <x:c r="I1558" s="19" t="n">
        <x:v>0.1</x:v>
      </x:c>
      <x:c r="J1558" s="11" t="n">
        <x:v>0</x:v>
      </x:c>
      <x:c r="K1558" s="20" t="n">
        <x:v>130</x:v>
      </x:c>
      <x:c r="L1558" s="20" t="n">
        <x:v>13</x:v>
      </x:c>
      <x:c r="M1558" s="20" t="n">
        <x:v>60</x:v>
      </x:c>
      <x:c r="N1558" s="20" t="n">
        <x:f>IF(J1558=1,0,K1558-L1558)</x:f>
        <x:v>117</x:v>
      </x:c>
      <x:c r="O1558" s="20" t="n">
        <x:f>N1558-M1558</x:f>
        <x:v>57</x:v>
      </x:c>
    </x:row>
    <x:row r="1559" ht="22" customHeight="1">
      <x:c r="A1559" s="11" t="n">
        <x:v>1555</x:v>
      </x:c>
      <x:c r="B1559" s="11" t="n">
        <x:v>790</x:v>
      </x:c>
      <x:c r="C1559" s="18" t="n">
        <x:v>45907</x:v>
      </x:c>
      <x:c r="D1559" s="11" t="str">
        <x:v>2025-09</x:v>
      </x:c>
      <x:c r="E1559" s="11" t="str">
        <x:v>Central</x:v>
      </x:c>
      <x:c r="F1559" s="11" t="str">
        <x:v>Technology</x:v>
      </x:c>
      <x:c r="G1559" s="11" t="str">
        <x:v>Keyboard</x:v>
      </x:c>
      <x:c r="H1559" s="11" t="n">
        <x:v>2</x:v>
      </x:c>
      <x:c r="I1559" s="19" t="n">
        <x:v>0.05</x:v>
      </x:c>
      <x:c r="J1559" s="11" t="n">
        <x:v>0</x:v>
      </x:c>
      <x:c r="K1559" s="20" t="n">
        <x:v>130</x:v>
      </x:c>
      <x:c r="L1559" s="20" t="n">
        <x:v>6.5</x:v>
      </x:c>
      <x:c r="M1559" s="20" t="n">
        <x:v>64</x:v>
      </x:c>
      <x:c r="N1559" s="20" t="n">
        <x:f>IF(J1559=1,0,K1559-L1559)</x:f>
        <x:v>123.5</x:v>
      </x:c>
      <x:c r="O1559" s="20" t="n">
        <x:f>N1559-M1559</x:f>
        <x:v>59.5</x:v>
      </x:c>
    </x:row>
    <x:row r="1560" ht="22" customHeight="1">
      <x:c r="A1560" s="11" t="n">
        <x:v>1556</x:v>
      </x:c>
      <x:c r="B1560" s="11" t="n">
        <x:v>791</x:v>
      </x:c>
      <x:c r="C1560" s="18" t="n">
        <x:v>45381</x:v>
      </x:c>
      <x:c r="D1560" s="11" t="str">
        <x:v>2024-03</x:v>
      </x:c>
      <x:c r="E1560" s="11" t="str">
        <x:v>Central</x:v>
      </x:c>
      <x:c r="F1560" s="11" t="str">
        <x:v>Office Supplies</x:v>
      </x:c>
      <x:c r="G1560" s="11" t="str">
        <x:v>Storage box</x:v>
      </x:c>
      <x:c r="H1560" s="11" t="n">
        <x:v>2</x:v>
      </x:c>
      <x:c r="I1560" s="19" t="n">
        <x:v>0</x:v>
      </x:c>
      <x:c r="J1560" s="11" t="n">
        <x:v>0</x:v>
      </x:c>
      <x:c r="K1560" s="20" t="n">
        <x:v>52</x:v>
      </x:c>
      <x:c r="L1560" s="20" t="n">
        <x:v>0</x:v>
      </x:c>
      <x:c r="M1560" s="20" t="n">
        <x:v>24</x:v>
      </x:c>
      <x:c r="N1560" s="20" t="n">
        <x:f>IF(J1560=1,0,K1560-L1560)</x:f>
        <x:v>52</x:v>
      </x:c>
      <x:c r="O1560" s="20" t="n">
        <x:f>N1560-M1560</x:f>
        <x:v>28</x:v>
      </x:c>
    </x:row>
    <x:row r="1561" ht="22" customHeight="1">
      <x:c r="A1561" s="11" t="n">
        <x:v>1557</x:v>
      </x:c>
      <x:c r="B1561" s="11" t="n">
        <x:v>791</x:v>
      </x:c>
      <x:c r="C1561" s="18" t="n">
        <x:v>45381</x:v>
      </x:c>
      <x:c r="D1561" s="11" t="str">
        <x:v>2024-03</x:v>
      </x:c>
      <x:c r="E1561" s="11" t="str">
        <x:v>Central</x:v>
      </x:c>
      <x:c r="F1561" s="11" t="str">
        <x:v>Office Supplies</x:v>
      </x:c>
      <x:c r="G1561" s="11" t="str">
        <x:v>Notebook pack</x:v>
      </x:c>
      <x:c r="H1561" s="11" t="n">
        <x:v>2</x:v>
      </x:c>
      <x:c r="I1561" s="19" t="n">
        <x:v>0.05</x:v>
      </x:c>
      <x:c r="J1561" s="11" t="n">
        <x:v>0</x:v>
      </x:c>
      <x:c r="K1561" s="20" t="n">
        <x:v>36</x:v>
      </x:c>
      <x:c r="L1561" s="20" t="n">
        <x:v>1.8</x:v>
      </x:c>
      <x:c r="M1561" s="20" t="n">
        <x:v>14</x:v>
      </x:c>
      <x:c r="N1561" s="20" t="n">
        <x:f>IF(J1561=1,0,K1561-L1561)</x:f>
        <x:v>34.2</x:v>
      </x:c>
      <x:c r="O1561" s="20" t="n">
        <x:f>N1561-M1561</x:f>
        <x:v>20.200000000000003</x:v>
      </x:c>
    </x:row>
    <x:row r="1562" ht="22" customHeight="1">
      <x:c r="A1562" s="11" t="n">
        <x:v>1558</x:v>
      </x:c>
      <x:c r="B1562" s="11" t="n">
        <x:v>792</x:v>
      </x:c>
      <x:c r="C1562" s="18" t="n">
        <x:v>45882</x:v>
      </x:c>
      <x:c r="D1562" s="11" t="str">
        <x:v>2025-08</x:v>
      </x:c>
      <x:c r="E1562" s="11" t="str">
        <x:v>Central</x:v>
      </x:c>
      <x:c r="F1562" s="11" t="str">
        <x:v>Furniture</x:v>
      </x:c>
      <x:c r="G1562" s="11" t="str">
        <x:v>Desk</x:v>
      </x:c>
      <x:c r="H1562" s="11" t="n">
        <x:v>5</x:v>
      </x:c>
      <x:c r="I1562" s="19" t="n">
        <x:v>0.05</x:v>
      </x:c>
      <x:c r="J1562" s="11" t="n">
        <x:v>0</x:v>
      </x:c>
      <x:c r="K1562" s="20" t="n">
        <x:v>1400</x:v>
      </x:c>
      <x:c r="L1562" s="20" t="n">
        <x:v>70</x:v>
      </x:c>
      <x:c r="M1562" s="20" t="n">
        <x:v>950</x:v>
      </x:c>
      <x:c r="N1562" s="20" t="n">
        <x:f>IF(J1562=1,0,K1562-L1562)</x:f>
        <x:v>1330</x:v>
      </x:c>
      <x:c r="O1562" s="20" t="n">
        <x:f>N1562-M1562</x:f>
        <x:v>380</x:v>
      </x:c>
    </x:row>
    <x:row r="1563" ht="22" customHeight="1">
      <x:c r="A1563" s="11" t="n">
        <x:v>1559</x:v>
      </x:c>
      <x:c r="B1563" s="11" t="n">
        <x:v>792</x:v>
      </x:c>
      <x:c r="C1563" s="18" t="n">
        <x:v>45882</x:v>
      </x:c>
      <x:c r="D1563" s="11" t="str">
        <x:v>2025-08</x:v>
      </x:c>
      <x:c r="E1563" s="11" t="str">
        <x:v>Central</x:v>
      </x:c>
      <x:c r="F1563" s="11" t="str">
        <x:v>Office Supplies</x:v>
      </x:c>
      <x:c r="G1563" s="11" t="str">
        <x:v>Notebook pack</x:v>
      </x:c>
      <x:c r="H1563" s="11" t="n">
        <x:v>4</x:v>
      </x:c>
      <x:c r="I1563" s="19" t="n">
        <x:v>0.05</x:v>
      </x:c>
      <x:c r="J1563" s="11" t="n">
        <x:v>0</x:v>
      </x:c>
      <x:c r="K1563" s="20" t="n">
        <x:v>72</x:v>
      </x:c>
      <x:c r="L1563" s="20" t="n">
        <x:v>3.6</x:v>
      </x:c>
      <x:c r="M1563" s="20" t="n">
        <x:v>28</x:v>
      </x:c>
      <x:c r="N1563" s="20" t="n">
        <x:f>IF(J1563=1,0,K1563-L1563)</x:f>
        <x:v>68.4</x:v>
      </x:c>
      <x:c r="O1563" s="20" t="n">
        <x:f>N1563-M1563</x:f>
        <x:v>40.400000000000006</x:v>
      </x:c>
    </x:row>
    <x:row r="1564" ht="22" customHeight="1">
      <x:c r="A1564" s="11" t="n">
        <x:v>1560</x:v>
      </x:c>
      <x:c r="B1564" s="11" t="n">
        <x:v>793</x:v>
      </x:c>
      <x:c r="C1564" s="18" t="n">
        <x:v>45987</x:v>
      </x:c>
      <x:c r="D1564" s="11" t="str">
        <x:v>2025-11</x:v>
      </x:c>
      <x:c r="E1564" s="11" t="str">
        <x:v>South</x:v>
      </x:c>
      <x:c r="F1564" s="11" t="str">
        <x:v>Technology</x:v>
      </x:c>
      <x:c r="G1564" s="11" t="str">
        <x:v>Keyboard</x:v>
      </x:c>
      <x:c r="H1564" s="11" t="n">
        <x:v>1</x:v>
      </x:c>
      <x:c r="I1564" s="19" t="n">
        <x:v>0.15</x:v>
      </x:c>
      <x:c r="J1564" s="11" t="n">
        <x:v>0</x:v>
      </x:c>
      <x:c r="K1564" s="20" t="n">
        <x:v>65</x:v>
      </x:c>
      <x:c r="L1564" s="20" t="n">
        <x:v>9.75</x:v>
      </x:c>
      <x:c r="M1564" s="20" t="n">
        <x:v>32</x:v>
      </x:c>
      <x:c r="N1564" s="20" t="n">
        <x:f>IF(J1564=1,0,K1564-L1564)</x:f>
        <x:v>55.25</x:v>
      </x:c>
      <x:c r="O1564" s="20" t="n">
        <x:f>N1564-M1564</x:f>
        <x:v>23.25</x:v>
      </x:c>
    </x:row>
    <x:row r="1565" ht="22" customHeight="1">
      <x:c r="A1565" s="11" t="n">
        <x:v>1561</x:v>
      </x:c>
      <x:c r="B1565" s="11" t="n">
        <x:v>794</x:v>
      </x:c>
      <x:c r="C1565" s="18" t="n">
        <x:v>45615</x:v>
      </x:c>
      <x:c r="D1565" s="11" t="str">
        <x:v>2024-11</x:v>
      </x:c>
      <x:c r="E1565" s="11" t="str">
        <x:v>East</x:v>
      </x:c>
      <x:c r="F1565" s="11" t="str">
        <x:v>Technology</x:v>
      </x:c>
      <x:c r="G1565" s="11" t="str">
        <x:v>Keyboard</x:v>
      </x:c>
      <x:c r="H1565" s="11" t="n">
        <x:v>4</x:v>
      </x:c>
      <x:c r="I1565" s="19" t="n">
        <x:v>0</x:v>
      </x:c>
      <x:c r="J1565" s="11" t="n">
        <x:v>0</x:v>
      </x:c>
      <x:c r="K1565" s="20" t="n">
        <x:v>260</x:v>
      </x:c>
      <x:c r="L1565" s="20" t="n">
        <x:v>0</x:v>
      </x:c>
      <x:c r="M1565" s="20" t="n">
        <x:v>128</x:v>
      </x:c>
      <x:c r="N1565" s="20" t="n">
        <x:f>IF(J1565=1,0,K1565-L1565)</x:f>
        <x:v>260</x:v>
      </x:c>
      <x:c r="O1565" s="20" t="n">
        <x:f>N1565-M1565</x:f>
        <x:v>132</x:v>
      </x:c>
    </x:row>
    <x:row r="1566" ht="22" customHeight="1">
      <x:c r="A1566" s="11" t="n">
        <x:v>1562</x:v>
      </x:c>
      <x:c r="B1566" s="11" t="n">
        <x:v>795</x:v>
      </x:c>
      <x:c r="C1566" s="18" t="n">
        <x:v>45441</x:v>
      </x:c>
      <x:c r="D1566" s="11" t="str">
        <x:v>2024-05</x:v>
      </x:c>
      <x:c r="E1566" s="11" t="str">
        <x:v>West</x:v>
      </x:c>
      <x:c r="F1566" s="11" t="str">
        <x:v>Technology</x:v>
      </x:c>
      <x:c r="G1566" s="11" t="str">
        <x:v>Monitor</x:v>
      </x:c>
      <x:c r="H1566" s="11" t="n">
        <x:v>3</x:v>
      </x:c>
      <x:c r="I1566" s="19" t="n">
        <x:v>0.15</x:v>
      </x:c>
      <x:c r="J1566" s="11" t="n">
        <x:v>0</x:v>
      </x:c>
      <x:c r="K1566" s="20" t="n">
        <x:v>720</x:v>
      </x:c>
      <x:c r="L1566" s="20" t="n">
        <x:v>108</x:v>
      </x:c>
      <x:c r="M1566" s="20" t="n">
        <x:v>480</x:v>
      </x:c>
      <x:c r="N1566" s="20" t="n">
        <x:f>IF(J1566=1,0,K1566-L1566)</x:f>
        <x:v>612</x:v>
      </x:c>
      <x:c r="O1566" s="20" t="n">
        <x:f>N1566-M1566</x:f>
        <x:v>132</x:v>
      </x:c>
    </x:row>
    <x:row r="1567" ht="22" customHeight="1">
      <x:c r="A1567" s="11" t="n">
        <x:v>1563</x:v>
      </x:c>
      <x:c r="B1567" s="11" t="n">
        <x:v>795</x:v>
      </x:c>
      <x:c r="C1567" s="18" t="n">
        <x:v>45441</x:v>
      </x:c>
      <x:c r="D1567" s="11" t="str">
        <x:v>2024-05</x:v>
      </x:c>
      <x:c r="E1567" s="11" t="str">
        <x:v>West</x:v>
      </x:c>
      <x:c r="F1567" s="11" t="str">
        <x:v>Office Supplies</x:v>
      </x:c>
      <x:c r="G1567" s="11" t="str">
        <x:v>Storage box</x:v>
      </x:c>
      <x:c r="H1567" s="11" t="n">
        <x:v>2</x:v>
      </x:c>
      <x:c r="I1567" s="19" t="n">
        <x:v>0.1</x:v>
      </x:c>
      <x:c r="J1567" s="11" t="n">
        <x:v>0</x:v>
      </x:c>
      <x:c r="K1567" s="20" t="n">
        <x:v>52</x:v>
      </x:c>
      <x:c r="L1567" s="20" t="n">
        <x:v>5.2</x:v>
      </x:c>
      <x:c r="M1567" s="20" t="n">
        <x:v>24</x:v>
      </x:c>
      <x:c r="N1567" s="20" t="n">
        <x:f>IF(J1567=1,0,K1567-L1567)</x:f>
        <x:v>46.8</x:v>
      </x:c>
      <x:c r="O1567" s="20" t="n">
        <x:f>N1567-M1567</x:f>
        <x:v>22.799999999999997</x:v>
      </x:c>
    </x:row>
    <x:row r="1568" ht="22" customHeight="1">
      <x:c r="A1568" s="11" t="n">
        <x:v>1564</x:v>
      </x:c>
      <x:c r="B1568" s="11" t="n">
        <x:v>795</x:v>
      </x:c>
      <x:c r="C1568" s="18" t="n">
        <x:v>45441</x:v>
      </x:c>
      <x:c r="D1568" s="11" t="str">
        <x:v>2024-05</x:v>
      </x:c>
      <x:c r="E1568" s="11" t="str">
        <x:v>West</x:v>
      </x:c>
      <x:c r="F1568" s="11" t="str">
        <x:v>Furniture</x:v>
      </x:c>
      <x:c r="G1568" s="11" t="str">
        <x:v>Desk</x:v>
      </x:c>
      <x:c r="H1568" s="11" t="n">
        <x:v>4</x:v>
      </x:c>
      <x:c r="I1568" s="19" t="n">
        <x:v>0</x:v>
      </x:c>
      <x:c r="J1568" s="11" t="n">
        <x:v>0</x:v>
      </x:c>
      <x:c r="K1568" s="20" t="n">
        <x:v>1120</x:v>
      </x:c>
      <x:c r="L1568" s="20" t="n">
        <x:v>0</x:v>
      </x:c>
      <x:c r="M1568" s="20" t="n">
        <x:v>760</x:v>
      </x:c>
      <x:c r="N1568" s="20" t="n">
        <x:f>IF(J1568=1,0,K1568-L1568)</x:f>
        <x:v>1120</x:v>
      </x:c>
      <x:c r="O1568" s="20" t="n">
        <x:f>N1568-M1568</x:f>
        <x:v>360</x:v>
      </x:c>
    </x:row>
    <x:row r="1569" ht="22" customHeight="1">
      <x:c r="A1569" s="11" t="n">
        <x:v>1565</x:v>
      </x:c>
      <x:c r="B1569" s="11" t="n">
        <x:v>796</x:v>
      </x:c>
      <x:c r="C1569" s="18" t="n">
        <x:v>45633</x:v>
      </x:c>
      <x:c r="D1569" s="11" t="str">
        <x:v>2024-12</x:v>
      </x:c>
      <x:c r="E1569" s="11" t="str">
        <x:v>South</x:v>
      </x:c>
      <x:c r="F1569" s="11" t="str">
        <x:v>Furniture</x:v>
      </x:c>
      <x:c r="G1569" s="11" t="str">
        <x:v>Chair</x:v>
      </x:c>
      <x:c r="H1569" s="11" t="n">
        <x:v>4</x:v>
      </x:c>
      <x:c r="I1569" s="19" t="n">
        <x:v>0.25</x:v>
      </x:c>
      <x:c r="J1569" s="11" t="n">
        <x:v>0</x:v>
      </x:c>
      <x:c r="K1569" s="20" t="n">
        <x:v>680</x:v>
      </x:c>
      <x:c r="L1569" s="20" t="n">
        <x:v>170</x:v>
      </x:c>
      <x:c r="M1569" s="20" t="n">
        <x:v>440</x:v>
      </x:c>
      <x:c r="N1569" s="20" t="n">
        <x:f>IF(J1569=1,0,K1569-L1569)</x:f>
        <x:v>510</x:v>
      </x:c>
      <x:c r="O1569" s="20" t="n">
        <x:f>N1569-M1569</x:f>
        <x:v>70</x:v>
      </x:c>
    </x:row>
    <x:row r="1570" ht="22" customHeight="1">
      <x:c r="A1570" s="11" t="n">
        <x:v>1566</x:v>
      </x:c>
      <x:c r="B1570" s="11" t="n">
        <x:v>796</x:v>
      </x:c>
      <x:c r="C1570" s="18" t="n">
        <x:v>45633</x:v>
      </x:c>
      <x:c r="D1570" s="11" t="str">
        <x:v>2024-12</x:v>
      </x:c>
      <x:c r="E1570" s="11" t="str">
        <x:v>South</x:v>
      </x:c>
      <x:c r="F1570" s="11" t="str">
        <x:v>Furniture</x:v>
      </x:c>
      <x:c r="G1570" s="11" t="str">
        <x:v>Desk</x:v>
      </x:c>
      <x:c r="H1570" s="11" t="n">
        <x:v>2</x:v>
      </x:c>
      <x:c r="I1570" s="19" t="n">
        <x:v>0</x:v>
      </x:c>
      <x:c r="J1570" s="11" t="n">
        <x:v>0</x:v>
      </x:c>
      <x:c r="K1570" s="20" t="n">
        <x:v>560</x:v>
      </x:c>
      <x:c r="L1570" s="20" t="n">
        <x:v>0</x:v>
      </x:c>
      <x:c r="M1570" s="20" t="n">
        <x:v>380</x:v>
      </x:c>
      <x:c r="N1570" s="20" t="n">
        <x:f>IF(J1570=1,0,K1570-L1570)</x:f>
        <x:v>560</x:v>
      </x:c>
      <x:c r="O1570" s="20" t="n">
        <x:f>N1570-M1570</x:f>
        <x:v>180</x:v>
      </x:c>
    </x:row>
    <x:row r="1571" ht="22" customHeight="1">
      <x:c r="A1571" s="11" t="n">
        <x:v>1567</x:v>
      </x:c>
      <x:c r="B1571" s="11" t="n">
        <x:v>796</x:v>
      </x:c>
      <x:c r="C1571" s="18" t="n">
        <x:v>45633</x:v>
      </x:c>
      <x:c r="D1571" s="11" t="str">
        <x:v>2024-12</x:v>
      </x:c>
      <x:c r="E1571" s="11" t="str">
        <x:v>South</x:v>
      </x:c>
      <x:c r="F1571" s="11" t="str">
        <x:v>Office Supplies</x:v>
      </x:c>
      <x:c r="G1571" s="11" t="str">
        <x:v>Storage box</x:v>
      </x:c>
      <x:c r="H1571" s="11" t="n">
        <x:v>3</x:v>
      </x:c>
      <x:c r="I1571" s="19" t="n">
        <x:v>0.1</x:v>
      </x:c>
      <x:c r="J1571" s="11" t="n">
        <x:v>0</x:v>
      </x:c>
      <x:c r="K1571" s="20" t="n">
        <x:v>78</x:v>
      </x:c>
      <x:c r="L1571" s="20" t="n">
        <x:v>7.8</x:v>
      </x:c>
      <x:c r="M1571" s="20" t="n">
        <x:v>36</x:v>
      </x:c>
      <x:c r="N1571" s="20" t="n">
        <x:f>IF(J1571=1,0,K1571-L1571)</x:f>
        <x:v>70.2</x:v>
      </x:c>
      <x:c r="O1571" s="20" t="n">
        <x:f>N1571-M1571</x:f>
        <x:v>34.2</x:v>
      </x:c>
    </x:row>
    <x:row r="1572" ht="22" customHeight="1">
      <x:c r="A1572" s="11" t="n">
        <x:v>1568</x:v>
      </x:c>
      <x:c r="B1572" s="11" t="n">
        <x:v>797</x:v>
      </x:c>
      <x:c r="C1572" s="18" t="n">
        <x:v>45648</x:v>
      </x:c>
      <x:c r="D1572" s="11" t="str">
        <x:v>2024-12</x:v>
      </x:c>
      <x:c r="E1572" s="11" t="str">
        <x:v>Central</x:v>
      </x:c>
      <x:c r="F1572" s="11" t="str">
        <x:v>Furniture</x:v>
      </x:c>
      <x:c r="G1572" s="11" t="str">
        <x:v>Desk</x:v>
      </x:c>
      <x:c r="H1572" s="11" t="n">
        <x:v>3</x:v>
      </x:c>
      <x:c r="I1572" s="19" t="n">
        <x:v>0.1</x:v>
      </x:c>
      <x:c r="J1572" s="11" t="n">
        <x:v>0</x:v>
      </x:c>
      <x:c r="K1572" s="20" t="n">
        <x:v>840</x:v>
      </x:c>
      <x:c r="L1572" s="20" t="n">
        <x:v>84</x:v>
      </x:c>
      <x:c r="M1572" s="20" t="n">
        <x:v>570</x:v>
      </x:c>
      <x:c r="N1572" s="20" t="n">
        <x:f>IF(J1572=1,0,K1572-L1572)</x:f>
        <x:v>756</x:v>
      </x:c>
      <x:c r="O1572" s="20" t="n">
        <x:f>N1572-M1572</x:f>
        <x:v>186</x:v>
      </x:c>
    </x:row>
    <x:row r="1573" ht="22" customHeight="1">
      <x:c r="A1573" s="11" t="n">
        <x:v>1569</x:v>
      </x:c>
      <x:c r="B1573" s="11" t="n">
        <x:v>797</x:v>
      </x:c>
      <x:c r="C1573" s="18" t="n">
        <x:v>45648</x:v>
      </x:c>
      <x:c r="D1573" s="11" t="str">
        <x:v>2024-12</x:v>
      </x:c>
      <x:c r="E1573" s="11" t="str">
        <x:v>Central</x:v>
      </x:c>
      <x:c r="F1573" s="11" t="str">
        <x:v>Office Supplies</x:v>
      </x:c>
      <x:c r="G1573" s="11" t="str">
        <x:v>Notebook pack</x:v>
      </x:c>
      <x:c r="H1573" s="11" t="n">
        <x:v>2</x:v>
      </x:c>
      <x:c r="I1573" s="19" t="n">
        <x:v>0.15</x:v>
      </x:c>
      <x:c r="J1573" s="11" t="n">
        <x:v>0</x:v>
      </x:c>
      <x:c r="K1573" s="20" t="n">
        <x:v>36</x:v>
      </x:c>
      <x:c r="L1573" s="20" t="n">
        <x:v>5.4</x:v>
      </x:c>
      <x:c r="M1573" s="20" t="n">
        <x:v>14</x:v>
      </x:c>
      <x:c r="N1573" s="20" t="n">
        <x:f>IF(J1573=1,0,K1573-L1573)</x:f>
        <x:v>30.6</x:v>
      </x:c>
      <x:c r="O1573" s="20" t="n">
        <x:f>N1573-M1573</x:f>
        <x:v>16.6</x:v>
      </x:c>
    </x:row>
    <x:row r="1574" ht="22" customHeight="1">
      <x:c r="A1574" s="11" t="n">
        <x:v>1570</x:v>
      </x:c>
      <x:c r="B1574" s="11" t="n">
        <x:v>798</x:v>
      </x:c>
      <x:c r="C1574" s="18" t="n">
        <x:v>45426</x:v>
      </x:c>
      <x:c r="D1574" s="11" t="str">
        <x:v>2024-05</x:v>
      </x:c>
      <x:c r="E1574" s="11" t="str">
        <x:v>West</x:v>
      </x:c>
      <x:c r="F1574" s="11" t="str">
        <x:v>Technology</x:v>
      </x:c>
      <x:c r="G1574" s="11" t="str">
        <x:v>Monitor</x:v>
      </x:c>
      <x:c r="H1574" s="11" t="n">
        <x:v>5</x:v>
      </x:c>
      <x:c r="I1574" s="19" t="n">
        <x:v>0</x:v>
      </x:c>
      <x:c r="J1574" s="11" t="n">
        <x:v>0</x:v>
      </x:c>
      <x:c r="K1574" s="20" t="n">
        <x:v>1200</x:v>
      </x:c>
      <x:c r="L1574" s="20" t="n">
        <x:v>0</x:v>
      </x:c>
      <x:c r="M1574" s="20" t="n">
        <x:v>800</x:v>
      </x:c>
      <x:c r="N1574" s="20" t="n">
        <x:f>IF(J1574=1,0,K1574-L1574)</x:f>
        <x:v>1200</x:v>
      </x:c>
      <x:c r="O1574" s="20" t="n">
        <x:f>N1574-M1574</x:f>
        <x:v>400</x:v>
      </x:c>
    </x:row>
    <x:row r="1575" ht="22" customHeight="1">
      <x:c r="A1575" s="11" t="n">
        <x:v>1571</x:v>
      </x:c>
      <x:c r="B1575" s="11" t="n">
        <x:v>798</x:v>
      </x:c>
      <x:c r="C1575" s="18" t="n">
        <x:v>45426</x:v>
      </x:c>
      <x:c r="D1575" s="11" t="str">
        <x:v>2024-05</x:v>
      </x:c>
      <x:c r="E1575" s="11" t="str">
        <x:v>West</x:v>
      </x:c>
      <x:c r="F1575" s="11" t="str">
        <x:v>Technology</x:v>
      </x:c>
      <x:c r="G1575" s="11" t="str">
        <x:v>Keyboard</x:v>
      </x:c>
      <x:c r="H1575" s="11" t="n">
        <x:v>4</x:v>
      </x:c>
      <x:c r="I1575" s="19" t="n">
        <x:v>0.05</x:v>
      </x:c>
      <x:c r="J1575" s="11" t="n">
        <x:v>0</x:v>
      </x:c>
      <x:c r="K1575" s="20" t="n">
        <x:v>260</x:v>
      </x:c>
      <x:c r="L1575" s="20" t="n">
        <x:v>13</x:v>
      </x:c>
      <x:c r="M1575" s="20" t="n">
        <x:v>128</x:v>
      </x:c>
      <x:c r="N1575" s="20" t="n">
        <x:f>IF(J1575=1,0,K1575-L1575)</x:f>
        <x:v>247</x:v>
      </x:c>
      <x:c r="O1575" s="20" t="n">
        <x:f>N1575-M1575</x:f>
        <x:v>119</x:v>
      </x:c>
    </x:row>
    <x:row r="1576" ht="22" customHeight="1">
      <x:c r="A1576" s="11" t="n">
        <x:v>1572</x:v>
      </x:c>
      <x:c r="B1576" s="11" t="n">
        <x:v>798</x:v>
      </x:c>
      <x:c r="C1576" s="18" t="n">
        <x:v>45426</x:v>
      </x:c>
      <x:c r="D1576" s="11" t="str">
        <x:v>2024-05</x:v>
      </x:c>
      <x:c r="E1576" s="11" t="str">
        <x:v>West</x:v>
      </x:c>
      <x:c r="F1576" s="11" t="str">
        <x:v>Furniture</x:v>
      </x:c>
      <x:c r="G1576" s="11" t="str">
        <x:v>Chair</x:v>
      </x:c>
      <x:c r="H1576" s="11" t="n">
        <x:v>2</x:v>
      </x:c>
      <x:c r="I1576" s="19" t="n">
        <x:v>0.05</x:v>
      </x:c>
      <x:c r="J1576" s="11" t="n">
        <x:v>0</x:v>
      </x:c>
      <x:c r="K1576" s="20" t="n">
        <x:v>340</x:v>
      </x:c>
      <x:c r="L1576" s="20" t="n">
        <x:v>17</x:v>
      </x:c>
      <x:c r="M1576" s="20" t="n">
        <x:v>220</x:v>
      </x:c>
      <x:c r="N1576" s="20" t="n">
        <x:f>IF(J1576=1,0,K1576-L1576)</x:f>
        <x:v>323</x:v>
      </x:c>
      <x:c r="O1576" s="20" t="n">
        <x:f>N1576-M1576</x:f>
        <x:v>103</x:v>
      </x:c>
    </x:row>
    <x:row r="1577" ht="22" customHeight="1">
      <x:c r="A1577" s="11" t="n">
        <x:v>1573</x:v>
      </x:c>
      <x:c r="B1577" s="11" t="n">
        <x:v>799</x:v>
      </x:c>
      <x:c r="C1577" s="18" t="n">
        <x:v>45492</x:v>
      </x:c>
      <x:c r="D1577" s="11" t="str">
        <x:v>2024-07</x:v>
      </x:c>
      <x:c r="E1577" s="11" t="str">
        <x:v>Central</x:v>
      </x:c>
      <x:c r="F1577" s="11" t="str">
        <x:v>Office Supplies</x:v>
      </x:c>
      <x:c r="G1577" s="11" t="str">
        <x:v>Storage box</x:v>
      </x:c>
      <x:c r="H1577" s="11" t="n">
        <x:v>1</x:v>
      </x:c>
      <x:c r="I1577" s="19" t="n">
        <x:v>0</x:v>
      </x:c>
      <x:c r="J1577" s="11" t="n">
        <x:v>0</x:v>
      </x:c>
      <x:c r="K1577" s="20" t="n">
        <x:v>26</x:v>
      </x:c>
      <x:c r="L1577" s="20" t="n">
        <x:v>0</x:v>
      </x:c>
      <x:c r="M1577" s="20" t="n">
        <x:v>12</x:v>
      </x:c>
      <x:c r="N1577" s="20" t="n">
        <x:f>IF(J1577=1,0,K1577-L1577)</x:f>
        <x:v>26</x:v>
      </x:c>
      <x:c r="O1577" s="20" t="n">
        <x:f>N1577-M1577</x:f>
        <x:v>14</x:v>
      </x:c>
    </x:row>
    <x:row r="1578" ht="22" customHeight="1">
      <x:c r="A1578" s="11" t="n">
        <x:v>1574</x:v>
      </x:c>
      <x:c r="B1578" s="11" t="n">
        <x:v>799</x:v>
      </x:c>
      <x:c r="C1578" s="18" t="n">
        <x:v>45492</x:v>
      </x:c>
      <x:c r="D1578" s="11" t="str">
        <x:v>2024-07</x:v>
      </x:c>
      <x:c r="E1578" s="11" t="str">
        <x:v>Central</x:v>
      </x:c>
      <x:c r="F1578" s="11" t="str">
        <x:v>Office Supplies</x:v>
      </x:c>
      <x:c r="G1578" s="11" t="str">
        <x:v>Notebook pack</x:v>
      </x:c>
      <x:c r="H1578" s="11" t="n">
        <x:v>4</x:v>
      </x:c>
      <x:c r="I1578" s="19" t="n">
        <x:v>0</x:v>
      </x:c>
      <x:c r="J1578" s="11" t="n">
        <x:v>0</x:v>
      </x:c>
      <x:c r="K1578" s="20" t="n">
        <x:v>72</x:v>
      </x:c>
      <x:c r="L1578" s="20" t="n">
        <x:v>0</x:v>
      </x:c>
      <x:c r="M1578" s="20" t="n">
        <x:v>28</x:v>
      </x:c>
      <x:c r="N1578" s="20" t="n">
        <x:f>IF(J1578=1,0,K1578-L1578)</x:f>
        <x:v>72</x:v>
      </x:c>
      <x:c r="O1578" s="20" t="n">
        <x:f>N1578-M1578</x:f>
        <x:v>44</x:v>
      </x:c>
    </x:row>
    <x:row r="1579" ht="22" customHeight="1">
      <x:c r="A1579" s="11" t="n">
        <x:v>1575</x:v>
      </x:c>
      <x:c r="B1579" s="11" t="n">
        <x:v>800</x:v>
      </x:c>
      <x:c r="C1579" s="18" t="n">
        <x:v>45390</x:v>
      </x:c>
      <x:c r="D1579" s="11" t="str">
        <x:v>2024-04</x:v>
      </x:c>
      <x:c r="E1579" s="11" t="str">
        <x:v>East</x:v>
      </x:c>
      <x:c r="F1579" s="11" t="str">
        <x:v>Furniture</x:v>
      </x:c>
      <x:c r="G1579" s="11" t="str">
        <x:v>Desk</x:v>
      </x:c>
      <x:c r="H1579" s="11" t="n">
        <x:v>1</x:v>
      </x:c>
      <x:c r="I1579" s="19" t="n">
        <x:v>0.15</x:v>
      </x:c>
      <x:c r="J1579" s="11" t="n">
        <x:v>0</x:v>
      </x:c>
      <x:c r="K1579" s="20" t="n">
        <x:v>280</x:v>
      </x:c>
      <x:c r="L1579" s="20" t="n">
        <x:v>42</x:v>
      </x:c>
      <x:c r="M1579" s="20" t="n">
        <x:v>190</x:v>
      </x:c>
      <x:c r="N1579" s="20" t="n">
        <x:f>IF(J1579=1,0,K1579-L1579)</x:f>
        <x:v>238</x:v>
      </x:c>
      <x:c r="O1579" s="20" t="n">
        <x:f>N1579-M1579</x:f>
        <x:v>48</x:v>
      </x:c>
    </x:row>
    <x:row r="1580" ht="22" customHeight="1">
      <x:c r="A1580" s="11" t="n">
        <x:v>1576</x:v>
      </x:c>
      <x:c r="B1580" s="11" t="n">
        <x:v>801</x:v>
      </x:c>
      <x:c r="C1580" s="18" t="n">
        <x:v>45444</x:v>
      </x:c>
      <x:c r="D1580" s="11" t="str">
        <x:v>2024-06</x:v>
      </x:c>
      <x:c r="E1580" s="11" t="str">
        <x:v>West</x:v>
      </x:c>
      <x:c r="F1580" s="11" t="str">
        <x:v>Furniture</x:v>
      </x:c>
      <x:c r="G1580" s="11" t="str">
        <x:v>Desk</x:v>
      </x:c>
      <x:c r="H1580" s="11" t="n">
        <x:v>1</x:v>
      </x:c>
      <x:c r="I1580" s="19" t="n">
        <x:v>0.05</x:v>
      </x:c>
      <x:c r="J1580" s="11" t="n">
        <x:v>0</x:v>
      </x:c>
      <x:c r="K1580" s="20" t="n">
        <x:v>280</x:v>
      </x:c>
      <x:c r="L1580" s="20" t="n">
        <x:v>14</x:v>
      </x:c>
      <x:c r="M1580" s="20" t="n">
        <x:v>190</x:v>
      </x:c>
      <x:c r="N1580" s="20" t="n">
        <x:f>IF(J1580=1,0,K1580-L1580)</x:f>
        <x:v>266</x:v>
      </x:c>
      <x:c r="O1580" s="20" t="n">
        <x:f>N1580-M1580</x:f>
        <x:v>76</x:v>
      </x:c>
    </x:row>
    <x:row r="1581" ht="22" customHeight="1">
      <x:c r="A1581" s="11" t="n">
        <x:v>1577</x:v>
      </x:c>
      <x:c r="B1581" s="11" t="n">
        <x:v>802</x:v>
      </x:c>
      <x:c r="C1581" s="18" t="n">
        <x:v>45601</x:v>
      </x:c>
      <x:c r="D1581" s="11" t="str">
        <x:v>2024-11</x:v>
      </x:c>
      <x:c r="E1581" s="11" t="str">
        <x:v>Central</x:v>
      </x:c>
      <x:c r="F1581" s="11" t="str">
        <x:v>Office Supplies</x:v>
      </x:c>
      <x:c r="G1581" s="11" t="str">
        <x:v>Storage box</x:v>
      </x:c>
      <x:c r="H1581" s="11" t="n">
        <x:v>4</x:v>
      </x:c>
      <x:c r="I1581" s="19" t="n">
        <x:v>0.1</x:v>
      </x:c>
      <x:c r="J1581" s="11" t="n">
        <x:v>0</x:v>
      </x:c>
      <x:c r="K1581" s="20" t="n">
        <x:v>104</x:v>
      </x:c>
      <x:c r="L1581" s="20" t="n">
        <x:v>10.4</x:v>
      </x:c>
      <x:c r="M1581" s="20" t="n">
        <x:v>48</x:v>
      </x:c>
      <x:c r="N1581" s="20" t="n">
        <x:f>IF(J1581=1,0,K1581-L1581)</x:f>
        <x:v>93.6</x:v>
      </x:c>
      <x:c r="O1581" s="20" t="n">
        <x:f>N1581-M1581</x:f>
        <x:v>45.599999999999994</x:v>
      </x:c>
    </x:row>
    <x:row r="1582" ht="22" customHeight="1">
      <x:c r="A1582" s="11" t="n">
        <x:v>1578</x:v>
      </x:c>
      <x:c r="B1582" s="11" t="n">
        <x:v>802</x:v>
      </x:c>
      <x:c r="C1582" s="18" t="n">
        <x:v>45601</x:v>
      </x:c>
      <x:c r="D1582" s="11" t="str">
        <x:v>2024-11</x:v>
      </x:c>
      <x:c r="E1582" s="11" t="str">
        <x:v>Central</x:v>
      </x:c>
      <x:c r="F1582" s="11" t="str">
        <x:v>Technology</x:v>
      </x:c>
      <x:c r="G1582" s="11" t="str">
        <x:v>Keyboard</x:v>
      </x:c>
      <x:c r="H1582" s="11" t="n">
        <x:v>4</x:v>
      </x:c>
      <x:c r="I1582" s="19" t="n">
        <x:v>0.05</x:v>
      </x:c>
      <x:c r="J1582" s="11" t="n">
        <x:v>1</x:v>
      </x:c>
      <x:c r="K1582" s="20" t="n">
        <x:v>260</x:v>
      </x:c>
      <x:c r="L1582" s="20" t="n">
        <x:v>13</x:v>
      </x:c>
      <x:c r="M1582" s="20" t="n">
        <x:v>0</x:v>
      </x:c>
      <x:c r="N1582" s="20" t="n">
        <x:f>IF(J1582=1,0,K1582-L1582)</x:f>
        <x:v>0</x:v>
      </x:c>
      <x:c r="O1582" s="20" t="n">
        <x:f>N1582-M1582</x:f>
        <x:v>0</x:v>
      </x:c>
    </x:row>
    <x:row r="1583" ht="22" customHeight="1">
      <x:c r="A1583" s="11" t="n">
        <x:v>1579</x:v>
      </x:c>
      <x:c r="B1583" s="11" t="n">
        <x:v>802</x:v>
      </x:c>
      <x:c r="C1583" s="18" t="n">
        <x:v>45601</x:v>
      </x:c>
      <x:c r="D1583" s="11" t="str">
        <x:v>2024-11</x:v>
      </x:c>
      <x:c r="E1583" s="11" t="str">
        <x:v>Central</x:v>
      </x:c>
      <x:c r="F1583" s="11" t="str">
        <x:v>Furniture</x:v>
      </x:c>
      <x:c r="G1583" s="11" t="str">
        <x:v>Desk</x:v>
      </x:c>
      <x:c r="H1583" s="11" t="n">
        <x:v>1</x:v>
      </x:c>
      <x:c r="I1583" s="19" t="n">
        <x:v>0</x:v>
      </x:c>
      <x:c r="J1583" s="11" t="n">
        <x:v>0</x:v>
      </x:c>
      <x:c r="K1583" s="20" t="n">
        <x:v>280</x:v>
      </x:c>
      <x:c r="L1583" s="20" t="n">
        <x:v>0</x:v>
      </x:c>
      <x:c r="M1583" s="20" t="n">
        <x:v>190</x:v>
      </x:c>
      <x:c r="N1583" s="20" t="n">
        <x:f>IF(J1583=1,0,K1583-L1583)</x:f>
        <x:v>280</x:v>
      </x:c>
      <x:c r="O1583" s="20" t="n">
        <x:f>N1583-M1583</x:f>
        <x:v>90</x:v>
      </x:c>
    </x:row>
    <x:row r="1584" ht="22" customHeight="1">
      <x:c r="A1584" s="11" t="n">
        <x:v>1580</x:v>
      </x:c>
      <x:c r="B1584" s="11" t="n">
        <x:v>803</x:v>
      </x:c>
      <x:c r="C1584" s="18" t="n">
        <x:v>45948</x:v>
      </x:c>
      <x:c r="D1584" s="11" t="str">
        <x:v>2025-10</x:v>
      </x:c>
      <x:c r="E1584" s="11" t="str">
        <x:v>South</x:v>
      </x:c>
      <x:c r="F1584" s="11" t="str">
        <x:v>Office Supplies</x:v>
      </x:c>
      <x:c r="G1584" s="11" t="str">
        <x:v>Notebook pack</x:v>
      </x:c>
      <x:c r="H1584" s="11" t="n">
        <x:v>5</x:v>
      </x:c>
      <x:c r="I1584" s="19" t="n">
        <x:v>0.15</x:v>
      </x:c>
      <x:c r="J1584" s="11" t="n">
        <x:v>0</x:v>
      </x:c>
      <x:c r="K1584" s="20" t="n">
        <x:v>90</x:v>
      </x:c>
      <x:c r="L1584" s="20" t="n">
        <x:v>13.5</x:v>
      </x:c>
      <x:c r="M1584" s="20" t="n">
        <x:v>35</x:v>
      </x:c>
      <x:c r="N1584" s="20" t="n">
        <x:f>IF(J1584=1,0,K1584-L1584)</x:f>
        <x:v>76.5</x:v>
      </x:c>
      <x:c r="O1584" s="20" t="n">
        <x:f>N1584-M1584</x:f>
        <x:v>41.5</x:v>
      </x:c>
    </x:row>
    <x:row r="1585" ht="22" customHeight="1">
      <x:c r="A1585" s="11" t="n">
        <x:v>1581</x:v>
      </x:c>
      <x:c r="B1585" s="11" t="n">
        <x:v>804</x:v>
      </x:c>
      <x:c r="C1585" s="18" t="n">
        <x:v>46002</x:v>
      </x:c>
      <x:c r="D1585" s="11" t="str">
        <x:v>2025-12</x:v>
      </x:c>
      <x:c r="E1585" s="11" t="str">
        <x:v>Central</x:v>
      </x:c>
      <x:c r="F1585" s="11" t="str">
        <x:v>Furniture</x:v>
      </x:c>
      <x:c r="G1585" s="11" t="str">
        <x:v>Chair</x:v>
      </x:c>
      <x:c r="H1585" s="11" t="n">
        <x:v>4</x:v>
      </x:c>
      <x:c r="I1585" s="19" t="n">
        <x:v>0.1</x:v>
      </x:c>
      <x:c r="J1585" s="11" t="n">
        <x:v>0</x:v>
      </x:c>
      <x:c r="K1585" s="20" t="n">
        <x:v>680</x:v>
      </x:c>
      <x:c r="L1585" s="20" t="n">
        <x:v>68</x:v>
      </x:c>
      <x:c r="M1585" s="20" t="n">
        <x:v>440</x:v>
      </x:c>
      <x:c r="N1585" s="20" t="n">
        <x:f>IF(J1585=1,0,K1585-L1585)</x:f>
        <x:v>612</x:v>
      </x:c>
      <x:c r="O1585" s="20" t="n">
        <x:f>N1585-M1585</x:f>
        <x:v>172</x:v>
      </x:c>
    </x:row>
    <x:row r="1586" ht="22" customHeight="1">
      <x:c r="A1586" s="11" t="n">
        <x:v>1582</x:v>
      </x:c>
      <x:c r="B1586" s="11" t="n">
        <x:v>804</x:v>
      </x:c>
      <x:c r="C1586" s="18" t="n">
        <x:v>46002</x:v>
      </x:c>
      <x:c r="D1586" s="11" t="str">
        <x:v>2025-12</x:v>
      </x:c>
      <x:c r="E1586" s="11" t="str">
        <x:v>Central</x:v>
      </x:c>
      <x:c r="F1586" s="11" t="str">
        <x:v>Technology</x:v>
      </x:c>
      <x:c r="G1586" s="11" t="str">
        <x:v>Keyboard</x:v>
      </x:c>
      <x:c r="H1586" s="11" t="n">
        <x:v>1</x:v>
      </x:c>
      <x:c r="I1586" s="19" t="n">
        <x:v>0.05</x:v>
      </x:c>
      <x:c r="J1586" s="11" t="n">
        <x:v>0</x:v>
      </x:c>
      <x:c r="K1586" s="20" t="n">
        <x:v>65</x:v>
      </x:c>
      <x:c r="L1586" s="20" t="n">
        <x:v>3.25</x:v>
      </x:c>
      <x:c r="M1586" s="20" t="n">
        <x:v>32</x:v>
      </x:c>
      <x:c r="N1586" s="20" t="n">
        <x:f>IF(J1586=1,0,K1586-L1586)</x:f>
        <x:v>61.75</x:v>
      </x:c>
      <x:c r="O1586" s="20" t="n">
        <x:f>N1586-M1586</x:f>
        <x:v>29.75</x:v>
      </x:c>
    </x:row>
    <x:row r="1587" ht="22" customHeight="1">
      <x:c r="A1587" s="11" t="n">
        <x:v>1583</x:v>
      </x:c>
      <x:c r="B1587" s="11" t="n">
        <x:v>804</x:v>
      </x:c>
      <x:c r="C1587" s="18" t="n">
        <x:v>46002</x:v>
      </x:c>
      <x:c r="D1587" s="11" t="str">
        <x:v>2025-12</x:v>
      </x:c>
      <x:c r="E1587" s="11" t="str">
        <x:v>Central</x:v>
      </x:c>
      <x:c r="F1587" s="11" t="str">
        <x:v>Office Supplies</x:v>
      </x:c>
      <x:c r="G1587" s="11" t="str">
        <x:v>Notebook pack</x:v>
      </x:c>
      <x:c r="H1587" s="11" t="n">
        <x:v>5</x:v>
      </x:c>
      <x:c r="I1587" s="19" t="n">
        <x:v>0</x:v>
      </x:c>
      <x:c r="J1587" s="11" t="n">
        <x:v>0</x:v>
      </x:c>
      <x:c r="K1587" s="20" t="n">
        <x:v>90</x:v>
      </x:c>
      <x:c r="L1587" s="20" t="n">
        <x:v>0</x:v>
      </x:c>
      <x:c r="M1587" s="20" t="n">
        <x:v>35</x:v>
      </x:c>
      <x:c r="N1587" s="20" t="n">
        <x:f>IF(J1587=1,0,K1587-L1587)</x:f>
        <x:v>90</x:v>
      </x:c>
      <x:c r="O1587" s="20" t="n">
        <x:f>N1587-M1587</x:f>
        <x:v>55</x:v>
      </x:c>
    </x:row>
    <x:row r="1588" ht="22" customHeight="1">
      <x:c r="A1588" s="11" t="n">
        <x:v>1584</x:v>
      </x:c>
      <x:c r="B1588" s="11" t="n">
        <x:v>805</x:v>
      </x:c>
      <x:c r="C1588" s="18" t="n">
        <x:v>46009</x:v>
      </x:c>
      <x:c r="D1588" s="11" t="str">
        <x:v>2025-12</x:v>
      </x:c>
      <x:c r="E1588" s="11" t="str">
        <x:v>East</x:v>
      </x:c>
      <x:c r="F1588" s="11" t="str">
        <x:v>Office Supplies</x:v>
      </x:c>
      <x:c r="G1588" s="11" t="str">
        <x:v>Notebook pack</x:v>
      </x:c>
      <x:c r="H1588" s="11" t="n">
        <x:v>1</x:v>
      </x:c>
      <x:c r="I1588" s="19" t="n">
        <x:v>0.15</x:v>
      </x:c>
      <x:c r="J1588" s="11" t="n">
        <x:v>0</x:v>
      </x:c>
      <x:c r="K1588" s="20" t="n">
        <x:v>18</x:v>
      </x:c>
      <x:c r="L1588" s="20" t="n">
        <x:v>2.7</x:v>
      </x:c>
      <x:c r="M1588" s="20" t="n">
        <x:v>7</x:v>
      </x:c>
      <x:c r="N1588" s="20" t="n">
        <x:f>IF(J1588=1,0,K1588-L1588)</x:f>
        <x:v>15.3</x:v>
      </x:c>
      <x:c r="O1588" s="20" t="n">
        <x:f>N1588-M1588</x:f>
        <x:v>8.3</x:v>
      </x:c>
    </x:row>
    <x:row r="1589" ht="22" customHeight="1">
      <x:c r="A1589" s="11" t="n">
        <x:v>1585</x:v>
      </x:c>
      <x:c r="B1589" s="11" t="n">
        <x:v>805</x:v>
      </x:c>
      <x:c r="C1589" s="18" t="n">
        <x:v>46009</x:v>
      </x:c>
      <x:c r="D1589" s="11" t="str">
        <x:v>2025-12</x:v>
      </x:c>
      <x:c r="E1589" s="11" t="str">
        <x:v>East</x:v>
      </x:c>
      <x:c r="F1589" s="11" t="str">
        <x:v>Office Supplies</x:v>
      </x:c>
      <x:c r="G1589" s="11" t="str">
        <x:v>Storage box</x:v>
      </x:c>
      <x:c r="H1589" s="11" t="n">
        <x:v>5</x:v>
      </x:c>
      <x:c r="I1589" s="19" t="n">
        <x:v>0</x:v>
      </x:c>
      <x:c r="J1589" s="11" t="n">
        <x:v>0</x:v>
      </x:c>
      <x:c r="K1589" s="20" t="n">
        <x:v>130</x:v>
      </x:c>
      <x:c r="L1589" s="20" t="n">
        <x:v>0</x:v>
      </x:c>
      <x:c r="M1589" s="20" t="n">
        <x:v>60</x:v>
      </x:c>
      <x:c r="N1589" s="20" t="n">
        <x:f>IF(J1589=1,0,K1589-L1589)</x:f>
        <x:v>130</x:v>
      </x:c>
      <x:c r="O1589" s="20" t="n">
        <x:f>N1589-M1589</x:f>
        <x:v>70</x:v>
      </x:c>
    </x:row>
    <x:row r="1590" ht="22" customHeight="1">
      <x:c r="A1590" s="11" t="n">
        <x:v>1586</x:v>
      </x:c>
      <x:c r="B1590" s="11" t="n">
        <x:v>805</x:v>
      </x:c>
      <x:c r="C1590" s="18" t="n">
        <x:v>46009</x:v>
      </x:c>
      <x:c r="D1590" s="11" t="str">
        <x:v>2025-12</x:v>
      </x:c>
      <x:c r="E1590" s="11" t="str">
        <x:v>East</x:v>
      </x:c>
      <x:c r="F1590" s="11" t="str">
        <x:v>Technology</x:v>
      </x:c>
      <x:c r="G1590" s="11" t="str">
        <x:v>Keyboard</x:v>
      </x:c>
      <x:c r="H1590" s="11" t="n">
        <x:v>2</x:v>
      </x:c>
      <x:c r="I1590" s="19" t="n">
        <x:v>0</x:v>
      </x:c>
      <x:c r="J1590" s="11" t="n">
        <x:v>0</x:v>
      </x:c>
      <x:c r="K1590" s="20" t="n">
        <x:v>130</x:v>
      </x:c>
      <x:c r="L1590" s="20" t="n">
        <x:v>0</x:v>
      </x:c>
      <x:c r="M1590" s="20" t="n">
        <x:v>64</x:v>
      </x:c>
      <x:c r="N1590" s="20" t="n">
        <x:f>IF(J1590=1,0,K1590-L1590)</x:f>
        <x:v>130</x:v>
      </x:c>
      <x:c r="O1590" s="20" t="n">
        <x:f>N1590-M1590</x:f>
        <x:v>66</x:v>
      </x:c>
    </x:row>
    <x:row r="1591" ht="22" customHeight="1">
      <x:c r="A1591" s="11" t="n">
        <x:v>1587</x:v>
      </x:c>
      <x:c r="B1591" s="11" t="n">
        <x:v>806</x:v>
      </x:c>
      <x:c r="C1591" s="18" t="n">
        <x:v>45905</x:v>
      </x:c>
      <x:c r="D1591" s="11" t="str">
        <x:v>2025-09</x:v>
      </x:c>
      <x:c r="E1591" s="11" t="str">
        <x:v>Central</x:v>
      </x:c>
      <x:c r="F1591" s="11" t="str">
        <x:v>Office Supplies</x:v>
      </x:c>
      <x:c r="G1591" s="11" t="str">
        <x:v>Notebook pack</x:v>
      </x:c>
      <x:c r="H1591" s="11" t="n">
        <x:v>4</x:v>
      </x:c>
      <x:c r="I1591" s="19" t="n">
        <x:v>0.05</x:v>
      </x:c>
      <x:c r="J1591" s="11" t="n">
        <x:v>0</x:v>
      </x:c>
      <x:c r="K1591" s="20" t="n">
        <x:v>72</x:v>
      </x:c>
      <x:c r="L1591" s="20" t="n">
        <x:v>3.6</x:v>
      </x:c>
      <x:c r="M1591" s="20" t="n">
        <x:v>28</x:v>
      </x:c>
      <x:c r="N1591" s="20" t="n">
        <x:f>IF(J1591=1,0,K1591-L1591)</x:f>
        <x:v>68.4</x:v>
      </x:c>
      <x:c r="O1591" s="20" t="n">
        <x:f>N1591-M1591</x:f>
        <x:v>40.400000000000006</x:v>
      </x:c>
    </x:row>
    <x:row r="1592" ht="22" customHeight="1">
      <x:c r="A1592" s="11" t="n">
        <x:v>1588</x:v>
      </x:c>
      <x:c r="B1592" s="11" t="n">
        <x:v>807</x:v>
      </x:c>
      <x:c r="C1592" s="18" t="n">
        <x:v>45423</x:v>
      </x:c>
      <x:c r="D1592" s="11" t="str">
        <x:v>2024-05</x:v>
      </x:c>
      <x:c r="E1592" s="11" t="str">
        <x:v>Central</x:v>
      </x:c>
      <x:c r="F1592" s="11" t="str">
        <x:v>Furniture</x:v>
      </x:c>
      <x:c r="G1592" s="11" t="str">
        <x:v>Chair</x:v>
      </x:c>
      <x:c r="H1592" s="11" t="n">
        <x:v>1</x:v>
      </x:c>
      <x:c r="I1592" s="19" t="n">
        <x:v>0</x:v>
      </x:c>
      <x:c r="J1592" s="11" t="n">
        <x:v>0</x:v>
      </x:c>
      <x:c r="K1592" s="20" t="n">
        <x:v>170</x:v>
      </x:c>
      <x:c r="L1592" s="20" t="n">
        <x:v>0</x:v>
      </x:c>
      <x:c r="M1592" s="20" t="n">
        <x:v>110</x:v>
      </x:c>
      <x:c r="N1592" s="20" t="n">
        <x:f>IF(J1592=1,0,K1592-L1592)</x:f>
        <x:v>170</x:v>
      </x:c>
      <x:c r="O1592" s="20" t="n">
        <x:f>N1592-M1592</x:f>
        <x:v>60</x:v>
      </x:c>
    </x:row>
    <x:row r="1593" ht="22" customHeight="1">
      <x:c r="A1593" s="11" t="n">
        <x:v>1589</x:v>
      </x:c>
      <x:c r="B1593" s="11" t="n">
        <x:v>807</x:v>
      </x:c>
      <x:c r="C1593" s="18" t="n">
        <x:v>45423</x:v>
      </x:c>
      <x:c r="D1593" s="11" t="str">
        <x:v>2024-05</x:v>
      </x:c>
      <x:c r="E1593" s="11" t="str">
        <x:v>Central</x:v>
      </x:c>
      <x:c r="F1593" s="11" t="str">
        <x:v>Furniture</x:v>
      </x:c>
      <x:c r="G1593" s="11" t="str">
        <x:v>Desk</x:v>
      </x:c>
      <x:c r="H1593" s="11" t="n">
        <x:v>5</x:v>
      </x:c>
      <x:c r="I1593" s="19" t="n">
        <x:v>0.1</x:v>
      </x:c>
      <x:c r="J1593" s="11" t="n">
        <x:v>0</x:v>
      </x:c>
      <x:c r="K1593" s="20" t="n">
        <x:v>1400</x:v>
      </x:c>
      <x:c r="L1593" s="20" t="n">
        <x:v>140</x:v>
      </x:c>
      <x:c r="M1593" s="20" t="n">
        <x:v>950</x:v>
      </x:c>
      <x:c r="N1593" s="20" t="n">
        <x:f>IF(J1593=1,0,K1593-L1593)</x:f>
        <x:v>1260</x:v>
      </x:c>
      <x:c r="O1593" s="20" t="n">
        <x:f>N1593-M1593</x:f>
        <x:v>310</x:v>
      </x:c>
    </x:row>
    <x:row r="1594" ht="22" customHeight="1">
      <x:c r="A1594" s="11" t="n">
        <x:v>1590</x:v>
      </x:c>
      <x:c r="B1594" s="11" t="n">
        <x:v>807</x:v>
      </x:c>
      <x:c r="C1594" s="18" t="n">
        <x:v>45423</x:v>
      </x:c>
      <x:c r="D1594" s="11" t="str">
        <x:v>2024-05</x:v>
      </x:c>
      <x:c r="E1594" s="11" t="str">
        <x:v>Central</x:v>
      </x:c>
      <x:c r="F1594" s="11" t="str">
        <x:v>Technology</x:v>
      </x:c>
      <x:c r="G1594" s="11" t="str">
        <x:v>Monitor</x:v>
      </x:c>
      <x:c r="H1594" s="11" t="n">
        <x:v>5</x:v>
      </x:c>
      <x:c r="I1594" s="19" t="n">
        <x:v>0</x:v>
      </x:c>
      <x:c r="J1594" s="11" t="n">
        <x:v>0</x:v>
      </x:c>
      <x:c r="K1594" s="20" t="n">
        <x:v>1200</x:v>
      </x:c>
      <x:c r="L1594" s="20" t="n">
        <x:v>0</x:v>
      </x:c>
      <x:c r="M1594" s="20" t="n">
        <x:v>800</x:v>
      </x:c>
      <x:c r="N1594" s="20" t="n">
        <x:f>IF(J1594=1,0,K1594-L1594)</x:f>
        <x:v>1200</x:v>
      </x:c>
      <x:c r="O1594" s="20" t="n">
        <x:f>N1594-M1594</x:f>
        <x:v>400</x:v>
      </x:c>
    </x:row>
    <x:row r="1595" ht="22" customHeight="1">
      <x:c r="A1595" s="11" t="n">
        <x:v>1591</x:v>
      </x:c>
      <x:c r="B1595" s="11" t="n">
        <x:v>808</x:v>
      </x:c>
      <x:c r="C1595" s="18" t="n">
        <x:v>45965</x:v>
      </x:c>
      <x:c r="D1595" s="11" t="str">
        <x:v>2025-11</x:v>
      </x:c>
      <x:c r="E1595" s="11" t="str">
        <x:v>East</x:v>
      </x:c>
      <x:c r="F1595" s="11" t="str">
        <x:v>Furniture</x:v>
      </x:c>
      <x:c r="G1595" s="11" t="str">
        <x:v>Desk</x:v>
      </x:c>
      <x:c r="H1595" s="11" t="n">
        <x:v>3</x:v>
      </x:c>
      <x:c r="I1595" s="19" t="n">
        <x:v>0.35</x:v>
      </x:c>
      <x:c r="J1595" s="11" t="n">
        <x:v>0</x:v>
      </x:c>
      <x:c r="K1595" s="20" t="n">
        <x:v>840</x:v>
      </x:c>
      <x:c r="L1595" s="20" t="n">
        <x:v>294</x:v>
      </x:c>
      <x:c r="M1595" s="20" t="n">
        <x:v>570</x:v>
      </x:c>
      <x:c r="N1595" s="20" t="n">
        <x:f>IF(J1595=1,0,K1595-L1595)</x:f>
        <x:v>546</x:v>
      </x:c>
      <x:c r="O1595" s="20" t="n">
        <x:f>N1595-M1595</x:f>
        <x:v>-24</x:v>
      </x:c>
    </x:row>
    <x:row r="1596" ht="22" customHeight="1">
      <x:c r="A1596" s="11" t="n">
        <x:v>1592</x:v>
      </x:c>
      <x:c r="B1596" s="11" t="n">
        <x:v>808</x:v>
      </x:c>
      <x:c r="C1596" s="18" t="n">
        <x:v>45965</x:v>
      </x:c>
      <x:c r="D1596" s="11" t="str">
        <x:v>2025-11</x:v>
      </x:c>
      <x:c r="E1596" s="11" t="str">
        <x:v>East</x:v>
      </x:c>
      <x:c r="F1596" s="11" t="str">
        <x:v>Office Supplies</x:v>
      </x:c>
      <x:c r="G1596" s="11" t="str">
        <x:v>Notebook pack</x:v>
      </x:c>
      <x:c r="H1596" s="11" t="n">
        <x:v>4</x:v>
      </x:c>
      <x:c r="I1596" s="19" t="n">
        <x:v>0.05</x:v>
      </x:c>
      <x:c r="J1596" s="11" t="n">
        <x:v>0</x:v>
      </x:c>
      <x:c r="K1596" s="20" t="n">
        <x:v>72</x:v>
      </x:c>
      <x:c r="L1596" s="20" t="n">
        <x:v>3.6</x:v>
      </x:c>
      <x:c r="M1596" s="20" t="n">
        <x:v>28</x:v>
      </x:c>
      <x:c r="N1596" s="20" t="n">
        <x:f>IF(J1596=1,0,K1596-L1596)</x:f>
        <x:v>68.4</x:v>
      </x:c>
      <x:c r="O1596" s="20" t="n">
        <x:f>N1596-M1596</x:f>
        <x:v>40.400000000000006</x:v>
      </x:c>
    </x:row>
    <x:row r="1597" ht="22" customHeight="1">
      <x:c r="A1597" s="11" t="n">
        <x:v>1593</x:v>
      </x:c>
      <x:c r="B1597" s="11" t="n">
        <x:v>809</x:v>
      </x:c>
      <x:c r="C1597" s="18" t="n">
        <x:v>45652</x:v>
      </x:c>
      <x:c r="D1597" s="11" t="str">
        <x:v>2024-12</x:v>
      </x:c>
      <x:c r="E1597" s="11" t="str">
        <x:v>East</x:v>
      </x:c>
      <x:c r="F1597" s="11" t="str">
        <x:v>Furniture</x:v>
      </x:c>
      <x:c r="G1597" s="11" t="str">
        <x:v>Desk</x:v>
      </x:c>
      <x:c r="H1597" s="11" t="n">
        <x:v>1</x:v>
      </x:c>
      <x:c r="I1597" s="19" t="n">
        <x:v>0.05</x:v>
      </x:c>
      <x:c r="J1597" s="11" t="n">
        <x:v>0</x:v>
      </x:c>
      <x:c r="K1597" s="20" t="n">
        <x:v>280</x:v>
      </x:c>
      <x:c r="L1597" s="20" t="n">
        <x:v>14</x:v>
      </x:c>
      <x:c r="M1597" s="20" t="n">
        <x:v>190</x:v>
      </x:c>
      <x:c r="N1597" s="20" t="n">
        <x:f>IF(J1597=1,0,K1597-L1597)</x:f>
        <x:v>266</x:v>
      </x:c>
      <x:c r="O1597" s="20" t="n">
        <x:f>N1597-M1597</x:f>
        <x:v>76</x:v>
      </x:c>
    </x:row>
    <x:row r="1598" ht="22" customHeight="1">
      <x:c r="A1598" s="11" t="n">
        <x:v>1594</x:v>
      </x:c>
      <x:c r="B1598" s="11" t="n">
        <x:v>809</x:v>
      </x:c>
      <x:c r="C1598" s="18" t="n">
        <x:v>45652</x:v>
      </x:c>
      <x:c r="D1598" s="11" t="str">
        <x:v>2024-12</x:v>
      </x:c>
      <x:c r="E1598" s="11" t="str">
        <x:v>East</x:v>
      </x:c>
      <x:c r="F1598" s="11" t="str">
        <x:v>Office Supplies</x:v>
      </x:c>
      <x:c r="G1598" s="11" t="str">
        <x:v>Storage box</x:v>
      </x:c>
      <x:c r="H1598" s="11" t="n">
        <x:v>2</x:v>
      </x:c>
      <x:c r="I1598" s="19" t="n">
        <x:v>0</x:v>
      </x:c>
      <x:c r="J1598" s="11" t="n">
        <x:v>0</x:v>
      </x:c>
      <x:c r="K1598" s="20" t="n">
        <x:v>52</x:v>
      </x:c>
      <x:c r="L1598" s="20" t="n">
        <x:v>0</x:v>
      </x:c>
      <x:c r="M1598" s="20" t="n">
        <x:v>24</x:v>
      </x:c>
      <x:c r="N1598" s="20" t="n">
        <x:f>IF(J1598=1,0,K1598-L1598)</x:f>
        <x:v>52</x:v>
      </x:c>
      <x:c r="O1598" s="20" t="n">
        <x:f>N1598-M1598</x:f>
        <x:v>28</x:v>
      </x:c>
    </x:row>
    <x:row r="1599" ht="22" customHeight="1">
      <x:c r="A1599" s="11" t="n">
        <x:v>1595</x:v>
      </x:c>
      <x:c r="B1599" s="11" t="n">
        <x:v>809</x:v>
      </x:c>
      <x:c r="C1599" s="18" t="n">
        <x:v>45652</x:v>
      </x:c>
      <x:c r="D1599" s="11" t="str">
        <x:v>2024-12</x:v>
      </x:c>
      <x:c r="E1599" s="11" t="str">
        <x:v>East</x:v>
      </x:c>
      <x:c r="F1599" s="11" t="str">
        <x:v>Furniture</x:v>
      </x:c>
      <x:c r="G1599" s="11" t="str">
        <x:v>Chair</x:v>
      </x:c>
      <x:c r="H1599" s="11" t="n">
        <x:v>2</x:v>
      </x:c>
      <x:c r="I1599" s="19" t="n">
        <x:v>0.15</x:v>
      </x:c>
      <x:c r="J1599" s="11" t="n">
        <x:v>0</x:v>
      </x:c>
      <x:c r="K1599" s="20" t="n">
        <x:v>340</x:v>
      </x:c>
      <x:c r="L1599" s="20" t="n">
        <x:v>51</x:v>
      </x:c>
      <x:c r="M1599" s="20" t="n">
        <x:v>220</x:v>
      </x:c>
      <x:c r="N1599" s="20" t="n">
        <x:f>IF(J1599=1,0,K1599-L1599)</x:f>
        <x:v>289</x:v>
      </x:c>
      <x:c r="O1599" s="20" t="n">
        <x:f>N1599-M1599</x:f>
        <x:v>69</x:v>
      </x:c>
    </x:row>
    <x:row r="1600" ht="22" customHeight="1">
      <x:c r="A1600" s="11" t="n">
        <x:v>1596</x:v>
      </x:c>
      <x:c r="B1600" s="11" t="n">
        <x:v>810</x:v>
      </x:c>
      <x:c r="C1600" s="18" t="n">
        <x:v>45929</x:v>
      </x:c>
      <x:c r="D1600" s="11" t="str">
        <x:v>2025-09</x:v>
      </x:c>
      <x:c r="E1600" s="11" t="str">
        <x:v>South</x:v>
      </x:c>
      <x:c r="F1600" s="11" t="str">
        <x:v>Technology</x:v>
      </x:c>
      <x:c r="G1600" s="11" t="str">
        <x:v>Monitor</x:v>
      </x:c>
      <x:c r="H1600" s="11" t="n">
        <x:v>2</x:v>
      </x:c>
      <x:c r="I1600" s="19" t="n">
        <x:v>0.1</x:v>
      </x:c>
      <x:c r="J1600" s="11" t="n">
        <x:v>0</x:v>
      </x:c>
      <x:c r="K1600" s="20" t="n">
        <x:v>480</x:v>
      </x:c>
      <x:c r="L1600" s="20" t="n">
        <x:v>48</x:v>
      </x:c>
      <x:c r="M1600" s="20" t="n">
        <x:v>320</x:v>
      </x:c>
      <x:c r="N1600" s="20" t="n">
        <x:f>IF(J1600=1,0,K1600-L1600)</x:f>
        <x:v>432</x:v>
      </x:c>
      <x:c r="O1600" s="20" t="n">
        <x:f>N1600-M1600</x:f>
        <x:v>112</x:v>
      </x:c>
    </x:row>
    <x:row r="1601" ht="22" customHeight="1">
      <x:c r="A1601" s="11" t="n">
        <x:v>1597</x:v>
      </x:c>
      <x:c r="B1601" s="11" t="n">
        <x:v>810</x:v>
      </x:c>
      <x:c r="C1601" s="18" t="n">
        <x:v>45929</x:v>
      </x:c>
      <x:c r="D1601" s="11" t="str">
        <x:v>2025-09</x:v>
      </x:c>
      <x:c r="E1601" s="11" t="str">
        <x:v>South</x:v>
      </x:c>
      <x:c r="F1601" s="11" t="str">
        <x:v>Office Supplies</x:v>
      </x:c>
      <x:c r="G1601" s="11" t="str">
        <x:v>Storage box</x:v>
      </x:c>
      <x:c r="H1601" s="11" t="n">
        <x:v>3</x:v>
      </x:c>
      <x:c r="I1601" s="19" t="n">
        <x:v>0.1</x:v>
      </x:c>
      <x:c r="J1601" s="11" t="n">
        <x:v>0</x:v>
      </x:c>
      <x:c r="K1601" s="20" t="n">
        <x:v>78</x:v>
      </x:c>
      <x:c r="L1601" s="20" t="n">
        <x:v>7.8</x:v>
      </x:c>
      <x:c r="M1601" s="20" t="n">
        <x:v>36</x:v>
      </x:c>
      <x:c r="N1601" s="20" t="n">
        <x:f>IF(J1601=1,0,K1601-L1601)</x:f>
        <x:v>70.2</x:v>
      </x:c>
      <x:c r="O1601" s="20" t="n">
        <x:f>N1601-M1601</x:f>
        <x:v>34.2</x:v>
      </x:c>
    </x:row>
    <x:row r="1602" ht="22" customHeight="1">
      <x:c r="A1602" s="11" t="n">
        <x:v>1598</x:v>
      </x:c>
      <x:c r="B1602" s="11" t="n">
        <x:v>810</x:v>
      </x:c>
      <x:c r="C1602" s="18" t="n">
        <x:v>45929</x:v>
      </x:c>
      <x:c r="D1602" s="11" t="str">
        <x:v>2025-09</x:v>
      </x:c>
      <x:c r="E1602" s="11" t="str">
        <x:v>South</x:v>
      </x:c>
      <x:c r="F1602" s="11" t="str">
        <x:v>Technology</x:v>
      </x:c>
      <x:c r="G1602" s="11" t="str">
        <x:v>Keyboard</x:v>
      </x:c>
      <x:c r="H1602" s="11" t="n">
        <x:v>2</x:v>
      </x:c>
      <x:c r="I1602" s="19" t="n">
        <x:v>0.15</x:v>
      </x:c>
      <x:c r="J1602" s="11" t="n">
        <x:v>0</x:v>
      </x:c>
      <x:c r="K1602" s="20" t="n">
        <x:v>130</x:v>
      </x:c>
      <x:c r="L1602" s="20" t="n">
        <x:v>19.5</x:v>
      </x:c>
      <x:c r="M1602" s="20" t="n">
        <x:v>64</x:v>
      </x:c>
      <x:c r="N1602" s="20" t="n">
        <x:f>IF(J1602=1,0,K1602-L1602)</x:f>
        <x:v>110.5</x:v>
      </x:c>
      <x:c r="O1602" s="20" t="n">
        <x:f>N1602-M1602</x:f>
        <x:v>46.5</x:v>
      </x:c>
    </x:row>
    <x:row r="1603" ht="22" customHeight="1">
      <x:c r="A1603" s="11" t="n">
        <x:v>1599</x:v>
      </x:c>
      <x:c r="B1603" s="11" t="n">
        <x:v>811</x:v>
      </x:c>
      <x:c r="C1603" s="18" t="n">
        <x:v>45936</x:v>
      </x:c>
      <x:c r="D1603" s="11" t="str">
        <x:v>2025-10</x:v>
      </x:c>
      <x:c r="E1603" s="11" t="str">
        <x:v>East</x:v>
      </x:c>
      <x:c r="F1603" s="11" t="str">
        <x:v>Office Supplies</x:v>
      </x:c>
      <x:c r="G1603" s="11" t="str">
        <x:v>Storage box</x:v>
      </x:c>
      <x:c r="H1603" s="11" t="n">
        <x:v>5</x:v>
      </x:c>
      <x:c r="I1603" s="19" t="n">
        <x:v>0.15</x:v>
      </x:c>
      <x:c r="J1603" s="11" t="n">
        <x:v>0</x:v>
      </x:c>
      <x:c r="K1603" s="20" t="n">
        <x:v>130</x:v>
      </x:c>
      <x:c r="L1603" s="20" t="n">
        <x:v>19.5</x:v>
      </x:c>
      <x:c r="M1603" s="20" t="n">
        <x:v>60</x:v>
      </x:c>
      <x:c r="N1603" s="20" t="n">
        <x:f>IF(J1603=1,0,K1603-L1603)</x:f>
        <x:v>110.5</x:v>
      </x:c>
      <x:c r="O1603" s="20" t="n">
        <x:f>N1603-M1603</x:f>
        <x:v>50.5</x:v>
      </x:c>
    </x:row>
    <x:row r="1604" ht="22" customHeight="1">
      <x:c r="A1604" s="11" t="n">
        <x:v>1600</x:v>
      </x:c>
      <x:c r="B1604" s="11" t="n">
        <x:v>811</x:v>
      </x:c>
      <x:c r="C1604" s="18" t="n">
        <x:v>45936</x:v>
      </x:c>
      <x:c r="D1604" s="11" t="str">
        <x:v>2025-10</x:v>
      </x:c>
      <x:c r="E1604" s="11" t="str">
        <x:v>East</x:v>
      </x:c>
      <x:c r="F1604" s="11" t="str">
        <x:v>Furniture</x:v>
      </x:c>
      <x:c r="G1604" s="11" t="str">
        <x:v>Chair</x:v>
      </x:c>
      <x:c r="H1604" s="11" t="n">
        <x:v>4</x:v>
      </x:c>
      <x:c r="I1604" s="19" t="n">
        <x:v>0</x:v>
      </x:c>
      <x:c r="J1604" s="11" t="n">
        <x:v>0</x:v>
      </x:c>
      <x:c r="K1604" s="20" t="n">
        <x:v>680</x:v>
      </x:c>
      <x:c r="L1604" s="20" t="n">
        <x:v>0</x:v>
      </x:c>
      <x:c r="M1604" s="20" t="n">
        <x:v>440</x:v>
      </x:c>
      <x:c r="N1604" s="20" t="n">
        <x:f>IF(J1604=1,0,K1604-L1604)</x:f>
        <x:v>680</x:v>
      </x:c>
      <x:c r="O1604" s="20" t="n">
        <x:f>N1604-M1604</x:f>
        <x:v>240</x:v>
      </x:c>
    </x:row>
    <x:row r="1605" ht="22" customHeight="1">
      <x:c r="A1605" s="11" t="n">
        <x:v>1601</x:v>
      </x:c>
      <x:c r="B1605" s="11" t="n">
        <x:v>811</x:v>
      </x:c>
      <x:c r="C1605" s="18" t="n">
        <x:v>45936</x:v>
      </x:c>
      <x:c r="D1605" s="11" t="str">
        <x:v>2025-10</x:v>
      </x:c>
      <x:c r="E1605" s="11" t="str">
        <x:v>East</x:v>
      </x:c>
      <x:c r="F1605" s="11" t="str">
        <x:v>Technology</x:v>
      </x:c>
      <x:c r="G1605" s="11" t="str">
        <x:v>Monitor</x:v>
      </x:c>
      <x:c r="H1605" s="11" t="n">
        <x:v>4</x:v>
      </x:c>
      <x:c r="I1605" s="19" t="n">
        <x:v>0.1</x:v>
      </x:c>
      <x:c r="J1605" s="11" t="n">
        <x:v>1</x:v>
      </x:c>
      <x:c r="K1605" s="20" t="n">
        <x:v>960</x:v>
      </x:c>
      <x:c r="L1605" s="20" t="n">
        <x:v>96</x:v>
      </x:c>
      <x:c r="M1605" s="20" t="n">
        <x:v>0</x:v>
      </x:c>
      <x:c r="N1605" s="20" t="n">
        <x:f>IF(J1605=1,0,K1605-L1605)</x:f>
        <x:v>0</x:v>
      </x:c>
      <x:c r="O1605" s="20" t="n">
        <x:f>N1605-M1605</x:f>
        <x:v>0</x:v>
      </x:c>
    </x:row>
    <x:row r="1606" ht="22" customHeight="1">
      <x:c r="A1606" s="11" t="n">
        <x:v>1602</x:v>
      </x:c>
      <x:c r="B1606" s="11" t="n">
        <x:v>812</x:v>
      </x:c>
      <x:c r="C1606" s="18" t="n">
        <x:v>45910</x:v>
      </x:c>
      <x:c r="D1606" s="11" t="str">
        <x:v>2025-09</x:v>
      </x:c>
      <x:c r="E1606" s="11" t="str">
        <x:v>Central</x:v>
      </x:c>
      <x:c r="F1606" s="11" t="str">
        <x:v>Furniture</x:v>
      </x:c>
      <x:c r="G1606" s="11" t="str">
        <x:v>Desk</x:v>
      </x:c>
      <x:c r="H1606" s="11" t="n">
        <x:v>1</x:v>
      </x:c>
      <x:c r="I1606" s="19" t="n">
        <x:v>0.25</x:v>
      </x:c>
      <x:c r="J1606" s="11" t="n">
        <x:v>0</x:v>
      </x:c>
      <x:c r="K1606" s="20" t="n">
        <x:v>280</x:v>
      </x:c>
      <x:c r="L1606" s="20" t="n">
        <x:v>70</x:v>
      </x:c>
      <x:c r="M1606" s="20" t="n">
        <x:v>190</x:v>
      </x:c>
      <x:c r="N1606" s="20" t="n">
        <x:f>IF(J1606=1,0,K1606-L1606)</x:f>
        <x:v>210</x:v>
      </x:c>
      <x:c r="O1606" s="20" t="n">
        <x:f>N1606-M1606</x:f>
        <x:v>20</x:v>
      </x:c>
    </x:row>
    <x:row r="1607" ht="22" customHeight="1">
      <x:c r="A1607" s="11" t="n">
        <x:v>1603</x:v>
      </x:c>
      <x:c r="B1607" s="11" t="n">
        <x:v>812</x:v>
      </x:c>
      <x:c r="C1607" s="18" t="n">
        <x:v>45910</x:v>
      </x:c>
      <x:c r="D1607" s="11" t="str">
        <x:v>2025-09</x:v>
      </x:c>
      <x:c r="E1607" s="11" t="str">
        <x:v>Central</x:v>
      </x:c>
      <x:c r="F1607" s="11" t="str">
        <x:v>Office Supplies</x:v>
      </x:c>
      <x:c r="G1607" s="11" t="str">
        <x:v>Notebook pack</x:v>
      </x:c>
      <x:c r="H1607" s="11" t="n">
        <x:v>1</x:v>
      </x:c>
      <x:c r="I1607" s="19" t="n">
        <x:v>0.05</x:v>
      </x:c>
      <x:c r="J1607" s="11" t="n">
        <x:v>0</x:v>
      </x:c>
      <x:c r="K1607" s="20" t="n">
        <x:v>18</x:v>
      </x:c>
      <x:c r="L1607" s="20" t="n">
        <x:v>0.9</x:v>
      </x:c>
      <x:c r="M1607" s="20" t="n">
        <x:v>7</x:v>
      </x:c>
      <x:c r="N1607" s="20" t="n">
        <x:f>IF(J1607=1,0,K1607-L1607)</x:f>
        <x:v>17.1</x:v>
      </x:c>
      <x:c r="O1607" s="20" t="n">
        <x:f>N1607-M1607</x:f>
        <x:v>10.100000000000001</x:v>
      </x:c>
    </x:row>
    <x:row r="1608" ht="22" customHeight="1">
      <x:c r="A1608" s="11" t="n">
        <x:v>1604</x:v>
      </x:c>
      <x:c r="B1608" s="11" t="n">
        <x:v>813</x:v>
      </x:c>
      <x:c r="C1608" s="18" t="n">
        <x:v>45571</x:v>
      </x:c>
      <x:c r="D1608" s="11" t="str">
        <x:v>2024-10</x:v>
      </x:c>
      <x:c r="E1608" s="11" t="str">
        <x:v>East</x:v>
      </x:c>
      <x:c r="F1608" s="11" t="str">
        <x:v>Furniture</x:v>
      </x:c>
      <x:c r="G1608" s="11" t="str">
        <x:v>Desk</x:v>
      </x:c>
      <x:c r="H1608" s="11" t="n">
        <x:v>4</x:v>
      </x:c>
      <x:c r="I1608" s="19" t="n">
        <x:v>0.05</x:v>
      </x:c>
      <x:c r="J1608" s="11" t="n">
        <x:v>0</x:v>
      </x:c>
      <x:c r="K1608" s="20" t="n">
        <x:v>1120</x:v>
      </x:c>
      <x:c r="L1608" s="20" t="n">
        <x:v>56</x:v>
      </x:c>
      <x:c r="M1608" s="20" t="n">
        <x:v>760</x:v>
      </x:c>
      <x:c r="N1608" s="20" t="n">
        <x:f>IF(J1608=1,0,K1608-L1608)</x:f>
        <x:v>1064</x:v>
      </x:c>
      <x:c r="O1608" s="20" t="n">
        <x:f>N1608-M1608</x:f>
        <x:v>304</x:v>
      </x:c>
    </x:row>
    <x:row r="1609" ht="22" customHeight="1">
      <x:c r="A1609" s="11" t="n">
        <x:v>1605</x:v>
      </x:c>
      <x:c r="B1609" s="11" t="n">
        <x:v>813</x:v>
      </x:c>
      <x:c r="C1609" s="18" t="n">
        <x:v>45571</x:v>
      </x:c>
      <x:c r="D1609" s="11" t="str">
        <x:v>2024-10</x:v>
      </x:c>
      <x:c r="E1609" s="11" t="str">
        <x:v>East</x:v>
      </x:c>
      <x:c r="F1609" s="11" t="str">
        <x:v>Office Supplies</x:v>
      </x:c>
      <x:c r="G1609" s="11" t="str">
        <x:v>Storage box</x:v>
      </x:c>
      <x:c r="H1609" s="11" t="n">
        <x:v>1</x:v>
      </x:c>
      <x:c r="I1609" s="19" t="n">
        <x:v>0</x:v>
      </x:c>
      <x:c r="J1609" s="11" t="n">
        <x:v>0</x:v>
      </x:c>
      <x:c r="K1609" s="20" t="n">
        <x:v>26</x:v>
      </x:c>
      <x:c r="L1609" s="20" t="n">
        <x:v>0</x:v>
      </x:c>
      <x:c r="M1609" s="20" t="n">
        <x:v>12</x:v>
      </x:c>
      <x:c r="N1609" s="20" t="n">
        <x:f>IF(J1609=1,0,K1609-L1609)</x:f>
        <x:v>26</x:v>
      </x:c>
      <x:c r="O1609" s="20" t="n">
        <x:f>N1609-M1609</x:f>
        <x:v>14</x:v>
      </x:c>
    </x:row>
    <x:row r="1610" ht="22" customHeight="1">
      <x:c r="A1610" s="11" t="n">
        <x:v>1606</x:v>
      </x:c>
      <x:c r="B1610" s="11" t="n">
        <x:v>814</x:v>
      </x:c>
      <x:c r="C1610" s="18" t="n">
        <x:v>45605</x:v>
      </x:c>
      <x:c r="D1610" s="11" t="str">
        <x:v>2024-11</x:v>
      </x:c>
      <x:c r="E1610" s="11" t="str">
        <x:v>East</x:v>
      </x:c>
      <x:c r="F1610" s="11" t="str">
        <x:v>Office Supplies</x:v>
      </x:c>
      <x:c r="G1610" s="11" t="str">
        <x:v>Notebook pack</x:v>
      </x:c>
      <x:c r="H1610" s="11" t="n">
        <x:v>3</x:v>
      </x:c>
      <x:c r="I1610" s="19" t="n">
        <x:v>0.15</x:v>
      </x:c>
      <x:c r="J1610" s="11" t="n">
        <x:v>0</x:v>
      </x:c>
      <x:c r="K1610" s="20" t="n">
        <x:v>54</x:v>
      </x:c>
      <x:c r="L1610" s="20" t="n">
        <x:v>8.1</x:v>
      </x:c>
      <x:c r="M1610" s="20" t="n">
        <x:v>21</x:v>
      </x:c>
      <x:c r="N1610" s="20" t="n">
        <x:f>IF(J1610=1,0,K1610-L1610)</x:f>
        <x:v>45.9</x:v>
      </x:c>
      <x:c r="O1610" s="20" t="n">
        <x:f>N1610-M1610</x:f>
        <x:v>24.9</x:v>
      </x:c>
    </x:row>
    <x:row r="1611" ht="22" customHeight="1">
      <x:c r="A1611" s="11" t="n">
        <x:v>1607</x:v>
      </x:c>
      <x:c r="B1611" s="11" t="n">
        <x:v>815</x:v>
      </x:c>
      <x:c r="C1611" s="18" t="n">
        <x:v>45856</x:v>
      </x:c>
      <x:c r="D1611" s="11" t="str">
        <x:v>2025-07</x:v>
      </x:c>
      <x:c r="E1611" s="11" t="str">
        <x:v>West</x:v>
      </x:c>
      <x:c r="F1611" s="11" t="str">
        <x:v>Furniture</x:v>
      </x:c>
      <x:c r="G1611" s="11" t="str">
        <x:v>Chair</x:v>
      </x:c>
      <x:c r="H1611" s="11" t="n">
        <x:v>3</x:v>
      </x:c>
      <x:c r="I1611" s="19" t="n">
        <x:v>0.25</x:v>
      </x:c>
      <x:c r="J1611" s="11" t="n">
        <x:v>0</x:v>
      </x:c>
      <x:c r="K1611" s="20" t="n">
        <x:v>510</x:v>
      </x:c>
      <x:c r="L1611" s="20" t="n">
        <x:v>127.5</x:v>
      </x:c>
      <x:c r="M1611" s="20" t="n">
        <x:v>330</x:v>
      </x:c>
      <x:c r="N1611" s="20" t="n">
        <x:f>IF(J1611=1,0,K1611-L1611)</x:f>
        <x:v>382.5</x:v>
      </x:c>
      <x:c r="O1611" s="20" t="n">
        <x:f>N1611-M1611</x:f>
        <x:v>52.5</x:v>
      </x:c>
    </x:row>
    <x:row r="1612" ht="22" customHeight="1">
      <x:c r="A1612" s="11" t="n">
        <x:v>1608</x:v>
      </x:c>
      <x:c r="B1612" s="11" t="n">
        <x:v>816</x:v>
      </x:c>
      <x:c r="C1612" s="18" t="n">
        <x:v>45986</x:v>
      </x:c>
      <x:c r="D1612" s="11" t="str">
        <x:v>2025-11</x:v>
      </x:c>
      <x:c r="E1612" s="11" t="str">
        <x:v>East</x:v>
      </x:c>
      <x:c r="F1612" s="11" t="str">
        <x:v>Office Supplies</x:v>
      </x:c>
      <x:c r="G1612" s="11" t="str">
        <x:v>Notebook pack</x:v>
      </x:c>
      <x:c r="H1612" s="11" t="n">
        <x:v>3</x:v>
      </x:c>
      <x:c r="I1612" s="19" t="n">
        <x:v>0</x:v>
      </x:c>
      <x:c r="J1612" s="11" t="n">
        <x:v>0</x:v>
      </x:c>
      <x:c r="K1612" s="20" t="n">
        <x:v>54</x:v>
      </x:c>
      <x:c r="L1612" s="20" t="n">
        <x:v>0</x:v>
      </x:c>
      <x:c r="M1612" s="20" t="n">
        <x:v>21</x:v>
      </x:c>
      <x:c r="N1612" s="20" t="n">
        <x:f>IF(J1612=1,0,K1612-L1612)</x:f>
        <x:v>54</x:v>
      </x:c>
      <x:c r="O1612" s="20" t="n">
        <x:f>N1612-M1612</x:f>
        <x:v>33</x:v>
      </x:c>
    </x:row>
    <x:row r="1613" ht="22" customHeight="1">
      <x:c r="A1613" s="11" t="n">
        <x:v>1609</x:v>
      </x:c>
      <x:c r="B1613" s="11" t="n">
        <x:v>816</x:v>
      </x:c>
      <x:c r="C1613" s="18" t="n">
        <x:v>45986</x:v>
      </x:c>
      <x:c r="D1613" s="11" t="str">
        <x:v>2025-11</x:v>
      </x:c>
      <x:c r="E1613" s="11" t="str">
        <x:v>East</x:v>
      </x:c>
      <x:c r="F1613" s="11" t="str">
        <x:v>Furniture</x:v>
      </x:c>
      <x:c r="G1613" s="11" t="str">
        <x:v>Chair</x:v>
      </x:c>
      <x:c r="H1613" s="11" t="n">
        <x:v>2</x:v>
      </x:c>
      <x:c r="I1613" s="19" t="n">
        <x:v>0</x:v>
      </x:c>
      <x:c r="J1613" s="11" t="n">
        <x:v>0</x:v>
      </x:c>
      <x:c r="K1613" s="20" t="n">
        <x:v>340</x:v>
      </x:c>
      <x:c r="L1613" s="20" t="n">
        <x:v>0</x:v>
      </x:c>
      <x:c r="M1613" s="20" t="n">
        <x:v>220</x:v>
      </x:c>
      <x:c r="N1613" s="20" t="n">
        <x:f>IF(J1613=1,0,K1613-L1613)</x:f>
        <x:v>340</x:v>
      </x:c>
      <x:c r="O1613" s="20" t="n">
        <x:f>N1613-M1613</x:f>
        <x:v>120</x:v>
      </x:c>
    </x:row>
    <x:row r="1614" ht="22" customHeight="1">
      <x:c r="A1614" s="11" t="n">
        <x:v>1610</x:v>
      </x:c>
      <x:c r="B1614" s="11" t="n">
        <x:v>817</x:v>
      </x:c>
      <x:c r="C1614" s="18" t="n">
        <x:v>45873</x:v>
      </x:c>
      <x:c r="D1614" s="11" t="str">
        <x:v>2025-08</x:v>
      </x:c>
      <x:c r="E1614" s="11" t="str">
        <x:v>Central</x:v>
      </x:c>
      <x:c r="F1614" s="11" t="str">
        <x:v>Office Supplies</x:v>
      </x:c>
      <x:c r="G1614" s="11" t="str">
        <x:v>Storage box</x:v>
      </x:c>
      <x:c r="H1614" s="11" t="n">
        <x:v>3</x:v>
      </x:c>
      <x:c r="I1614" s="19" t="n">
        <x:v>0</x:v>
      </x:c>
      <x:c r="J1614" s="11" t="n">
        <x:v>0</x:v>
      </x:c>
      <x:c r="K1614" s="20" t="n">
        <x:v>78</x:v>
      </x:c>
      <x:c r="L1614" s="20" t="n">
        <x:v>0</x:v>
      </x:c>
      <x:c r="M1614" s="20" t="n">
        <x:v>36</x:v>
      </x:c>
      <x:c r="N1614" s="20" t="n">
        <x:f>IF(J1614=1,0,K1614-L1614)</x:f>
        <x:v>78</x:v>
      </x:c>
      <x:c r="O1614" s="20" t="n">
        <x:f>N1614-M1614</x:f>
        <x:v>42</x:v>
      </x:c>
    </x:row>
    <x:row r="1615" ht="22" customHeight="1">
      <x:c r="A1615" s="11" t="n">
        <x:v>1611</x:v>
      </x:c>
      <x:c r="B1615" s="11" t="n">
        <x:v>818</x:v>
      </x:c>
      <x:c r="C1615" s="18" t="n">
        <x:v>45720</x:v>
      </x:c>
      <x:c r="D1615" s="11" t="str">
        <x:v>2025-03</x:v>
      </x:c>
      <x:c r="E1615" s="11" t="str">
        <x:v>South</x:v>
      </x:c>
      <x:c r="F1615" s="11" t="str">
        <x:v>Technology</x:v>
      </x:c>
      <x:c r="G1615" s="11" t="str">
        <x:v>Keyboard</x:v>
      </x:c>
      <x:c r="H1615" s="11" t="n">
        <x:v>3</x:v>
      </x:c>
      <x:c r="I1615" s="19" t="n">
        <x:v>0.1</x:v>
      </x:c>
      <x:c r="J1615" s="11" t="n">
        <x:v>0</x:v>
      </x:c>
      <x:c r="K1615" s="20" t="n">
        <x:v>195</x:v>
      </x:c>
      <x:c r="L1615" s="20" t="n">
        <x:v>19.5</x:v>
      </x:c>
      <x:c r="M1615" s="20" t="n">
        <x:v>96</x:v>
      </x:c>
      <x:c r="N1615" s="20" t="n">
        <x:f>IF(J1615=1,0,K1615-L1615)</x:f>
        <x:v>175.5</x:v>
      </x:c>
      <x:c r="O1615" s="20" t="n">
        <x:f>N1615-M1615</x:f>
        <x:v>79.5</x:v>
      </x:c>
    </x:row>
    <x:row r="1616" ht="22" customHeight="1">
      <x:c r="A1616" s="11" t="n">
        <x:v>1612</x:v>
      </x:c>
      <x:c r="B1616" s="11" t="n">
        <x:v>819</x:v>
      </x:c>
      <x:c r="C1616" s="18" t="n">
        <x:v>45574</x:v>
      </x:c>
      <x:c r="D1616" s="11" t="str">
        <x:v>2024-10</x:v>
      </x:c>
      <x:c r="E1616" s="11" t="str">
        <x:v>South</x:v>
      </x:c>
      <x:c r="F1616" s="11" t="str">
        <x:v>Office Supplies</x:v>
      </x:c>
      <x:c r="G1616" s="11" t="str">
        <x:v>Storage box</x:v>
      </x:c>
      <x:c r="H1616" s="11" t="n">
        <x:v>3</x:v>
      </x:c>
      <x:c r="I1616" s="19" t="n">
        <x:v>0.1</x:v>
      </x:c>
      <x:c r="J1616" s="11" t="n">
        <x:v>0</x:v>
      </x:c>
      <x:c r="K1616" s="20" t="n">
        <x:v>78</x:v>
      </x:c>
      <x:c r="L1616" s="20" t="n">
        <x:v>7.8</x:v>
      </x:c>
      <x:c r="M1616" s="20" t="n">
        <x:v>36</x:v>
      </x:c>
      <x:c r="N1616" s="20" t="n">
        <x:f>IF(J1616=1,0,K1616-L1616)</x:f>
        <x:v>70.2</x:v>
      </x:c>
      <x:c r="O1616" s="20" t="n">
        <x:f>N1616-M1616</x:f>
        <x:v>34.2</x:v>
      </x:c>
    </x:row>
    <x:row r="1617" ht="22" customHeight="1">
      <x:c r="A1617" s="11" t="n">
        <x:v>1613</x:v>
      </x:c>
      <x:c r="B1617" s="11" t="n">
        <x:v>819</x:v>
      </x:c>
      <x:c r="C1617" s="18" t="n">
        <x:v>45574</x:v>
      </x:c>
      <x:c r="D1617" s="11" t="str">
        <x:v>2024-10</x:v>
      </x:c>
      <x:c r="E1617" s="11" t="str">
        <x:v>South</x:v>
      </x:c>
      <x:c r="F1617" s="11" t="str">
        <x:v>Furniture</x:v>
      </x:c>
      <x:c r="G1617" s="11" t="str">
        <x:v>Desk</x:v>
      </x:c>
      <x:c r="H1617" s="11" t="n">
        <x:v>1</x:v>
      </x:c>
      <x:c r="I1617" s="19" t="n">
        <x:v>0</x:v>
      </x:c>
      <x:c r="J1617" s="11" t="n">
        <x:v>0</x:v>
      </x:c>
      <x:c r="K1617" s="20" t="n">
        <x:v>280</x:v>
      </x:c>
      <x:c r="L1617" s="20" t="n">
        <x:v>0</x:v>
      </x:c>
      <x:c r="M1617" s="20" t="n">
        <x:v>190</x:v>
      </x:c>
      <x:c r="N1617" s="20" t="n">
        <x:f>IF(J1617=1,0,K1617-L1617)</x:f>
        <x:v>280</x:v>
      </x:c>
      <x:c r="O1617" s="20" t="n">
        <x:f>N1617-M1617</x:f>
        <x:v>90</x:v>
      </x:c>
    </x:row>
    <x:row r="1618" ht="22" customHeight="1">
      <x:c r="A1618" s="11" t="n">
        <x:v>1614</x:v>
      </x:c>
      <x:c r="B1618" s="11" t="n">
        <x:v>820</x:v>
      </x:c>
      <x:c r="C1618" s="18" t="n">
        <x:v>45537</x:v>
      </x:c>
      <x:c r="D1618" s="11" t="str">
        <x:v>2024-09</x:v>
      </x:c>
      <x:c r="E1618" s="11" t="str">
        <x:v>Central</x:v>
      </x:c>
      <x:c r="F1618" s="11" t="str">
        <x:v>Furniture</x:v>
      </x:c>
      <x:c r="G1618" s="11" t="str">
        <x:v>Desk</x:v>
      </x:c>
      <x:c r="H1618" s="11" t="n">
        <x:v>5</x:v>
      </x:c>
      <x:c r="I1618" s="19" t="n">
        <x:v>0.35</x:v>
      </x:c>
      <x:c r="J1618" s="11" t="n">
        <x:v>0</x:v>
      </x:c>
      <x:c r="K1618" s="20" t="n">
        <x:v>1400</x:v>
      </x:c>
      <x:c r="L1618" s="20" t="n">
        <x:v>490</x:v>
      </x:c>
      <x:c r="M1618" s="20" t="n">
        <x:v>950</x:v>
      </x:c>
      <x:c r="N1618" s="20" t="n">
        <x:f>IF(J1618=1,0,K1618-L1618)</x:f>
        <x:v>910</x:v>
      </x:c>
      <x:c r="O1618" s="20" t="n">
        <x:f>N1618-M1618</x:f>
        <x:v>-40</x:v>
      </x:c>
    </x:row>
    <x:row r="1619" ht="22" customHeight="1">
      <x:c r="A1619" s="11" t="n">
        <x:v>1615</x:v>
      </x:c>
      <x:c r="B1619" s="11" t="n">
        <x:v>820</x:v>
      </x:c>
      <x:c r="C1619" s="18" t="n">
        <x:v>45537</x:v>
      </x:c>
      <x:c r="D1619" s="11" t="str">
        <x:v>2024-09</x:v>
      </x:c>
      <x:c r="E1619" s="11" t="str">
        <x:v>Central</x:v>
      </x:c>
      <x:c r="F1619" s="11" t="str">
        <x:v>Office Supplies</x:v>
      </x:c>
      <x:c r="G1619" s="11" t="str">
        <x:v>Storage box</x:v>
      </x:c>
      <x:c r="H1619" s="11" t="n">
        <x:v>1</x:v>
      </x:c>
      <x:c r="I1619" s="19" t="n">
        <x:v>0.1</x:v>
      </x:c>
      <x:c r="J1619" s="11" t="n">
        <x:v>0</x:v>
      </x:c>
      <x:c r="K1619" s="20" t="n">
        <x:v>26</x:v>
      </x:c>
      <x:c r="L1619" s="20" t="n">
        <x:v>2.6</x:v>
      </x:c>
      <x:c r="M1619" s="20" t="n">
        <x:v>12</x:v>
      </x:c>
      <x:c r="N1619" s="20" t="n">
        <x:f>IF(J1619=1,0,K1619-L1619)</x:f>
        <x:v>23.4</x:v>
      </x:c>
      <x:c r="O1619" s="20" t="n">
        <x:f>N1619-M1619</x:f>
        <x:v>11.399999999999999</x:v>
      </x:c>
    </x:row>
    <x:row r="1620" ht="22" customHeight="1">
      <x:c r="A1620" s="11" t="n">
        <x:v>1616</x:v>
      </x:c>
      <x:c r="B1620" s="11" t="n">
        <x:v>820</x:v>
      </x:c>
      <x:c r="C1620" s="18" t="n">
        <x:v>45537</x:v>
      </x:c>
      <x:c r="D1620" s="11" t="str">
        <x:v>2024-09</x:v>
      </x:c>
      <x:c r="E1620" s="11" t="str">
        <x:v>Central</x:v>
      </x:c>
      <x:c r="F1620" s="11" t="str">
        <x:v>Technology</x:v>
      </x:c>
      <x:c r="G1620" s="11" t="str">
        <x:v>Monitor</x:v>
      </x:c>
      <x:c r="H1620" s="11" t="n">
        <x:v>2</x:v>
      </x:c>
      <x:c r="I1620" s="19" t="n">
        <x:v>0.1</x:v>
      </x:c>
      <x:c r="J1620" s="11" t="n">
        <x:v>0</x:v>
      </x:c>
      <x:c r="K1620" s="20" t="n">
        <x:v>480</x:v>
      </x:c>
      <x:c r="L1620" s="20" t="n">
        <x:v>48</x:v>
      </x:c>
      <x:c r="M1620" s="20" t="n">
        <x:v>320</x:v>
      </x:c>
      <x:c r="N1620" s="20" t="n">
        <x:f>IF(J1620=1,0,K1620-L1620)</x:f>
        <x:v>432</x:v>
      </x:c>
      <x:c r="O1620" s="20" t="n">
        <x:f>N1620-M1620</x:f>
        <x:v>112</x:v>
      </x:c>
    </x:row>
    <x:row r="1621" ht="22" customHeight="1">
      <x:c r="A1621" s="11" t="n">
        <x:v>1617</x:v>
      </x:c>
      <x:c r="B1621" s="11" t="n">
        <x:v>821</x:v>
      </x:c>
      <x:c r="C1621" s="18" t="n">
        <x:v>45993</x:v>
      </x:c>
      <x:c r="D1621" s="11" t="str">
        <x:v>2025-12</x:v>
      </x:c>
      <x:c r="E1621" s="11" t="str">
        <x:v>Central</x:v>
      </x:c>
      <x:c r="F1621" s="11" t="str">
        <x:v>Furniture</x:v>
      </x:c>
      <x:c r="G1621" s="11" t="str">
        <x:v>Desk</x:v>
      </x:c>
      <x:c r="H1621" s="11" t="n">
        <x:v>2</x:v>
      </x:c>
      <x:c r="I1621" s="19" t="n">
        <x:v>0</x:v>
      </x:c>
      <x:c r="J1621" s="11" t="n">
        <x:v>0</x:v>
      </x:c>
      <x:c r="K1621" s="20" t="n">
        <x:v>560</x:v>
      </x:c>
      <x:c r="L1621" s="20" t="n">
        <x:v>0</x:v>
      </x:c>
      <x:c r="M1621" s="20" t="n">
        <x:v>380</x:v>
      </x:c>
      <x:c r="N1621" s="20" t="n">
        <x:f>IF(J1621=1,0,K1621-L1621)</x:f>
        <x:v>560</x:v>
      </x:c>
      <x:c r="O1621" s="20" t="n">
        <x:f>N1621-M1621</x:f>
        <x:v>180</x:v>
      </x:c>
    </x:row>
    <x:row r="1622" ht="22" customHeight="1">
      <x:c r="A1622" s="11" t="n">
        <x:v>1618</x:v>
      </x:c>
      <x:c r="B1622" s="11" t="n">
        <x:v>821</x:v>
      </x:c>
      <x:c r="C1622" s="18" t="n">
        <x:v>45993</x:v>
      </x:c>
      <x:c r="D1622" s="11" t="str">
        <x:v>2025-12</x:v>
      </x:c>
      <x:c r="E1622" s="11" t="str">
        <x:v>Central</x:v>
      </x:c>
      <x:c r="F1622" s="11" t="str">
        <x:v>Office Supplies</x:v>
      </x:c>
      <x:c r="G1622" s="11" t="str">
        <x:v>Notebook pack</x:v>
      </x:c>
      <x:c r="H1622" s="11" t="n">
        <x:v>5</x:v>
      </x:c>
      <x:c r="I1622" s="19" t="n">
        <x:v>0.05</x:v>
      </x:c>
      <x:c r="J1622" s="11" t="n">
        <x:v>0</x:v>
      </x:c>
      <x:c r="K1622" s="20" t="n">
        <x:v>90</x:v>
      </x:c>
      <x:c r="L1622" s="20" t="n">
        <x:v>4.5</x:v>
      </x:c>
      <x:c r="M1622" s="20" t="n">
        <x:v>35</x:v>
      </x:c>
      <x:c r="N1622" s="20" t="n">
        <x:f>IF(J1622=1,0,K1622-L1622)</x:f>
        <x:v>85.5</x:v>
      </x:c>
      <x:c r="O1622" s="20" t="n">
        <x:f>N1622-M1622</x:f>
        <x:v>50.5</x:v>
      </x:c>
    </x:row>
    <x:row r="1623" ht="22" customHeight="1">
      <x:c r="A1623" s="11" t="n">
        <x:v>1619</x:v>
      </x:c>
      <x:c r="B1623" s="11" t="n">
        <x:v>822</x:v>
      </x:c>
      <x:c r="C1623" s="18" t="n">
        <x:v>45969</x:v>
      </x:c>
      <x:c r="D1623" s="11" t="str">
        <x:v>2025-11</x:v>
      </x:c>
      <x:c r="E1623" s="11" t="str">
        <x:v>East</x:v>
      </x:c>
      <x:c r="F1623" s="11" t="str">
        <x:v>Technology</x:v>
      </x:c>
      <x:c r="G1623" s="11" t="str">
        <x:v>Keyboard</x:v>
      </x:c>
      <x:c r="H1623" s="11" t="n">
        <x:v>2</x:v>
      </x:c>
      <x:c r="I1623" s="19" t="n">
        <x:v>0</x:v>
      </x:c>
      <x:c r="J1623" s="11" t="n">
        <x:v>0</x:v>
      </x:c>
      <x:c r="K1623" s="20" t="n">
        <x:v>130</x:v>
      </x:c>
      <x:c r="L1623" s="20" t="n">
        <x:v>0</x:v>
      </x:c>
      <x:c r="M1623" s="20" t="n">
        <x:v>64</x:v>
      </x:c>
      <x:c r="N1623" s="20" t="n">
        <x:f>IF(J1623=1,0,K1623-L1623)</x:f>
        <x:v>130</x:v>
      </x:c>
      <x:c r="O1623" s="20" t="n">
        <x:f>N1623-M1623</x:f>
        <x:v>66</x:v>
      </x:c>
    </x:row>
    <x:row r="1624" ht="22" customHeight="1">
      <x:c r="A1624" s="11" t="n">
        <x:v>1620</x:v>
      </x:c>
      <x:c r="B1624" s="11" t="n">
        <x:v>822</x:v>
      </x:c>
      <x:c r="C1624" s="18" t="n">
        <x:v>45969</x:v>
      </x:c>
      <x:c r="D1624" s="11" t="str">
        <x:v>2025-11</x:v>
      </x:c>
      <x:c r="E1624" s="11" t="str">
        <x:v>East</x:v>
      </x:c>
      <x:c r="F1624" s="11" t="str">
        <x:v>Furniture</x:v>
      </x:c>
      <x:c r="G1624" s="11" t="str">
        <x:v>Chair</x:v>
      </x:c>
      <x:c r="H1624" s="11" t="n">
        <x:v>2</x:v>
      </x:c>
      <x:c r="I1624" s="19" t="n">
        <x:v>0.15</x:v>
      </x:c>
      <x:c r="J1624" s="11" t="n">
        <x:v>0</x:v>
      </x:c>
      <x:c r="K1624" s="20" t="n">
        <x:v>340</x:v>
      </x:c>
      <x:c r="L1624" s="20" t="n">
        <x:v>51</x:v>
      </x:c>
      <x:c r="M1624" s="20" t="n">
        <x:v>220</x:v>
      </x:c>
      <x:c r="N1624" s="20" t="n">
        <x:f>IF(J1624=1,0,K1624-L1624)</x:f>
        <x:v>289</x:v>
      </x:c>
      <x:c r="O1624" s="20" t="n">
        <x:f>N1624-M1624</x:f>
        <x:v>69</x:v>
      </x:c>
    </x:row>
    <x:row r="1625" ht="22" customHeight="1">
      <x:c r="A1625" s="11" t="n">
        <x:v>1621</x:v>
      </x:c>
      <x:c r="B1625" s="11" t="n">
        <x:v>822</x:v>
      </x:c>
      <x:c r="C1625" s="18" t="n">
        <x:v>45969</x:v>
      </x:c>
      <x:c r="D1625" s="11" t="str">
        <x:v>2025-11</x:v>
      </x:c>
      <x:c r="E1625" s="11" t="str">
        <x:v>East</x:v>
      </x:c>
      <x:c r="F1625" s="11" t="str">
        <x:v>Office Supplies</x:v>
      </x:c>
      <x:c r="G1625" s="11" t="str">
        <x:v>Notebook pack</x:v>
      </x:c>
      <x:c r="H1625" s="11" t="n">
        <x:v>4</x:v>
      </x:c>
      <x:c r="I1625" s="19" t="n">
        <x:v>0.1</x:v>
      </x:c>
      <x:c r="J1625" s="11" t="n">
        <x:v>0</x:v>
      </x:c>
      <x:c r="K1625" s="20" t="n">
        <x:v>72</x:v>
      </x:c>
      <x:c r="L1625" s="20" t="n">
        <x:v>7.2</x:v>
      </x:c>
      <x:c r="M1625" s="20" t="n">
        <x:v>28</x:v>
      </x:c>
      <x:c r="N1625" s="20" t="n">
        <x:f>IF(J1625=1,0,K1625-L1625)</x:f>
        <x:v>64.8</x:v>
      </x:c>
      <x:c r="O1625" s="20" t="n">
        <x:f>N1625-M1625</x:f>
        <x:v>36.8</x:v>
      </x:c>
    </x:row>
    <x:row r="1626" ht="22" customHeight="1">
      <x:c r="A1626" s="11" t="n">
        <x:v>1622</x:v>
      </x:c>
      <x:c r="B1626" s="11" t="n">
        <x:v>823</x:v>
      </x:c>
      <x:c r="C1626" s="18" t="n">
        <x:v>45674</x:v>
      </x:c>
      <x:c r="D1626" s="11" t="str">
        <x:v>2025-01</x:v>
      </x:c>
      <x:c r="E1626" s="11" t="str">
        <x:v>Central</x:v>
      </x:c>
      <x:c r="F1626" s="11" t="str">
        <x:v>Furniture</x:v>
      </x:c>
      <x:c r="G1626" s="11" t="str">
        <x:v>Chair</x:v>
      </x:c>
      <x:c r="H1626" s="11" t="n">
        <x:v>3</x:v>
      </x:c>
      <x:c r="I1626" s="19" t="n">
        <x:v>0.1</x:v>
      </x:c>
      <x:c r="J1626" s="11" t="n">
        <x:v>0</x:v>
      </x:c>
      <x:c r="K1626" s="20" t="n">
        <x:v>510</x:v>
      </x:c>
      <x:c r="L1626" s="20" t="n">
        <x:v>51</x:v>
      </x:c>
      <x:c r="M1626" s="20" t="n">
        <x:v>330</x:v>
      </x:c>
      <x:c r="N1626" s="20" t="n">
        <x:f>IF(J1626=1,0,K1626-L1626)</x:f>
        <x:v>459</x:v>
      </x:c>
      <x:c r="O1626" s="20" t="n">
        <x:f>N1626-M1626</x:f>
        <x:v>129</x:v>
      </x:c>
    </x:row>
    <x:row r="1627" ht="22" customHeight="1">
      <x:c r="A1627" s="11" t="n">
        <x:v>1623</x:v>
      </x:c>
      <x:c r="B1627" s="11" t="n">
        <x:v>823</x:v>
      </x:c>
      <x:c r="C1627" s="18" t="n">
        <x:v>45674</x:v>
      </x:c>
      <x:c r="D1627" s="11" t="str">
        <x:v>2025-01</x:v>
      </x:c>
      <x:c r="E1627" s="11" t="str">
        <x:v>Central</x:v>
      </x:c>
      <x:c r="F1627" s="11" t="str">
        <x:v>Office Supplies</x:v>
      </x:c>
      <x:c r="G1627" s="11" t="str">
        <x:v>Notebook pack</x:v>
      </x:c>
      <x:c r="H1627" s="11" t="n">
        <x:v>3</x:v>
      </x:c>
      <x:c r="I1627" s="19" t="n">
        <x:v>0</x:v>
      </x:c>
      <x:c r="J1627" s="11" t="n">
        <x:v>1</x:v>
      </x:c>
      <x:c r="K1627" s="20" t="n">
        <x:v>54</x:v>
      </x:c>
      <x:c r="L1627" s="20" t="n">
        <x:v>0</x:v>
      </x:c>
      <x:c r="M1627" s="20" t="n">
        <x:v>0</x:v>
      </x:c>
      <x:c r="N1627" s="20" t="n">
        <x:f>IF(J1627=1,0,K1627-L1627)</x:f>
        <x:v>0</x:v>
      </x:c>
      <x:c r="O1627" s="20" t="n">
        <x:f>N1627-M1627</x:f>
        <x:v>0</x:v>
      </x:c>
    </x:row>
    <x:row r="1628" ht="22" customHeight="1">
      <x:c r="A1628" s="11" t="n">
        <x:v>1624</x:v>
      </x:c>
      <x:c r="B1628" s="11" t="n">
        <x:v>823</x:v>
      </x:c>
      <x:c r="C1628" s="18" t="n">
        <x:v>45674</x:v>
      </x:c>
      <x:c r="D1628" s="11" t="str">
        <x:v>2025-01</x:v>
      </x:c>
      <x:c r="E1628" s="11" t="str">
        <x:v>Central</x:v>
      </x:c>
      <x:c r="F1628" s="11" t="str">
        <x:v>Furniture</x:v>
      </x:c>
      <x:c r="G1628" s="11" t="str">
        <x:v>Desk</x:v>
      </x:c>
      <x:c r="H1628" s="11" t="n">
        <x:v>5</x:v>
      </x:c>
      <x:c r="I1628" s="19" t="n">
        <x:v>0.25</x:v>
      </x:c>
      <x:c r="J1628" s="11" t="n">
        <x:v>0</x:v>
      </x:c>
      <x:c r="K1628" s="20" t="n">
        <x:v>1400</x:v>
      </x:c>
      <x:c r="L1628" s="20" t="n">
        <x:v>350</x:v>
      </x:c>
      <x:c r="M1628" s="20" t="n">
        <x:v>950</x:v>
      </x:c>
      <x:c r="N1628" s="20" t="n">
        <x:f>IF(J1628=1,0,K1628-L1628)</x:f>
        <x:v>1050</x:v>
      </x:c>
      <x:c r="O1628" s="20" t="n">
        <x:f>N1628-M1628</x:f>
        <x:v>100</x:v>
      </x:c>
    </x:row>
    <x:row r="1629" ht="22" customHeight="1">
      <x:c r="A1629" s="11" t="n">
        <x:v>1625</x:v>
      </x:c>
      <x:c r="B1629" s="11" t="n">
        <x:v>824</x:v>
      </x:c>
      <x:c r="C1629" s="18" t="n">
        <x:v>45604</x:v>
      </x:c>
      <x:c r="D1629" s="11" t="str">
        <x:v>2024-11</x:v>
      </x:c>
      <x:c r="E1629" s="11" t="str">
        <x:v>West</x:v>
      </x:c>
      <x:c r="F1629" s="11" t="str">
        <x:v>Office Supplies</x:v>
      </x:c>
      <x:c r="G1629" s="11" t="str">
        <x:v>Notebook pack</x:v>
      </x:c>
      <x:c r="H1629" s="11" t="n">
        <x:v>1</x:v>
      </x:c>
      <x:c r="I1629" s="19" t="n">
        <x:v>0.05</x:v>
      </x:c>
      <x:c r="J1629" s="11" t="n">
        <x:v>1</x:v>
      </x:c>
      <x:c r="K1629" s="20" t="n">
        <x:v>18</x:v>
      </x:c>
      <x:c r="L1629" s="20" t="n">
        <x:v>0.9</x:v>
      </x:c>
      <x:c r="M1629" s="20" t="n">
        <x:v>0</x:v>
      </x:c>
      <x:c r="N1629" s="20" t="n">
        <x:f>IF(J1629=1,0,K1629-L1629)</x:f>
        <x:v>0</x:v>
      </x:c>
      <x:c r="O1629" s="20" t="n">
        <x:f>N1629-M1629</x:f>
        <x:v>0</x:v>
      </x:c>
    </x:row>
    <x:row r="1630" ht="22" customHeight="1">
      <x:c r="A1630" s="11" t="n">
        <x:v>1626</x:v>
      </x:c>
      <x:c r="B1630" s="11" t="n">
        <x:v>824</x:v>
      </x:c>
      <x:c r="C1630" s="18" t="n">
        <x:v>45604</x:v>
      </x:c>
      <x:c r="D1630" s="11" t="str">
        <x:v>2024-11</x:v>
      </x:c>
      <x:c r="E1630" s="11" t="str">
        <x:v>West</x:v>
      </x:c>
      <x:c r="F1630" s="11" t="str">
        <x:v>Technology</x:v>
      </x:c>
      <x:c r="G1630" s="11" t="str">
        <x:v>Keyboard</x:v>
      </x:c>
      <x:c r="H1630" s="11" t="n">
        <x:v>4</x:v>
      </x:c>
      <x:c r="I1630" s="19" t="n">
        <x:v>0.05</x:v>
      </x:c>
      <x:c r="J1630" s="11" t="n">
        <x:v>0</x:v>
      </x:c>
      <x:c r="K1630" s="20" t="n">
        <x:v>260</x:v>
      </x:c>
      <x:c r="L1630" s="20" t="n">
        <x:v>13</x:v>
      </x:c>
      <x:c r="M1630" s="20" t="n">
        <x:v>128</x:v>
      </x:c>
      <x:c r="N1630" s="20" t="n">
        <x:f>IF(J1630=1,0,K1630-L1630)</x:f>
        <x:v>247</x:v>
      </x:c>
      <x:c r="O1630" s="20" t="n">
        <x:f>N1630-M1630</x:f>
        <x:v>119</x:v>
      </x:c>
    </x:row>
    <x:row r="1631" ht="22" customHeight="1">
      <x:c r="A1631" s="11" t="n">
        <x:v>1627</x:v>
      </x:c>
      <x:c r="B1631" s="11" t="n">
        <x:v>825</x:v>
      </x:c>
      <x:c r="C1631" s="18" t="n">
        <x:v>45401</x:v>
      </x:c>
      <x:c r="D1631" s="11" t="str">
        <x:v>2024-04</x:v>
      </x:c>
      <x:c r="E1631" s="11" t="str">
        <x:v>Central</x:v>
      </x:c>
      <x:c r="F1631" s="11" t="str">
        <x:v>Furniture</x:v>
      </x:c>
      <x:c r="G1631" s="11" t="str">
        <x:v>Chair</x:v>
      </x:c>
      <x:c r="H1631" s="11" t="n">
        <x:v>1</x:v>
      </x:c>
      <x:c r="I1631" s="19" t="n">
        <x:v>0</x:v>
      </x:c>
      <x:c r="J1631" s="11" t="n">
        <x:v>0</x:v>
      </x:c>
      <x:c r="K1631" s="20" t="n">
        <x:v>170</x:v>
      </x:c>
      <x:c r="L1631" s="20" t="n">
        <x:v>0</x:v>
      </x:c>
      <x:c r="M1631" s="20" t="n">
        <x:v>110</x:v>
      </x:c>
      <x:c r="N1631" s="20" t="n">
        <x:f>IF(J1631=1,0,K1631-L1631)</x:f>
        <x:v>170</x:v>
      </x:c>
      <x:c r="O1631" s="20" t="n">
        <x:f>N1631-M1631</x:f>
        <x:v>60</x:v>
      </x:c>
    </x:row>
    <x:row r="1632" ht="22" customHeight="1">
      <x:c r="A1632" s="11" t="n">
        <x:v>1628</x:v>
      </x:c>
      <x:c r="B1632" s="11" t="n">
        <x:v>825</x:v>
      </x:c>
      <x:c r="C1632" s="18" t="n">
        <x:v>45401</x:v>
      </x:c>
      <x:c r="D1632" s="11" t="str">
        <x:v>2024-04</x:v>
      </x:c>
      <x:c r="E1632" s="11" t="str">
        <x:v>Central</x:v>
      </x:c>
      <x:c r="F1632" s="11" t="str">
        <x:v>Technology</x:v>
      </x:c>
      <x:c r="G1632" s="11" t="str">
        <x:v>Keyboard</x:v>
      </x:c>
      <x:c r="H1632" s="11" t="n">
        <x:v>2</x:v>
      </x:c>
      <x:c r="I1632" s="19" t="n">
        <x:v>0</x:v>
      </x:c>
      <x:c r="J1632" s="11" t="n">
        <x:v>0</x:v>
      </x:c>
      <x:c r="K1632" s="20" t="n">
        <x:v>130</x:v>
      </x:c>
      <x:c r="L1632" s="20" t="n">
        <x:v>0</x:v>
      </x:c>
      <x:c r="M1632" s="20" t="n">
        <x:v>64</x:v>
      </x:c>
      <x:c r="N1632" s="20" t="n">
        <x:f>IF(J1632=1,0,K1632-L1632)</x:f>
        <x:v>130</x:v>
      </x:c>
      <x:c r="O1632" s="20" t="n">
        <x:f>N1632-M1632</x:f>
        <x:v>66</x:v>
      </x:c>
    </x:row>
    <x:row r="1633" ht="22" customHeight="1">
      <x:c r="A1633" s="11" t="n">
        <x:v>1629</x:v>
      </x:c>
      <x:c r="B1633" s="11" t="n">
        <x:v>825</x:v>
      </x:c>
      <x:c r="C1633" s="18" t="n">
        <x:v>45401</x:v>
      </x:c>
      <x:c r="D1633" s="11" t="str">
        <x:v>2024-04</x:v>
      </x:c>
      <x:c r="E1633" s="11" t="str">
        <x:v>Central</x:v>
      </x:c>
      <x:c r="F1633" s="11" t="str">
        <x:v>Technology</x:v>
      </x:c>
      <x:c r="G1633" s="11" t="str">
        <x:v>Monitor</x:v>
      </x:c>
      <x:c r="H1633" s="11" t="n">
        <x:v>2</x:v>
      </x:c>
      <x:c r="I1633" s="19" t="n">
        <x:v>0.1</x:v>
      </x:c>
      <x:c r="J1633" s="11" t="n">
        <x:v>0</x:v>
      </x:c>
      <x:c r="K1633" s="20" t="n">
        <x:v>480</x:v>
      </x:c>
      <x:c r="L1633" s="20" t="n">
        <x:v>48</x:v>
      </x:c>
      <x:c r="M1633" s="20" t="n">
        <x:v>320</x:v>
      </x:c>
      <x:c r="N1633" s="20" t="n">
        <x:f>IF(J1633=1,0,K1633-L1633)</x:f>
        <x:v>432</x:v>
      </x:c>
      <x:c r="O1633" s="20" t="n">
        <x:f>N1633-M1633</x:f>
        <x:v>112</x:v>
      </x:c>
    </x:row>
    <x:row r="1634" ht="22" customHeight="1">
      <x:c r="A1634" s="11" t="n">
        <x:v>1630</x:v>
      </x:c>
      <x:c r="B1634" s="11" t="n">
        <x:v>826</x:v>
      </x:c>
      <x:c r="C1634" s="18" t="n">
        <x:v>45791</x:v>
      </x:c>
      <x:c r="D1634" s="11" t="str">
        <x:v>2025-05</x:v>
      </x:c>
      <x:c r="E1634" s="11" t="str">
        <x:v>Central</x:v>
      </x:c>
      <x:c r="F1634" s="11" t="str">
        <x:v>Technology</x:v>
      </x:c>
      <x:c r="G1634" s="11" t="str">
        <x:v>Monitor</x:v>
      </x:c>
      <x:c r="H1634" s="11" t="n">
        <x:v>4</x:v>
      </x:c>
      <x:c r="I1634" s="19" t="n">
        <x:v>0.05</x:v>
      </x:c>
      <x:c r="J1634" s="11" t="n">
        <x:v>0</x:v>
      </x:c>
      <x:c r="K1634" s="20" t="n">
        <x:v>960</x:v>
      </x:c>
      <x:c r="L1634" s="20" t="n">
        <x:v>48</x:v>
      </x:c>
      <x:c r="M1634" s="20" t="n">
        <x:v>640</x:v>
      </x:c>
      <x:c r="N1634" s="20" t="n">
        <x:f>IF(J1634=1,0,K1634-L1634)</x:f>
        <x:v>912</x:v>
      </x:c>
      <x:c r="O1634" s="20" t="n">
        <x:f>N1634-M1634</x:f>
        <x:v>272</x:v>
      </x:c>
    </x:row>
    <x:row r="1635" ht="22" customHeight="1">
      <x:c r="A1635" s="11" t="n">
        <x:v>1631</x:v>
      </x:c>
      <x:c r="B1635" s="11" t="n">
        <x:v>826</x:v>
      </x:c>
      <x:c r="C1635" s="18" t="n">
        <x:v>45791</x:v>
      </x:c>
      <x:c r="D1635" s="11" t="str">
        <x:v>2025-05</x:v>
      </x:c>
      <x:c r="E1635" s="11" t="str">
        <x:v>Central</x:v>
      </x:c>
      <x:c r="F1635" s="11" t="str">
        <x:v>Furniture</x:v>
      </x:c>
      <x:c r="G1635" s="11" t="str">
        <x:v>Chair</x:v>
      </x:c>
      <x:c r="H1635" s="11" t="n">
        <x:v>4</x:v>
      </x:c>
      <x:c r="I1635" s="19" t="n">
        <x:v>0</x:v>
      </x:c>
      <x:c r="J1635" s="11" t="n">
        <x:v>0</x:v>
      </x:c>
      <x:c r="K1635" s="20" t="n">
        <x:v>680</x:v>
      </x:c>
      <x:c r="L1635" s="20" t="n">
        <x:v>0</x:v>
      </x:c>
      <x:c r="M1635" s="20" t="n">
        <x:v>440</x:v>
      </x:c>
      <x:c r="N1635" s="20" t="n">
        <x:f>IF(J1635=1,0,K1635-L1635)</x:f>
        <x:v>680</x:v>
      </x:c>
      <x:c r="O1635" s="20" t="n">
        <x:f>N1635-M1635</x:f>
        <x:v>240</x:v>
      </x:c>
    </x:row>
    <x:row r="1636" ht="22" customHeight="1">
      <x:c r="A1636" s="11" t="n">
        <x:v>1632</x:v>
      </x:c>
      <x:c r="B1636" s="11" t="n">
        <x:v>826</x:v>
      </x:c>
      <x:c r="C1636" s="18" t="n">
        <x:v>45791</x:v>
      </x:c>
      <x:c r="D1636" s="11" t="str">
        <x:v>2025-05</x:v>
      </x:c>
      <x:c r="E1636" s="11" t="str">
        <x:v>Central</x:v>
      </x:c>
      <x:c r="F1636" s="11" t="str">
        <x:v>Technology</x:v>
      </x:c>
      <x:c r="G1636" s="11" t="str">
        <x:v>Keyboard</x:v>
      </x:c>
      <x:c r="H1636" s="11" t="n">
        <x:v>3</x:v>
      </x:c>
      <x:c r="I1636" s="19" t="n">
        <x:v>0</x:v>
      </x:c>
      <x:c r="J1636" s="11" t="n">
        <x:v>0</x:v>
      </x:c>
      <x:c r="K1636" s="20" t="n">
        <x:v>195</x:v>
      </x:c>
      <x:c r="L1636" s="20" t="n">
        <x:v>0</x:v>
      </x:c>
      <x:c r="M1636" s="20" t="n">
        <x:v>96</x:v>
      </x:c>
      <x:c r="N1636" s="20" t="n">
        <x:f>IF(J1636=1,0,K1636-L1636)</x:f>
        <x:v>195</x:v>
      </x:c>
      <x:c r="O1636" s="20" t="n">
        <x:f>N1636-M1636</x:f>
        <x:v>99</x:v>
      </x:c>
    </x:row>
    <x:row r="1637" ht="22" customHeight="1">
      <x:c r="A1637" s="11" t="n">
        <x:v>1633</x:v>
      </x:c>
      <x:c r="B1637" s="11" t="n">
        <x:v>827</x:v>
      </x:c>
      <x:c r="C1637" s="18" t="n">
        <x:v>45964</x:v>
      </x:c>
      <x:c r="D1637" s="11" t="str">
        <x:v>2025-11</x:v>
      </x:c>
      <x:c r="E1637" s="11" t="str">
        <x:v>East</x:v>
      </x:c>
      <x:c r="F1637" s="11" t="str">
        <x:v>Technology</x:v>
      </x:c>
      <x:c r="G1637" s="11" t="str">
        <x:v>Monitor</x:v>
      </x:c>
      <x:c r="H1637" s="11" t="n">
        <x:v>4</x:v>
      </x:c>
      <x:c r="I1637" s="19" t="n">
        <x:v>0</x:v>
      </x:c>
      <x:c r="J1637" s="11" t="n">
        <x:v>0</x:v>
      </x:c>
      <x:c r="K1637" s="20" t="n">
        <x:v>960</x:v>
      </x:c>
      <x:c r="L1637" s="20" t="n">
        <x:v>0</x:v>
      </x:c>
      <x:c r="M1637" s="20" t="n">
        <x:v>640</x:v>
      </x:c>
      <x:c r="N1637" s="20" t="n">
        <x:f>IF(J1637=1,0,K1637-L1637)</x:f>
        <x:v>960</x:v>
      </x:c>
      <x:c r="O1637" s="20" t="n">
        <x:f>N1637-M1637</x:f>
        <x:v>320</x:v>
      </x:c>
    </x:row>
    <x:row r="1638" ht="22" customHeight="1">
      <x:c r="A1638" s="11" t="n">
        <x:v>1634</x:v>
      </x:c>
      <x:c r="B1638" s="11" t="n">
        <x:v>828</x:v>
      </x:c>
      <x:c r="C1638" s="18" t="n">
        <x:v>46018</x:v>
      </x:c>
      <x:c r="D1638" s="11" t="str">
        <x:v>2025-12</x:v>
      </x:c>
      <x:c r="E1638" s="11" t="str">
        <x:v>South</x:v>
      </x:c>
      <x:c r="F1638" s="11" t="str">
        <x:v>Technology</x:v>
      </x:c>
      <x:c r="G1638" s="11" t="str">
        <x:v>Monitor</x:v>
      </x:c>
      <x:c r="H1638" s="11" t="n">
        <x:v>1</x:v>
      </x:c>
      <x:c r="I1638" s="19" t="n">
        <x:v>0</x:v>
      </x:c>
      <x:c r="J1638" s="11" t="n">
        <x:v>0</x:v>
      </x:c>
      <x:c r="K1638" s="20" t="n">
        <x:v>240</x:v>
      </x:c>
      <x:c r="L1638" s="20" t="n">
        <x:v>0</x:v>
      </x:c>
      <x:c r="M1638" s="20" t="n">
        <x:v>160</x:v>
      </x:c>
      <x:c r="N1638" s="20" t="n">
        <x:f>IF(J1638=1,0,K1638-L1638)</x:f>
        <x:v>240</x:v>
      </x:c>
      <x:c r="O1638" s="20" t="n">
        <x:f>N1638-M1638</x:f>
        <x:v>80</x:v>
      </x:c>
    </x:row>
    <x:row r="1639" ht="22" customHeight="1">
      <x:c r="A1639" s="11" t="n">
        <x:v>1635</x:v>
      </x:c>
      <x:c r="B1639" s="11" t="n">
        <x:v>829</x:v>
      </x:c>
      <x:c r="C1639" s="18" t="n">
        <x:v>45631</x:v>
      </x:c>
      <x:c r="D1639" s="11" t="str">
        <x:v>2024-12</x:v>
      </x:c>
      <x:c r="E1639" s="11" t="str">
        <x:v>South</x:v>
      </x:c>
      <x:c r="F1639" s="11" t="str">
        <x:v>Furniture</x:v>
      </x:c>
      <x:c r="G1639" s="11" t="str">
        <x:v>Chair</x:v>
      </x:c>
      <x:c r="H1639" s="11" t="n">
        <x:v>1</x:v>
      </x:c>
      <x:c r="I1639" s="19" t="n">
        <x:v>0.25</x:v>
      </x:c>
      <x:c r="J1639" s="11" t="n">
        <x:v>0</x:v>
      </x:c>
      <x:c r="K1639" s="20" t="n">
        <x:v>170</x:v>
      </x:c>
      <x:c r="L1639" s="20" t="n">
        <x:v>42.5</x:v>
      </x:c>
      <x:c r="M1639" s="20" t="n">
        <x:v>110</x:v>
      </x:c>
      <x:c r="N1639" s="20" t="n">
        <x:f>IF(J1639=1,0,K1639-L1639)</x:f>
        <x:v>127.5</x:v>
      </x:c>
      <x:c r="O1639" s="20" t="n">
        <x:f>N1639-M1639</x:f>
        <x:v>17.5</x:v>
      </x:c>
    </x:row>
    <x:row r="1640" ht="22" customHeight="1">
      <x:c r="A1640" s="11" t="n">
        <x:v>1636</x:v>
      </x:c>
      <x:c r="B1640" s="11" t="n">
        <x:v>829</x:v>
      </x:c>
      <x:c r="C1640" s="18" t="n">
        <x:v>45631</x:v>
      </x:c>
      <x:c r="D1640" s="11" t="str">
        <x:v>2024-12</x:v>
      </x:c>
      <x:c r="E1640" s="11" t="str">
        <x:v>South</x:v>
      </x:c>
      <x:c r="F1640" s="11" t="str">
        <x:v>Technology</x:v>
      </x:c>
      <x:c r="G1640" s="11" t="str">
        <x:v>Keyboard</x:v>
      </x:c>
      <x:c r="H1640" s="11" t="n">
        <x:v>4</x:v>
      </x:c>
      <x:c r="I1640" s="19" t="n">
        <x:v>0</x:v>
      </x:c>
      <x:c r="J1640" s="11" t="n">
        <x:v>0</x:v>
      </x:c>
      <x:c r="K1640" s="20" t="n">
        <x:v>260</x:v>
      </x:c>
      <x:c r="L1640" s="20" t="n">
        <x:v>0</x:v>
      </x:c>
      <x:c r="M1640" s="20" t="n">
        <x:v>128</x:v>
      </x:c>
      <x:c r="N1640" s="20" t="n">
        <x:f>IF(J1640=1,0,K1640-L1640)</x:f>
        <x:v>260</x:v>
      </x:c>
      <x:c r="O1640" s="20" t="n">
        <x:f>N1640-M1640</x:f>
        <x:v>132</x:v>
      </x:c>
    </x:row>
    <x:row r="1641" ht="22" customHeight="1">
      <x:c r="A1641" s="11" t="n">
        <x:v>1637</x:v>
      </x:c>
      <x:c r="B1641" s="11" t="n">
        <x:v>829</x:v>
      </x:c>
      <x:c r="C1641" s="18" t="n">
        <x:v>45631</x:v>
      </x:c>
      <x:c r="D1641" s="11" t="str">
        <x:v>2024-12</x:v>
      </x:c>
      <x:c r="E1641" s="11" t="str">
        <x:v>South</x:v>
      </x:c>
      <x:c r="F1641" s="11" t="str">
        <x:v>Technology</x:v>
      </x:c>
      <x:c r="G1641" s="11" t="str">
        <x:v>Monitor</x:v>
      </x:c>
      <x:c r="H1641" s="11" t="n">
        <x:v>4</x:v>
      </x:c>
      <x:c r="I1641" s="19" t="n">
        <x:v>0.15</x:v>
      </x:c>
      <x:c r="J1641" s="11" t="n">
        <x:v>0</x:v>
      </x:c>
      <x:c r="K1641" s="20" t="n">
        <x:v>960</x:v>
      </x:c>
      <x:c r="L1641" s="20" t="n">
        <x:v>144</x:v>
      </x:c>
      <x:c r="M1641" s="20" t="n">
        <x:v>640</x:v>
      </x:c>
      <x:c r="N1641" s="20" t="n">
        <x:f>IF(J1641=1,0,K1641-L1641)</x:f>
        <x:v>816</x:v>
      </x:c>
      <x:c r="O1641" s="20" t="n">
        <x:f>N1641-M1641</x:f>
        <x:v>176</x:v>
      </x:c>
    </x:row>
    <x:row r="1642" ht="22" customHeight="1">
      <x:c r="A1642" s="11" t="n">
        <x:v>1638</x:v>
      </x:c>
      <x:c r="B1642" s="11" t="n">
        <x:v>830</x:v>
      </x:c>
      <x:c r="C1642" s="18" t="n">
        <x:v>45690</x:v>
      </x:c>
      <x:c r="D1642" s="11" t="str">
        <x:v>2025-02</x:v>
      </x:c>
      <x:c r="E1642" s="11" t="str">
        <x:v>West</x:v>
      </x:c>
      <x:c r="F1642" s="11" t="str">
        <x:v>Furniture</x:v>
      </x:c>
      <x:c r="G1642" s="11" t="str">
        <x:v>Desk</x:v>
      </x:c>
      <x:c r="H1642" s="11" t="n">
        <x:v>2</x:v>
      </x:c>
      <x:c r="I1642" s="19" t="n">
        <x:v>0</x:v>
      </x:c>
      <x:c r="J1642" s="11" t="n">
        <x:v>0</x:v>
      </x:c>
      <x:c r="K1642" s="20" t="n">
        <x:v>560</x:v>
      </x:c>
      <x:c r="L1642" s="20" t="n">
        <x:v>0</x:v>
      </x:c>
      <x:c r="M1642" s="20" t="n">
        <x:v>380</x:v>
      </x:c>
      <x:c r="N1642" s="20" t="n">
        <x:f>IF(J1642=1,0,K1642-L1642)</x:f>
        <x:v>560</x:v>
      </x:c>
      <x:c r="O1642" s="20" t="n">
        <x:f>N1642-M1642</x:f>
        <x:v>180</x:v>
      </x:c>
    </x:row>
    <x:row r="1643" ht="22" customHeight="1">
      <x:c r="A1643" s="11" t="n">
        <x:v>1639</x:v>
      </x:c>
      <x:c r="B1643" s="11" t="n">
        <x:v>831</x:v>
      </x:c>
      <x:c r="C1643" s="18" t="n">
        <x:v>45305</x:v>
      </x:c>
      <x:c r="D1643" s="11" t="str">
        <x:v>2024-01</x:v>
      </x:c>
      <x:c r="E1643" s="11" t="str">
        <x:v>South</x:v>
      </x:c>
      <x:c r="F1643" s="11" t="str">
        <x:v>Office Supplies</x:v>
      </x:c>
      <x:c r="G1643" s="11" t="str">
        <x:v>Storage box</x:v>
      </x:c>
      <x:c r="H1643" s="11" t="n">
        <x:v>3</x:v>
      </x:c>
      <x:c r="I1643" s="19" t="n">
        <x:v>0.1</x:v>
      </x:c>
      <x:c r="J1643" s="11" t="n">
        <x:v>0</x:v>
      </x:c>
      <x:c r="K1643" s="20" t="n">
        <x:v>78</x:v>
      </x:c>
      <x:c r="L1643" s="20" t="n">
        <x:v>7.8</x:v>
      </x:c>
      <x:c r="M1643" s="20" t="n">
        <x:v>36</x:v>
      </x:c>
      <x:c r="N1643" s="20" t="n">
        <x:f>IF(J1643=1,0,K1643-L1643)</x:f>
        <x:v>70.2</x:v>
      </x:c>
      <x:c r="O1643" s="20" t="n">
        <x:f>N1643-M1643</x:f>
        <x:v>34.2</x:v>
      </x:c>
    </x:row>
    <x:row r="1644" ht="22" customHeight="1">
      <x:c r="A1644" s="11" t="n">
        <x:v>1640</x:v>
      </x:c>
      <x:c r="B1644" s="11" t="n">
        <x:v>832</x:v>
      </x:c>
      <x:c r="C1644" s="18" t="n">
        <x:v>45300</x:v>
      </x:c>
      <x:c r="D1644" s="11" t="str">
        <x:v>2024-01</x:v>
      </x:c>
      <x:c r="E1644" s="11" t="str">
        <x:v>Central</x:v>
      </x:c>
      <x:c r="F1644" s="11" t="str">
        <x:v>Technology</x:v>
      </x:c>
      <x:c r="G1644" s="11" t="str">
        <x:v>Monitor</x:v>
      </x:c>
      <x:c r="H1644" s="11" t="n">
        <x:v>1</x:v>
      </x:c>
      <x:c r="I1644" s="19" t="n">
        <x:v>0.1</x:v>
      </x:c>
      <x:c r="J1644" s="11" t="n">
        <x:v>0</x:v>
      </x:c>
      <x:c r="K1644" s="20" t="n">
        <x:v>240</x:v>
      </x:c>
      <x:c r="L1644" s="20" t="n">
        <x:v>24</x:v>
      </x:c>
      <x:c r="M1644" s="20" t="n">
        <x:v>160</x:v>
      </x:c>
      <x:c r="N1644" s="20" t="n">
        <x:f>IF(J1644=1,0,K1644-L1644)</x:f>
        <x:v>216</x:v>
      </x:c>
      <x:c r="O1644" s="20" t="n">
        <x:f>N1644-M1644</x:f>
        <x:v>56</x:v>
      </x:c>
    </x:row>
    <x:row r="1645" ht="22" customHeight="1">
      <x:c r="A1645" s="11" t="n">
        <x:v>1641</x:v>
      </x:c>
      <x:c r="B1645" s="11" t="n">
        <x:v>832</x:v>
      </x:c>
      <x:c r="C1645" s="18" t="n">
        <x:v>45300</x:v>
      </x:c>
      <x:c r="D1645" s="11" t="str">
        <x:v>2024-01</x:v>
      </x:c>
      <x:c r="E1645" s="11" t="str">
        <x:v>Central</x:v>
      </x:c>
      <x:c r="F1645" s="11" t="str">
        <x:v>Technology</x:v>
      </x:c>
      <x:c r="G1645" s="11" t="str">
        <x:v>Keyboard</x:v>
      </x:c>
      <x:c r="H1645" s="11" t="n">
        <x:v>2</x:v>
      </x:c>
      <x:c r="I1645" s="19" t="n">
        <x:v>0.15</x:v>
      </x:c>
      <x:c r="J1645" s="11" t="n">
        <x:v>0</x:v>
      </x:c>
      <x:c r="K1645" s="20" t="n">
        <x:v>130</x:v>
      </x:c>
      <x:c r="L1645" s="20" t="n">
        <x:v>19.5</x:v>
      </x:c>
      <x:c r="M1645" s="20" t="n">
        <x:v>64</x:v>
      </x:c>
      <x:c r="N1645" s="20" t="n">
        <x:f>IF(J1645=1,0,K1645-L1645)</x:f>
        <x:v>110.5</x:v>
      </x:c>
      <x:c r="O1645" s="20" t="n">
        <x:f>N1645-M1645</x:f>
        <x:v>46.5</x:v>
      </x:c>
    </x:row>
    <x:row r="1646" ht="22" customHeight="1">
      <x:c r="A1646" s="11" t="n">
        <x:v>1642</x:v>
      </x:c>
      <x:c r="B1646" s="11" t="n">
        <x:v>833</x:v>
      </x:c>
      <x:c r="C1646" s="18" t="n">
        <x:v>45579</x:v>
      </x:c>
      <x:c r="D1646" s="11" t="str">
        <x:v>2024-10</x:v>
      </x:c>
      <x:c r="E1646" s="11" t="str">
        <x:v>South</x:v>
      </x:c>
      <x:c r="F1646" s="11" t="str">
        <x:v>Office Supplies</x:v>
      </x:c>
      <x:c r="G1646" s="11" t="str">
        <x:v>Storage box</x:v>
      </x:c>
      <x:c r="H1646" s="11" t="n">
        <x:v>4</x:v>
      </x:c>
      <x:c r="I1646" s="19" t="n">
        <x:v>0</x:v>
      </x:c>
      <x:c r="J1646" s="11" t="n">
        <x:v>0</x:v>
      </x:c>
      <x:c r="K1646" s="20" t="n">
        <x:v>104</x:v>
      </x:c>
      <x:c r="L1646" s="20" t="n">
        <x:v>0</x:v>
      </x:c>
      <x:c r="M1646" s="20" t="n">
        <x:v>48</x:v>
      </x:c>
      <x:c r="N1646" s="20" t="n">
        <x:f>IF(J1646=1,0,K1646-L1646)</x:f>
        <x:v>104</x:v>
      </x:c>
      <x:c r="O1646" s="20" t="n">
        <x:f>N1646-M1646</x:f>
        <x:v>56</x:v>
      </x:c>
    </x:row>
    <x:row r="1647" ht="22" customHeight="1">
      <x:c r="A1647" s="11" t="n">
        <x:v>1643</x:v>
      </x:c>
      <x:c r="B1647" s="11" t="n">
        <x:v>833</x:v>
      </x:c>
      <x:c r="C1647" s="18" t="n">
        <x:v>45579</x:v>
      </x:c>
      <x:c r="D1647" s="11" t="str">
        <x:v>2024-10</x:v>
      </x:c>
      <x:c r="E1647" s="11" t="str">
        <x:v>South</x:v>
      </x:c>
      <x:c r="F1647" s="11" t="str">
        <x:v>Furniture</x:v>
      </x:c>
      <x:c r="G1647" s="11" t="str">
        <x:v>Chair</x:v>
      </x:c>
      <x:c r="H1647" s="11" t="n">
        <x:v>1</x:v>
      </x:c>
      <x:c r="I1647" s="19" t="n">
        <x:v>0</x:v>
      </x:c>
      <x:c r="J1647" s="11" t="n">
        <x:v>0</x:v>
      </x:c>
      <x:c r="K1647" s="20" t="n">
        <x:v>170</x:v>
      </x:c>
      <x:c r="L1647" s="20" t="n">
        <x:v>0</x:v>
      </x:c>
      <x:c r="M1647" s="20" t="n">
        <x:v>110</x:v>
      </x:c>
      <x:c r="N1647" s="20" t="n">
        <x:f>IF(J1647=1,0,K1647-L1647)</x:f>
        <x:v>170</x:v>
      </x:c>
      <x:c r="O1647" s="20" t="n">
        <x:f>N1647-M1647</x:f>
        <x:v>60</x:v>
      </x:c>
    </x:row>
    <x:row r="1648" ht="22" customHeight="1">
      <x:c r="A1648" s="11" t="n">
        <x:v>1644</x:v>
      </x:c>
      <x:c r="B1648" s="11" t="n">
        <x:v>834</x:v>
      </x:c>
      <x:c r="C1648" s="18" t="n">
        <x:v>45897</x:v>
      </x:c>
      <x:c r="D1648" s="11" t="str">
        <x:v>2025-08</x:v>
      </x:c>
      <x:c r="E1648" s="11" t="str">
        <x:v>East</x:v>
      </x:c>
      <x:c r="F1648" s="11" t="str">
        <x:v>Furniture</x:v>
      </x:c>
      <x:c r="G1648" s="11" t="str">
        <x:v>Desk</x:v>
      </x:c>
      <x:c r="H1648" s="11" t="n">
        <x:v>2</x:v>
      </x:c>
      <x:c r="I1648" s="19" t="n">
        <x:v>0.25</x:v>
      </x:c>
      <x:c r="J1648" s="11" t="n">
        <x:v>1</x:v>
      </x:c>
      <x:c r="K1648" s="20" t="n">
        <x:v>560</x:v>
      </x:c>
      <x:c r="L1648" s="20" t="n">
        <x:v>140</x:v>
      </x:c>
      <x:c r="M1648" s="20" t="n">
        <x:v>0</x:v>
      </x:c>
      <x:c r="N1648" s="20" t="n">
        <x:f>IF(J1648=1,0,K1648-L1648)</x:f>
        <x:v>0</x:v>
      </x:c>
      <x:c r="O1648" s="20" t="n">
        <x:f>N1648-M1648</x:f>
        <x:v>0</x:v>
      </x:c>
    </x:row>
    <x:row r="1649" ht="22" customHeight="1">
      <x:c r="A1649" s="11" t="n">
        <x:v>1645</x:v>
      </x:c>
      <x:c r="B1649" s="11" t="n">
        <x:v>835</x:v>
      </x:c>
      <x:c r="C1649" s="18" t="n">
        <x:v>45488</x:v>
      </x:c>
      <x:c r="D1649" s="11" t="str">
        <x:v>2024-07</x:v>
      </x:c>
      <x:c r="E1649" s="11" t="str">
        <x:v>East</x:v>
      </x:c>
      <x:c r="F1649" s="11" t="str">
        <x:v>Office Supplies</x:v>
      </x:c>
      <x:c r="G1649" s="11" t="str">
        <x:v>Notebook pack</x:v>
      </x:c>
      <x:c r="H1649" s="11" t="n">
        <x:v>2</x:v>
      </x:c>
      <x:c r="I1649" s="19" t="n">
        <x:v>0</x:v>
      </x:c>
      <x:c r="J1649" s="11" t="n">
        <x:v>0</x:v>
      </x:c>
      <x:c r="K1649" s="20" t="n">
        <x:v>36</x:v>
      </x:c>
      <x:c r="L1649" s="20" t="n">
        <x:v>0</x:v>
      </x:c>
      <x:c r="M1649" s="20" t="n">
        <x:v>14</x:v>
      </x:c>
      <x:c r="N1649" s="20" t="n">
        <x:f>IF(J1649=1,0,K1649-L1649)</x:f>
        <x:v>36</x:v>
      </x:c>
      <x:c r="O1649" s="20" t="n">
        <x:f>N1649-M1649</x:f>
        <x:v>22</x:v>
      </x:c>
    </x:row>
    <x:row r="1650" ht="22" customHeight="1">
      <x:c r="A1650" s="11" t="n">
        <x:v>1646</x:v>
      </x:c>
      <x:c r="B1650" s="11" t="n">
        <x:v>836</x:v>
      </x:c>
      <x:c r="C1650" s="18" t="n">
        <x:v>45681</x:v>
      </x:c>
      <x:c r="D1650" s="11" t="str">
        <x:v>2025-01</x:v>
      </x:c>
      <x:c r="E1650" s="11" t="str">
        <x:v>West</x:v>
      </x:c>
      <x:c r="F1650" s="11" t="str">
        <x:v>Office Supplies</x:v>
      </x:c>
      <x:c r="G1650" s="11" t="str">
        <x:v>Storage box</x:v>
      </x:c>
      <x:c r="H1650" s="11" t="n">
        <x:v>3</x:v>
      </x:c>
      <x:c r="I1650" s="19" t="n">
        <x:v>0.1</x:v>
      </x:c>
      <x:c r="J1650" s="11" t="n">
        <x:v>0</x:v>
      </x:c>
      <x:c r="K1650" s="20" t="n">
        <x:v>78</x:v>
      </x:c>
      <x:c r="L1650" s="20" t="n">
        <x:v>7.8</x:v>
      </x:c>
      <x:c r="M1650" s="20" t="n">
        <x:v>36</x:v>
      </x:c>
      <x:c r="N1650" s="20" t="n">
        <x:f>IF(J1650=1,0,K1650-L1650)</x:f>
        <x:v>70.2</x:v>
      </x:c>
      <x:c r="O1650" s="20" t="n">
        <x:f>N1650-M1650</x:f>
        <x:v>34.2</x:v>
      </x:c>
    </x:row>
    <x:row r="1651" ht="22" customHeight="1">
      <x:c r="A1651" s="11" t="n">
        <x:v>1647</x:v>
      </x:c>
      <x:c r="B1651" s="11" t="n">
        <x:v>836</x:v>
      </x:c>
      <x:c r="C1651" s="18" t="n">
        <x:v>45681</x:v>
      </x:c>
      <x:c r="D1651" s="11" t="str">
        <x:v>2025-01</x:v>
      </x:c>
      <x:c r="E1651" s="11" t="str">
        <x:v>West</x:v>
      </x:c>
      <x:c r="F1651" s="11" t="str">
        <x:v>Furniture</x:v>
      </x:c>
      <x:c r="G1651" s="11" t="str">
        <x:v>Chair</x:v>
      </x:c>
      <x:c r="H1651" s="11" t="n">
        <x:v>5</x:v>
      </x:c>
      <x:c r="I1651" s="19" t="n">
        <x:v>0.25</x:v>
      </x:c>
      <x:c r="J1651" s="11" t="n">
        <x:v>0</x:v>
      </x:c>
      <x:c r="K1651" s="20" t="n">
        <x:v>850</x:v>
      </x:c>
      <x:c r="L1651" s="20" t="n">
        <x:v>212.5</x:v>
      </x:c>
      <x:c r="M1651" s="20" t="n">
        <x:v>550</x:v>
      </x:c>
      <x:c r="N1651" s="20" t="n">
        <x:f>IF(J1651=1,0,K1651-L1651)</x:f>
        <x:v>637.5</x:v>
      </x:c>
      <x:c r="O1651" s="20" t="n">
        <x:f>N1651-M1651</x:f>
        <x:v>87.5</x:v>
      </x:c>
    </x:row>
    <x:row r="1652" ht="22" customHeight="1">
      <x:c r="A1652" s="11" t="n">
        <x:v>1648</x:v>
      </x:c>
      <x:c r="B1652" s="11" t="n">
        <x:v>836</x:v>
      </x:c>
      <x:c r="C1652" s="18" t="n">
        <x:v>45681</x:v>
      </x:c>
      <x:c r="D1652" s="11" t="str">
        <x:v>2025-01</x:v>
      </x:c>
      <x:c r="E1652" s="11" t="str">
        <x:v>West</x:v>
      </x:c>
      <x:c r="F1652" s="11" t="str">
        <x:v>Office Supplies</x:v>
      </x:c>
      <x:c r="G1652" s="11" t="str">
        <x:v>Notebook pack</x:v>
      </x:c>
      <x:c r="H1652" s="11" t="n">
        <x:v>3</x:v>
      </x:c>
      <x:c r="I1652" s="19" t="n">
        <x:v>0</x:v>
      </x:c>
      <x:c r="J1652" s="11" t="n">
        <x:v>0</x:v>
      </x:c>
      <x:c r="K1652" s="20" t="n">
        <x:v>54</x:v>
      </x:c>
      <x:c r="L1652" s="20" t="n">
        <x:v>0</x:v>
      </x:c>
      <x:c r="M1652" s="20" t="n">
        <x:v>21</x:v>
      </x:c>
      <x:c r="N1652" s="20" t="n">
        <x:f>IF(J1652=1,0,K1652-L1652)</x:f>
        <x:v>54</x:v>
      </x:c>
      <x:c r="O1652" s="20" t="n">
        <x:f>N1652-M1652</x:f>
        <x:v>33</x:v>
      </x:c>
    </x:row>
    <x:row r="1653" ht="22" customHeight="1">
      <x:c r="A1653" s="11" t="n">
        <x:v>1649</x:v>
      </x:c>
      <x:c r="B1653" s="11" t="n">
        <x:v>837</x:v>
      </x:c>
      <x:c r="C1653" s="18" t="n">
        <x:v>45579</x:v>
      </x:c>
      <x:c r="D1653" s="11" t="str">
        <x:v>2024-10</x:v>
      </x:c>
      <x:c r="E1653" s="11" t="str">
        <x:v>South</x:v>
      </x:c>
      <x:c r="F1653" s="11" t="str">
        <x:v>Technology</x:v>
      </x:c>
      <x:c r="G1653" s="11" t="str">
        <x:v>Monitor</x:v>
      </x:c>
      <x:c r="H1653" s="11" t="n">
        <x:v>1</x:v>
      </x:c>
      <x:c r="I1653" s="19" t="n">
        <x:v>0</x:v>
      </x:c>
      <x:c r="J1653" s="11" t="n">
        <x:v>1</x:v>
      </x:c>
      <x:c r="K1653" s="20" t="n">
        <x:v>240</x:v>
      </x:c>
      <x:c r="L1653" s="20" t="n">
        <x:v>0</x:v>
      </x:c>
      <x:c r="M1653" s="20" t="n">
        <x:v>0</x:v>
      </x:c>
      <x:c r="N1653" s="20" t="n">
        <x:f>IF(J1653=1,0,K1653-L1653)</x:f>
        <x:v>0</x:v>
      </x:c>
      <x:c r="O1653" s="20" t="n">
        <x:f>N1653-M1653</x:f>
        <x:v>0</x:v>
      </x:c>
    </x:row>
    <x:row r="1654" ht="22" customHeight="1">
      <x:c r="A1654" s="11" t="n">
        <x:v>1650</x:v>
      </x:c>
      <x:c r="B1654" s="11" t="n">
        <x:v>838</x:v>
      </x:c>
      <x:c r="C1654" s="18" t="n">
        <x:v>45345</x:v>
      </x:c>
      <x:c r="D1654" s="11" t="str">
        <x:v>2024-02</x:v>
      </x:c>
      <x:c r="E1654" s="11" t="str">
        <x:v>West</x:v>
      </x:c>
      <x:c r="F1654" s="11" t="str">
        <x:v>Technology</x:v>
      </x:c>
      <x:c r="G1654" s="11" t="str">
        <x:v>Monitor</x:v>
      </x:c>
      <x:c r="H1654" s="11" t="n">
        <x:v>4</x:v>
      </x:c>
      <x:c r="I1654" s="19" t="n">
        <x:v>0.05</x:v>
      </x:c>
      <x:c r="J1654" s="11" t="n">
        <x:v>0</x:v>
      </x:c>
      <x:c r="K1654" s="20" t="n">
        <x:v>960</x:v>
      </x:c>
      <x:c r="L1654" s="20" t="n">
        <x:v>48</x:v>
      </x:c>
      <x:c r="M1654" s="20" t="n">
        <x:v>640</x:v>
      </x:c>
      <x:c r="N1654" s="20" t="n">
        <x:f>IF(J1654=1,0,K1654-L1654)</x:f>
        <x:v>912</x:v>
      </x:c>
      <x:c r="O1654" s="20" t="n">
        <x:f>N1654-M1654</x:f>
        <x:v>272</x:v>
      </x:c>
    </x:row>
    <x:row r="1655" ht="22" customHeight="1">
      <x:c r="A1655" s="11" t="n">
        <x:v>1651</x:v>
      </x:c>
      <x:c r="B1655" s="11" t="n">
        <x:v>839</x:v>
      </x:c>
      <x:c r="C1655" s="18" t="n">
        <x:v>45395</x:v>
      </x:c>
      <x:c r="D1655" s="11" t="str">
        <x:v>2024-04</x:v>
      </x:c>
      <x:c r="E1655" s="11" t="str">
        <x:v>West</x:v>
      </x:c>
      <x:c r="F1655" s="11" t="str">
        <x:v>Technology</x:v>
      </x:c>
      <x:c r="G1655" s="11" t="str">
        <x:v>Keyboard</x:v>
      </x:c>
      <x:c r="H1655" s="11" t="n">
        <x:v>3</x:v>
      </x:c>
      <x:c r="I1655" s="19" t="n">
        <x:v>0.05</x:v>
      </x:c>
      <x:c r="J1655" s="11" t="n">
        <x:v>0</x:v>
      </x:c>
      <x:c r="K1655" s="20" t="n">
        <x:v>195</x:v>
      </x:c>
      <x:c r="L1655" s="20" t="n">
        <x:v>9.75</x:v>
      </x:c>
      <x:c r="M1655" s="20" t="n">
        <x:v>96</x:v>
      </x:c>
      <x:c r="N1655" s="20" t="n">
        <x:f>IF(J1655=1,0,K1655-L1655)</x:f>
        <x:v>185.25</x:v>
      </x:c>
      <x:c r="O1655" s="20" t="n">
        <x:f>N1655-M1655</x:f>
        <x:v>89.25</x:v>
      </x:c>
    </x:row>
    <x:row r="1656" ht="22" customHeight="1">
      <x:c r="A1656" s="11" t="n">
        <x:v>1652</x:v>
      </x:c>
      <x:c r="B1656" s="11" t="n">
        <x:v>839</x:v>
      </x:c>
      <x:c r="C1656" s="18" t="n">
        <x:v>45395</x:v>
      </x:c>
      <x:c r="D1656" s="11" t="str">
        <x:v>2024-04</x:v>
      </x:c>
      <x:c r="E1656" s="11" t="str">
        <x:v>West</x:v>
      </x:c>
      <x:c r="F1656" s="11" t="str">
        <x:v>Technology</x:v>
      </x:c>
      <x:c r="G1656" s="11" t="str">
        <x:v>Monitor</x:v>
      </x:c>
      <x:c r="H1656" s="11" t="n">
        <x:v>1</x:v>
      </x:c>
      <x:c r="I1656" s="19" t="n">
        <x:v>0.15</x:v>
      </x:c>
      <x:c r="J1656" s="11" t="n">
        <x:v>0</x:v>
      </x:c>
      <x:c r="K1656" s="20" t="n">
        <x:v>240</x:v>
      </x:c>
      <x:c r="L1656" s="20" t="n">
        <x:v>36</x:v>
      </x:c>
      <x:c r="M1656" s="20" t="n">
        <x:v>160</x:v>
      </x:c>
      <x:c r="N1656" s="20" t="n">
        <x:f>IF(J1656=1,0,K1656-L1656)</x:f>
        <x:v>204</x:v>
      </x:c>
      <x:c r="O1656" s="20" t="n">
        <x:f>N1656-M1656</x:f>
        <x:v>44</x:v>
      </x:c>
    </x:row>
    <x:row r="1657" ht="22" customHeight="1">
      <x:c r="A1657" s="11" t="n">
        <x:v>1653</x:v>
      </x:c>
      <x:c r="B1657" s="11" t="n">
        <x:v>840</x:v>
      </x:c>
      <x:c r="C1657" s="18" t="n">
        <x:v>45425</x:v>
      </x:c>
      <x:c r="D1657" s="11" t="str">
        <x:v>2024-05</x:v>
      </x:c>
      <x:c r="E1657" s="11" t="str">
        <x:v>West</x:v>
      </x:c>
      <x:c r="F1657" s="11" t="str">
        <x:v>Technology</x:v>
      </x:c>
      <x:c r="G1657" s="11" t="str">
        <x:v>Monitor</x:v>
      </x:c>
      <x:c r="H1657" s="11" t="n">
        <x:v>2</x:v>
      </x:c>
      <x:c r="I1657" s="19" t="n">
        <x:v>0.05</x:v>
      </x:c>
      <x:c r="J1657" s="11" t="n">
        <x:v>0</x:v>
      </x:c>
      <x:c r="K1657" s="20" t="n">
        <x:v>480</x:v>
      </x:c>
      <x:c r="L1657" s="20" t="n">
        <x:v>24</x:v>
      </x:c>
      <x:c r="M1657" s="20" t="n">
        <x:v>320</x:v>
      </x:c>
      <x:c r="N1657" s="20" t="n">
        <x:f>IF(J1657=1,0,K1657-L1657)</x:f>
        <x:v>456</x:v>
      </x:c>
      <x:c r="O1657" s="20" t="n">
        <x:f>N1657-M1657</x:f>
        <x:v>136</x:v>
      </x:c>
    </x:row>
    <x:row r="1658" ht="22" customHeight="1">
      <x:c r="A1658" s="11" t="n">
        <x:v>1654</x:v>
      </x:c>
      <x:c r="B1658" s="11" t="n">
        <x:v>840</x:v>
      </x:c>
      <x:c r="C1658" s="18" t="n">
        <x:v>45425</x:v>
      </x:c>
      <x:c r="D1658" s="11" t="str">
        <x:v>2024-05</x:v>
      </x:c>
      <x:c r="E1658" s="11" t="str">
        <x:v>West</x:v>
      </x:c>
      <x:c r="F1658" s="11" t="str">
        <x:v>Office Supplies</x:v>
      </x:c>
      <x:c r="G1658" s="11" t="str">
        <x:v>Notebook pack</x:v>
      </x:c>
      <x:c r="H1658" s="11" t="n">
        <x:v>4</x:v>
      </x:c>
      <x:c r="I1658" s="19" t="n">
        <x:v>0</x:v>
      </x:c>
      <x:c r="J1658" s="11" t="n">
        <x:v>0</x:v>
      </x:c>
      <x:c r="K1658" s="20" t="n">
        <x:v>72</x:v>
      </x:c>
      <x:c r="L1658" s="20" t="n">
        <x:v>0</x:v>
      </x:c>
      <x:c r="M1658" s="20" t="n">
        <x:v>28</x:v>
      </x:c>
      <x:c r="N1658" s="20" t="n">
        <x:f>IF(J1658=1,0,K1658-L1658)</x:f>
        <x:v>72</x:v>
      </x:c>
      <x:c r="O1658" s="20" t="n">
        <x:f>N1658-M1658</x:f>
        <x:v>44</x:v>
      </x:c>
    </x:row>
    <x:row r="1659" ht="22" customHeight="1">
      <x:c r="A1659" s="11" t="n">
        <x:v>1655</x:v>
      </x:c>
      <x:c r="B1659" s="11" t="n">
        <x:v>840</x:v>
      </x:c>
      <x:c r="C1659" s="18" t="n">
        <x:v>45425</x:v>
      </x:c>
      <x:c r="D1659" s="11" t="str">
        <x:v>2024-05</x:v>
      </x:c>
      <x:c r="E1659" s="11" t="str">
        <x:v>West</x:v>
      </x:c>
      <x:c r="F1659" s="11" t="str">
        <x:v>Office Supplies</x:v>
      </x:c>
      <x:c r="G1659" s="11" t="str">
        <x:v>Storage box</x:v>
      </x:c>
      <x:c r="H1659" s="11" t="n">
        <x:v>2</x:v>
      </x:c>
      <x:c r="I1659" s="19" t="n">
        <x:v>0.15</x:v>
      </x:c>
      <x:c r="J1659" s="11" t="n">
        <x:v>0</x:v>
      </x:c>
      <x:c r="K1659" s="20" t="n">
        <x:v>52</x:v>
      </x:c>
      <x:c r="L1659" s="20" t="n">
        <x:v>7.8</x:v>
      </x:c>
      <x:c r="M1659" s="20" t="n">
        <x:v>24</x:v>
      </x:c>
      <x:c r="N1659" s="20" t="n">
        <x:f>IF(J1659=1,0,K1659-L1659)</x:f>
        <x:v>44.2</x:v>
      </x:c>
      <x:c r="O1659" s="20" t="n">
        <x:f>N1659-M1659</x:f>
        <x:v>20.200000000000003</x:v>
      </x:c>
    </x:row>
    <x:row r="1660" ht="22" customHeight="1">
      <x:c r="A1660" s="11" t="n">
        <x:v>1656</x:v>
      </x:c>
      <x:c r="B1660" s="11" t="n">
        <x:v>841</x:v>
      </x:c>
      <x:c r="C1660" s="18" t="n">
        <x:v>45892</x:v>
      </x:c>
      <x:c r="D1660" s="11" t="str">
        <x:v>2025-08</x:v>
      </x:c>
      <x:c r="E1660" s="11" t="str">
        <x:v>West</x:v>
      </x:c>
      <x:c r="F1660" s="11" t="str">
        <x:v>Office Supplies</x:v>
      </x:c>
      <x:c r="G1660" s="11" t="str">
        <x:v>Storage box</x:v>
      </x:c>
      <x:c r="H1660" s="11" t="n">
        <x:v>4</x:v>
      </x:c>
      <x:c r="I1660" s="19" t="n">
        <x:v>0</x:v>
      </x:c>
      <x:c r="J1660" s="11" t="n">
        <x:v>0</x:v>
      </x:c>
      <x:c r="K1660" s="20" t="n">
        <x:v>104</x:v>
      </x:c>
      <x:c r="L1660" s="20" t="n">
        <x:v>0</x:v>
      </x:c>
      <x:c r="M1660" s="20" t="n">
        <x:v>48</x:v>
      </x:c>
      <x:c r="N1660" s="20" t="n">
        <x:f>IF(J1660=1,0,K1660-L1660)</x:f>
        <x:v>104</x:v>
      </x:c>
      <x:c r="O1660" s="20" t="n">
        <x:f>N1660-M1660</x:f>
        <x:v>56</x:v>
      </x:c>
    </x:row>
    <x:row r="1661" ht="22" customHeight="1">
      <x:c r="A1661" s="11" t="n">
        <x:v>1657</x:v>
      </x:c>
      <x:c r="B1661" s="11" t="n">
        <x:v>842</x:v>
      </x:c>
      <x:c r="C1661" s="18" t="n">
        <x:v>45851</x:v>
      </x:c>
      <x:c r="D1661" s="11" t="str">
        <x:v>2025-07</x:v>
      </x:c>
      <x:c r="E1661" s="11" t="str">
        <x:v>South</x:v>
      </x:c>
      <x:c r="F1661" s="11" t="str">
        <x:v>Office Supplies</x:v>
      </x:c>
      <x:c r="G1661" s="11" t="str">
        <x:v>Storage box</x:v>
      </x:c>
      <x:c r="H1661" s="11" t="n">
        <x:v>2</x:v>
      </x:c>
      <x:c r="I1661" s="19" t="n">
        <x:v>0.15</x:v>
      </x:c>
      <x:c r="J1661" s="11" t="n">
        <x:v>0</x:v>
      </x:c>
      <x:c r="K1661" s="20" t="n">
        <x:v>52</x:v>
      </x:c>
      <x:c r="L1661" s="20" t="n">
        <x:v>7.8</x:v>
      </x:c>
      <x:c r="M1661" s="20" t="n">
        <x:v>24</x:v>
      </x:c>
      <x:c r="N1661" s="20" t="n">
        <x:f>IF(J1661=1,0,K1661-L1661)</x:f>
        <x:v>44.2</x:v>
      </x:c>
      <x:c r="O1661" s="20" t="n">
        <x:f>N1661-M1661</x:f>
        <x:v>20.200000000000003</x:v>
      </x:c>
    </x:row>
    <x:row r="1662" ht="22" customHeight="1">
      <x:c r="A1662" s="11" t="n">
        <x:v>1658</x:v>
      </x:c>
      <x:c r="B1662" s="11" t="n">
        <x:v>842</x:v>
      </x:c>
      <x:c r="C1662" s="18" t="n">
        <x:v>45851</x:v>
      </x:c>
      <x:c r="D1662" s="11" t="str">
        <x:v>2025-07</x:v>
      </x:c>
      <x:c r="E1662" s="11" t="str">
        <x:v>South</x:v>
      </x:c>
      <x:c r="F1662" s="11" t="str">
        <x:v>Technology</x:v>
      </x:c>
      <x:c r="G1662" s="11" t="str">
        <x:v>Keyboard</x:v>
      </x:c>
      <x:c r="H1662" s="11" t="n">
        <x:v>1</x:v>
      </x:c>
      <x:c r="I1662" s="19" t="n">
        <x:v>0</x:v>
      </x:c>
      <x:c r="J1662" s="11" t="n">
        <x:v>0</x:v>
      </x:c>
      <x:c r="K1662" s="20" t="n">
        <x:v>65</x:v>
      </x:c>
      <x:c r="L1662" s="20" t="n">
        <x:v>0</x:v>
      </x:c>
      <x:c r="M1662" s="20" t="n">
        <x:v>32</x:v>
      </x:c>
      <x:c r="N1662" s="20" t="n">
        <x:f>IF(J1662=1,0,K1662-L1662)</x:f>
        <x:v>65</x:v>
      </x:c>
      <x:c r="O1662" s="20" t="n">
        <x:f>N1662-M1662</x:f>
        <x:v>33</x:v>
      </x:c>
    </x:row>
    <x:row r="1663" ht="22" customHeight="1">
      <x:c r="A1663" s="11" t="n">
        <x:v>1659</x:v>
      </x:c>
      <x:c r="B1663" s="11" t="n">
        <x:v>843</x:v>
      </x:c>
      <x:c r="C1663" s="18" t="n">
        <x:v>45855</x:v>
      </x:c>
      <x:c r="D1663" s="11" t="str">
        <x:v>2025-07</x:v>
      </x:c>
      <x:c r="E1663" s="11" t="str">
        <x:v>Central</x:v>
      </x:c>
      <x:c r="F1663" s="11" t="str">
        <x:v>Technology</x:v>
      </x:c>
      <x:c r="G1663" s="11" t="str">
        <x:v>Monitor</x:v>
      </x:c>
      <x:c r="H1663" s="11" t="n">
        <x:v>1</x:v>
      </x:c>
      <x:c r="I1663" s="19" t="n">
        <x:v>0.1</x:v>
      </x:c>
      <x:c r="J1663" s="11" t="n">
        <x:v>0</x:v>
      </x:c>
      <x:c r="K1663" s="20" t="n">
        <x:v>240</x:v>
      </x:c>
      <x:c r="L1663" s="20" t="n">
        <x:v>24</x:v>
      </x:c>
      <x:c r="M1663" s="20" t="n">
        <x:v>160</x:v>
      </x:c>
      <x:c r="N1663" s="20" t="n">
        <x:f>IF(J1663=1,0,K1663-L1663)</x:f>
        <x:v>216</x:v>
      </x:c>
      <x:c r="O1663" s="20" t="n">
        <x:f>N1663-M1663</x:f>
        <x:v>56</x:v>
      </x:c>
    </x:row>
    <x:row r="1664" ht="22" customHeight="1">
      <x:c r="A1664" s="11" t="n">
        <x:v>1660</x:v>
      </x:c>
      <x:c r="B1664" s="11" t="n">
        <x:v>843</x:v>
      </x:c>
      <x:c r="C1664" s="18" t="n">
        <x:v>45855</x:v>
      </x:c>
      <x:c r="D1664" s="11" t="str">
        <x:v>2025-07</x:v>
      </x:c>
      <x:c r="E1664" s="11" t="str">
        <x:v>Central</x:v>
      </x:c>
      <x:c r="F1664" s="11" t="str">
        <x:v>Office Supplies</x:v>
      </x:c>
      <x:c r="G1664" s="11" t="str">
        <x:v>Storage box</x:v>
      </x:c>
      <x:c r="H1664" s="11" t="n">
        <x:v>4</x:v>
      </x:c>
      <x:c r="I1664" s="19" t="n">
        <x:v>0.15</x:v>
      </x:c>
      <x:c r="J1664" s="11" t="n">
        <x:v>0</x:v>
      </x:c>
      <x:c r="K1664" s="20" t="n">
        <x:v>104</x:v>
      </x:c>
      <x:c r="L1664" s="20" t="n">
        <x:v>15.6</x:v>
      </x:c>
      <x:c r="M1664" s="20" t="n">
        <x:v>48</x:v>
      </x:c>
      <x:c r="N1664" s="20" t="n">
        <x:f>IF(J1664=1,0,K1664-L1664)</x:f>
        <x:v>88.4</x:v>
      </x:c>
      <x:c r="O1664" s="20" t="n">
        <x:f>N1664-M1664</x:f>
        <x:v>40.400000000000006</x:v>
      </x:c>
    </x:row>
    <x:row r="1665" ht="22" customHeight="1">
      <x:c r="A1665" s="11" t="n">
        <x:v>1661</x:v>
      </x:c>
      <x:c r="B1665" s="11" t="n">
        <x:v>843</x:v>
      </x:c>
      <x:c r="C1665" s="18" t="n">
        <x:v>45855</x:v>
      </x:c>
      <x:c r="D1665" s="11" t="str">
        <x:v>2025-07</x:v>
      </x:c>
      <x:c r="E1665" s="11" t="str">
        <x:v>Central</x:v>
      </x:c>
      <x:c r="F1665" s="11" t="str">
        <x:v>Technology</x:v>
      </x:c>
      <x:c r="G1665" s="11" t="str">
        <x:v>Keyboard</x:v>
      </x:c>
      <x:c r="H1665" s="11" t="n">
        <x:v>5</x:v>
      </x:c>
      <x:c r="I1665" s="19" t="n">
        <x:v>0</x:v>
      </x:c>
      <x:c r="J1665" s="11" t="n">
        <x:v>0</x:v>
      </x:c>
      <x:c r="K1665" s="20" t="n">
        <x:v>325</x:v>
      </x:c>
      <x:c r="L1665" s="20" t="n">
        <x:v>0</x:v>
      </x:c>
      <x:c r="M1665" s="20" t="n">
        <x:v>160</x:v>
      </x:c>
      <x:c r="N1665" s="20" t="n">
        <x:f>IF(J1665=1,0,K1665-L1665)</x:f>
        <x:v>325</x:v>
      </x:c>
      <x:c r="O1665" s="20" t="n">
        <x:f>N1665-M1665</x:f>
        <x:v>165</x:v>
      </x:c>
    </x:row>
    <x:row r="1666" ht="22" customHeight="1">
      <x:c r="A1666" s="11" t="n">
        <x:v>1662</x:v>
      </x:c>
      <x:c r="B1666" s="11" t="n">
        <x:v>844</x:v>
      </x:c>
      <x:c r="C1666" s="18" t="n">
        <x:v>45572</x:v>
      </x:c>
      <x:c r="D1666" s="11" t="str">
        <x:v>2024-10</x:v>
      </x:c>
      <x:c r="E1666" s="11" t="str">
        <x:v>East</x:v>
      </x:c>
      <x:c r="F1666" s="11" t="str">
        <x:v>Furniture</x:v>
      </x:c>
      <x:c r="G1666" s="11" t="str">
        <x:v>Desk</x:v>
      </x:c>
      <x:c r="H1666" s="11" t="n">
        <x:v>1</x:v>
      </x:c>
      <x:c r="I1666" s="19" t="n">
        <x:v>0.05</x:v>
      </x:c>
      <x:c r="J1666" s="11" t="n">
        <x:v>0</x:v>
      </x:c>
      <x:c r="K1666" s="20" t="n">
        <x:v>280</x:v>
      </x:c>
      <x:c r="L1666" s="20" t="n">
        <x:v>14</x:v>
      </x:c>
      <x:c r="M1666" s="20" t="n">
        <x:v>190</x:v>
      </x:c>
      <x:c r="N1666" s="20" t="n">
        <x:f>IF(J1666=1,0,K1666-L1666)</x:f>
        <x:v>266</x:v>
      </x:c>
      <x:c r="O1666" s="20" t="n">
        <x:f>N1666-M1666</x:f>
        <x:v>76</x:v>
      </x:c>
    </x:row>
    <x:row r="1667" ht="22" customHeight="1">
      <x:c r="A1667" s="11" t="n">
        <x:v>1663</x:v>
      </x:c>
      <x:c r="B1667" s="11" t="n">
        <x:v>844</x:v>
      </x:c>
      <x:c r="C1667" s="18" t="n">
        <x:v>45572</x:v>
      </x:c>
      <x:c r="D1667" s="11" t="str">
        <x:v>2024-10</x:v>
      </x:c>
      <x:c r="E1667" s="11" t="str">
        <x:v>East</x:v>
      </x:c>
      <x:c r="F1667" s="11" t="str">
        <x:v>Office Supplies</x:v>
      </x:c>
      <x:c r="G1667" s="11" t="str">
        <x:v>Notebook pack</x:v>
      </x:c>
      <x:c r="H1667" s="11" t="n">
        <x:v>4</x:v>
      </x:c>
      <x:c r="I1667" s="19" t="n">
        <x:v>0.1</x:v>
      </x:c>
      <x:c r="J1667" s="11" t="n">
        <x:v>0</x:v>
      </x:c>
      <x:c r="K1667" s="20" t="n">
        <x:v>72</x:v>
      </x:c>
      <x:c r="L1667" s="20" t="n">
        <x:v>7.2</x:v>
      </x:c>
      <x:c r="M1667" s="20" t="n">
        <x:v>28</x:v>
      </x:c>
      <x:c r="N1667" s="20" t="n">
        <x:f>IF(J1667=1,0,K1667-L1667)</x:f>
        <x:v>64.8</x:v>
      </x:c>
      <x:c r="O1667" s="20" t="n">
        <x:f>N1667-M1667</x:f>
        <x:v>36.8</x:v>
      </x:c>
    </x:row>
    <x:row r="1668" ht="22" customHeight="1">
      <x:c r="A1668" s="11" t="n">
        <x:v>1664</x:v>
      </x:c>
      <x:c r="B1668" s="11" t="n">
        <x:v>845</x:v>
      </x:c>
      <x:c r="C1668" s="18" t="n">
        <x:v>45817</x:v>
      </x:c>
      <x:c r="D1668" s="11" t="str">
        <x:v>2025-06</x:v>
      </x:c>
      <x:c r="E1668" s="11" t="str">
        <x:v>South</x:v>
      </x:c>
      <x:c r="F1668" s="11" t="str">
        <x:v>Office Supplies</x:v>
      </x:c>
      <x:c r="G1668" s="11" t="str">
        <x:v>Notebook pack</x:v>
      </x:c>
      <x:c r="H1668" s="11" t="n">
        <x:v>5</x:v>
      </x:c>
      <x:c r="I1668" s="19" t="n">
        <x:v>0.1</x:v>
      </x:c>
      <x:c r="J1668" s="11" t="n">
        <x:v>0</x:v>
      </x:c>
      <x:c r="K1668" s="20" t="n">
        <x:v>90</x:v>
      </x:c>
      <x:c r="L1668" s="20" t="n">
        <x:v>9</x:v>
      </x:c>
      <x:c r="M1668" s="20" t="n">
        <x:v>35</x:v>
      </x:c>
      <x:c r="N1668" s="20" t="n">
        <x:f>IF(J1668=1,0,K1668-L1668)</x:f>
        <x:v>81</x:v>
      </x:c>
      <x:c r="O1668" s="20" t="n">
        <x:f>N1668-M1668</x:f>
        <x:v>46</x:v>
      </x:c>
    </x:row>
    <x:row r="1669" ht="22" customHeight="1">
      <x:c r="A1669" s="11" t="n">
        <x:v>1665</x:v>
      </x:c>
      <x:c r="B1669" s="11" t="n">
        <x:v>845</x:v>
      </x:c>
      <x:c r="C1669" s="18" t="n">
        <x:v>45817</x:v>
      </x:c>
      <x:c r="D1669" s="11" t="str">
        <x:v>2025-06</x:v>
      </x:c>
      <x:c r="E1669" s="11" t="str">
        <x:v>South</x:v>
      </x:c>
      <x:c r="F1669" s="11" t="str">
        <x:v>Technology</x:v>
      </x:c>
      <x:c r="G1669" s="11" t="str">
        <x:v>Keyboard</x:v>
      </x:c>
      <x:c r="H1669" s="11" t="n">
        <x:v>3</x:v>
      </x:c>
      <x:c r="I1669" s="19" t="n">
        <x:v>0</x:v>
      </x:c>
      <x:c r="J1669" s="11" t="n">
        <x:v>0</x:v>
      </x:c>
      <x:c r="K1669" s="20" t="n">
        <x:v>195</x:v>
      </x:c>
      <x:c r="L1669" s="20" t="n">
        <x:v>0</x:v>
      </x:c>
      <x:c r="M1669" s="20" t="n">
        <x:v>96</x:v>
      </x:c>
      <x:c r="N1669" s="20" t="n">
        <x:f>IF(J1669=1,0,K1669-L1669)</x:f>
        <x:v>195</x:v>
      </x:c>
      <x:c r="O1669" s="20" t="n">
        <x:f>N1669-M1669</x:f>
        <x:v>99</x:v>
      </x:c>
    </x:row>
    <x:row r="1670" ht="22" customHeight="1">
      <x:c r="A1670" s="11" t="n">
        <x:v>1666</x:v>
      </x:c>
      <x:c r="B1670" s="11" t="n">
        <x:v>846</x:v>
      </x:c>
      <x:c r="C1670" s="18" t="n">
        <x:v>45455</x:v>
      </x:c>
      <x:c r="D1670" s="11" t="str">
        <x:v>2024-06</x:v>
      </x:c>
      <x:c r="E1670" s="11" t="str">
        <x:v>Central</x:v>
      </x:c>
      <x:c r="F1670" s="11" t="str">
        <x:v>Office Supplies</x:v>
      </x:c>
      <x:c r="G1670" s="11" t="str">
        <x:v>Storage box</x:v>
      </x:c>
      <x:c r="H1670" s="11" t="n">
        <x:v>5</x:v>
      </x:c>
      <x:c r="I1670" s="19" t="n">
        <x:v>0.15</x:v>
      </x:c>
      <x:c r="J1670" s="11" t="n">
        <x:v>0</x:v>
      </x:c>
      <x:c r="K1670" s="20" t="n">
        <x:v>130</x:v>
      </x:c>
      <x:c r="L1670" s="20" t="n">
        <x:v>19.5</x:v>
      </x:c>
      <x:c r="M1670" s="20" t="n">
        <x:v>60</x:v>
      </x:c>
      <x:c r="N1670" s="20" t="n">
        <x:f>IF(J1670=1,0,K1670-L1670)</x:f>
        <x:v>110.5</x:v>
      </x:c>
      <x:c r="O1670" s="20" t="n">
        <x:f>N1670-M1670</x:f>
        <x:v>50.5</x:v>
      </x:c>
    </x:row>
    <x:row r="1671" ht="22" customHeight="1">
      <x:c r="A1671" s="11" t="n">
        <x:v>1667</x:v>
      </x:c>
      <x:c r="B1671" s="11" t="n">
        <x:v>846</x:v>
      </x:c>
      <x:c r="C1671" s="18" t="n">
        <x:v>45455</x:v>
      </x:c>
      <x:c r="D1671" s="11" t="str">
        <x:v>2024-06</x:v>
      </x:c>
      <x:c r="E1671" s="11" t="str">
        <x:v>Central</x:v>
      </x:c>
      <x:c r="F1671" s="11" t="str">
        <x:v>Furniture</x:v>
      </x:c>
      <x:c r="G1671" s="11" t="str">
        <x:v>Desk</x:v>
      </x:c>
      <x:c r="H1671" s="11" t="n">
        <x:v>2</x:v>
      </x:c>
      <x:c r="I1671" s="19" t="n">
        <x:v>0.1</x:v>
      </x:c>
      <x:c r="J1671" s="11" t="n">
        <x:v>0</x:v>
      </x:c>
      <x:c r="K1671" s="20" t="n">
        <x:v>560</x:v>
      </x:c>
      <x:c r="L1671" s="20" t="n">
        <x:v>56</x:v>
      </x:c>
      <x:c r="M1671" s="20" t="n">
        <x:v>380</x:v>
      </x:c>
      <x:c r="N1671" s="20" t="n">
        <x:f>IF(J1671=1,0,K1671-L1671)</x:f>
        <x:v>504</x:v>
      </x:c>
      <x:c r="O1671" s="20" t="n">
        <x:f>N1671-M1671</x:f>
        <x:v>124</x:v>
      </x:c>
    </x:row>
    <x:row r="1672" ht="22" customHeight="1">
      <x:c r="A1672" s="11" t="n">
        <x:v>1668</x:v>
      </x:c>
      <x:c r="B1672" s="11" t="n">
        <x:v>846</x:v>
      </x:c>
      <x:c r="C1672" s="18" t="n">
        <x:v>45455</x:v>
      </x:c>
      <x:c r="D1672" s="11" t="str">
        <x:v>2024-06</x:v>
      </x:c>
      <x:c r="E1672" s="11" t="str">
        <x:v>Central</x:v>
      </x:c>
      <x:c r="F1672" s="11" t="str">
        <x:v>Technology</x:v>
      </x:c>
      <x:c r="G1672" s="11" t="str">
        <x:v>Keyboard</x:v>
      </x:c>
      <x:c r="H1672" s="11" t="n">
        <x:v>5</x:v>
      </x:c>
      <x:c r="I1672" s="19" t="n">
        <x:v>0</x:v>
      </x:c>
      <x:c r="J1672" s="11" t="n">
        <x:v>0</x:v>
      </x:c>
      <x:c r="K1672" s="20" t="n">
        <x:v>325</x:v>
      </x:c>
      <x:c r="L1672" s="20" t="n">
        <x:v>0</x:v>
      </x:c>
      <x:c r="M1672" s="20" t="n">
        <x:v>160</x:v>
      </x:c>
      <x:c r="N1672" s="20" t="n">
        <x:f>IF(J1672=1,0,K1672-L1672)</x:f>
        <x:v>325</x:v>
      </x:c>
      <x:c r="O1672" s="20" t="n">
        <x:f>N1672-M1672</x:f>
        <x:v>165</x:v>
      </x:c>
    </x:row>
    <x:row r="1673" ht="22" customHeight="1">
      <x:c r="A1673" s="11" t="n">
        <x:v>1669</x:v>
      </x:c>
      <x:c r="B1673" s="11" t="n">
        <x:v>847</x:v>
      </x:c>
      <x:c r="C1673" s="18" t="n">
        <x:v>45338</x:v>
      </x:c>
      <x:c r="D1673" s="11" t="str">
        <x:v>2024-02</x:v>
      </x:c>
      <x:c r="E1673" s="11" t="str">
        <x:v>East</x:v>
      </x:c>
      <x:c r="F1673" s="11" t="str">
        <x:v>Furniture</x:v>
      </x:c>
      <x:c r="G1673" s="11" t="str">
        <x:v>Desk</x:v>
      </x:c>
      <x:c r="H1673" s="11" t="n">
        <x:v>3</x:v>
      </x:c>
      <x:c r="I1673" s="19" t="n">
        <x:v>0</x:v>
      </x:c>
      <x:c r="J1673" s="11" t="n">
        <x:v>0</x:v>
      </x:c>
      <x:c r="K1673" s="20" t="n">
        <x:v>840</x:v>
      </x:c>
      <x:c r="L1673" s="20" t="n">
        <x:v>0</x:v>
      </x:c>
      <x:c r="M1673" s="20" t="n">
        <x:v>570</x:v>
      </x:c>
      <x:c r="N1673" s="20" t="n">
        <x:f>IF(J1673=1,0,K1673-L1673)</x:f>
        <x:v>840</x:v>
      </x:c>
      <x:c r="O1673" s="20" t="n">
        <x:f>N1673-M1673</x:f>
        <x:v>270</x:v>
      </x:c>
    </x:row>
    <x:row r="1674" ht="22" customHeight="1">
      <x:c r="A1674" s="11" t="n">
        <x:v>1670</x:v>
      </x:c>
      <x:c r="B1674" s="11" t="n">
        <x:v>847</x:v>
      </x:c>
      <x:c r="C1674" s="18" t="n">
        <x:v>45338</x:v>
      </x:c>
      <x:c r="D1674" s="11" t="str">
        <x:v>2024-02</x:v>
      </x:c>
      <x:c r="E1674" s="11" t="str">
        <x:v>East</x:v>
      </x:c>
      <x:c r="F1674" s="11" t="str">
        <x:v>Furniture</x:v>
      </x:c>
      <x:c r="G1674" s="11" t="str">
        <x:v>Chair</x:v>
      </x:c>
      <x:c r="H1674" s="11" t="n">
        <x:v>1</x:v>
      </x:c>
      <x:c r="I1674" s="19" t="n">
        <x:v>0.05</x:v>
      </x:c>
      <x:c r="J1674" s="11" t="n">
        <x:v>0</x:v>
      </x:c>
      <x:c r="K1674" s="20" t="n">
        <x:v>170</x:v>
      </x:c>
      <x:c r="L1674" s="20" t="n">
        <x:v>8.5</x:v>
      </x:c>
      <x:c r="M1674" s="20" t="n">
        <x:v>110</x:v>
      </x:c>
      <x:c r="N1674" s="20" t="n">
        <x:f>IF(J1674=1,0,K1674-L1674)</x:f>
        <x:v>161.5</x:v>
      </x:c>
      <x:c r="O1674" s="20" t="n">
        <x:f>N1674-M1674</x:f>
        <x:v>51.5</x:v>
      </x:c>
    </x:row>
    <x:row r="1675" ht="22" customHeight="1">
      <x:c r="A1675" s="11" t="n">
        <x:v>1671</x:v>
      </x:c>
      <x:c r="B1675" s="11" t="n">
        <x:v>848</x:v>
      </x:c>
      <x:c r="C1675" s="18" t="n">
        <x:v>45507</x:v>
      </x:c>
      <x:c r="D1675" s="11" t="str">
        <x:v>2024-08</x:v>
      </x:c>
      <x:c r="E1675" s="11" t="str">
        <x:v>East</x:v>
      </x:c>
      <x:c r="F1675" s="11" t="str">
        <x:v>Office Supplies</x:v>
      </x:c>
      <x:c r="G1675" s="11" t="str">
        <x:v>Storage box</x:v>
      </x:c>
      <x:c r="H1675" s="11" t="n">
        <x:v>3</x:v>
      </x:c>
      <x:c r="I1675" s="19" t="n">
        <x:v>0.15</x:v>
      </x:c>
      <x:c r="J1675" s="11" t="n">
        <x:v>0</x:v>
      </x:c>
      <x:c r="K1675" s="20" t="n">
        <x:v>78</x:v>
      </x:c>
      <x:c r="L1675" s="20" t="n">
        <x:v>11.7</x:v>
      </x:c>
      <x:c r="M1675" s="20" t="n">
        <x:v>36</x:v>
      </x:c>
      <x:c r="N1675" s="20" t="n">
        <x:f>IF(J1675=1,0,K1675-L1675)</x:f>
        <x:v>66.3</x:v>
      </x:c>
      <x:c r="O1675" s="20" t="n">
        <x:f>N1675-M1675</x:f>
        <x:v>30.299999999999997</x:v>
      </x:c>
    </x:row>
    <x:row r="1676" ht="22" customHeight="1">
      <x:c r="A1676" s="11" t="n">
        <x:v>1672</x:v>
      </x:c>
      <x:c r="B1676" s="11" t="n">
        <x:v>849</x:v>
      </x:c>
      <x:c r="C1676" s="18" t="n">
        <x:v>45624</x:v>
      </x:c>
      <x:c r="D1676" s="11" t="str">
        <x:v>2024-11</x:v>
      </x:c>
      <x:c r="E1676" s="11" t="str">
        <x:v>West</x:v>
      </x:c>
      <x:c r="F1676" s="11" t="str">
        <x:v>Furniture</x:v>
      </x:c>
      <x:c r="G1676" s="11" t="str">
        <x:v>Chair</x:v>
      </x:c>
      <x:c r="H1676" s="11" t="n">
        <x:v>3</x:v>
      </x:c>
      <x:c r="I1676" s="19" t="n">
        <x:v>0</x:v>
      </x:c>
      <x:c r="J1676" s="11" t="n">
        <x:v>0</x:v>
      </x:c>
      <x:c r="K1676" s="20" t="n">
        <x:v>510</x:v>
      </x:c>
      <x:c r="L1676" s="20" t="n">
        <x:v>0</x:v>
      </x:c>
      <x:c r="M1676" s="20" t="n">
        <x:v>330</x:v>
      </x:c>
      <x:c r="N1676" s="20" t="n">
        <x:f>IF(J1676=1,0,K1676-L1676)</x:f>
        <x:v>510</x:v>
      </x:c>
      <x:c r="O1676" s="20" t="n">
        <x:f>N1676-M1676</x:f>
        <x:v>180</x:v>
      </x:c>
    </x:row>
    <x:row r="1677" ht="22" customHeight="1">
      <x:c r="A1677" s="11" t="n">
        <x:v>1673</x:v>
      </x:c>
      <x:c r="B1677" s="11" t="n">
        <x:v>849</x:v>
      </x:c>
      <x:c r="C1677" s="18" t="n">
        <x:v>45624</x:v>
      </x:c>
      <x:c r="D1677" s="11" t="str">
        <x:v>2024-11</x:v>
      </x:c>
      <x:c r="E1677" s="11" t="str">
        <x:v>West</x:v>
      </x:c>
      <x:c r="F1677" s="11" t="str">
        <x:v>Technology</x:v>
      </x:c>
      <x:c r="G1677" s="11" t="str">
        <x:v>Keyboard</x:v>
      </x:c>
      <x:c r="H1677" s="11" t="n">
        <x:v>1</x:v>
      </x:c>
      <x:c r="I1677" s="19" t="n">
        <x:v>0.05</x:v>
      </x:c>
      <x:c r="J1677" s="11" t="n">
        <x:v>0</x:v>
      </x:c>
      <x:c r="K1677" s="20" t="n">
        <x:v>65</x:v>
      </x:c>
      <x:c r="L1677" s="20" t="n">
        <x:v>3.25</x:v>
      </x:c>
      <x:c r="M1677" s="20" t="n">
        <x:v>32</x:v>
      </x:c>
      <x:c r="N1677" s="20" t="n">
        <x:f>IF(J1677=1,0,K1677-L1677)</x:f>
        <x:v>61.75</x:v>
      </x:c>
      <x:c r="O1677" s="20" t="n">
        <x:f>N1677-M1677</x:f>
        <x:v>29.75</x:v>
      </x:c>
    </x:row>
    <x:row r="1678" ht="22" customHeight="1">
      <x:c r="A1678" s="11" t="n">
        <x:v>1674</x:v>
      </x:c>
      <x:c r="B1678" s="11" t="n">
        <x:v>849</x:v>
      </x:c>
      <x:c r="C1678" s="18" t="n">
        <x:v>45624</x:v>
      </x:c>
      <x:c r="D1678" s="11" t="str">
        <x:v>2024-11</x:v>
      </x:c>
      <x:c r="E1678" s="11" t="str">
        <x:v>West</x:v>
      </x:c>
      <x:c r="F1678" s="11" t="str">
        <x:v>Technology</x:v>
      </x:c>
      <x:c r="G1678" s="11" t="str">
        <x:v>Monitor</x:v>
      </x:c>
      <x:c r="H1678" s="11" t="n">
        <x:v>3</x:v>
      </x:c>
      <x:c r="I1678" s="19" t="n">
        <x:v>0</x:v>
      </x:c>
      <x:c r="J1678" s="11" t="n">
        <x:v>0</x:v>
      </x:c>
      <x:c r="K1678" s="20" t="n">
        <x:v>720</x:v>
      </x:c>
      <x:c r="L1678" s="20" t="n">
        <x:v>0</x:v>
      </x:c>
      <x:c r="M1678" s="20" t="n">
        <x:v>480</x:v>
      </x:c>
      <x:c r="N1678" s="20" t="n">
        <x:f>IF(J1678=1,0,K1678-L1678)</x:f>
        <x:v>720</x:v>
      </x:c>
      <x:c r="O1678" s="20" t="n">
        <x:f>N1678-M1678</x:f>
        <x:v>240</x:v>
      </x:c>
    </x:row>
    <x:row r="1679" ht="22" customHeight="1">
      <x:c r="A1679" s="11" t="n">
        <x:v>1675</x:v>
      </x:c>
      <x:c r="B1679" s="11" t="n">
        <x:v>850</x:v>
      </x:c>
      <x:c r="C1679" s="18" t="n">
        <x:v>45308</x:v>
      </x:c>
      <x:c r="D1679" s="11" t="str">
        <x:v>2024-01</x:v>
      </x:c>
      <x:c r="E1679" s="11" t="str">
        <x:v>Central</x:v>
      </x:c>
      <x:c r="F1679" s="11" t="str">
        <x:v>Office Supplies</x:v>
      </x:c>
      <x:c r="G1679" s="11" t="str">
        <x:v>Storage box</x:v>
      </x:c>
      <x:c r="H1679" s="11" t="n">
        <x:v>5</x:v>
      </x:c>
      <x:c r="I1679" s="19" t="n">
        <x:v>0.15</x:v>
      </x:c>
      <x:c r="J1679" s="11" t="n">
        <x:v>0</x:v>
      </x:c>
      <x:c r="K1679" s="20" t="n">
        <x:v>130</x:v>
      </x:c>
      <x:c r="L1679" s="20" t="n">
        <x:v>19.5</x:v>
      </x:c>
      <x:c r="M1679" s="20" t="n">
        <x:v>60</x:v>
      </x:c>
      <x:c r="N1679" s="20" t="n">
        <x:f>IF(J1679=1,0,K1679-L1679)</x:f>
        <x:v>110.5</x:v>
      </x:c>
      <x:c r="O1679" s="20" t="n">
        <x:f>N1679-M1679</x:f>
        <x:v>50.5</x:v>
      </x:c>
    </x:row>
    <x:row r="1680" ht="22" customHeight="1">
      <x:c r="A1680" s="11" t="n">
        <x:v>1676</x:v>
      </x:c>
      <x:c r="B1680" s="11" t="n">
        <x:v>850</x:v>
      </x:c>
      <x:c r="C1680" s="18" t="n">
        <x:v>45308</x:v>
      </x:c>
      <x:c r="D1680" s="11" t="str">
        <x:v>2024-01</x:v>
      </x:c>
      <x:c r="E1680" s="11" t="str">
        <x:v>Central</x:v>
      </x:c>
      <x:c r="F1680" s="11" t="str">
        <x:v>Technology</x:v>
      </x:c>
      <x:c r="G1680" s="11" t="str">
        <x:v>Keyboard</x:v>
      </x:c>
      <x:c r="H1680" s="11" t="n">
        <x:v>4</x:v>
      </x:c>
      <x:c r="I1680" s="19" t="n">
        <x:v>0</x:v>
      </x:c>
      <x:c r="J1680" s="11" t="n">
        <x:v>0</x:v>
      </x:c>
      <x:c r="K1680" s="20" t="n">
        <x:v>260</x:v>
      </x:c>
      <x:c r="L1680" s="20" t="n">
        <x:v>0</x:v>
      </x:c>
      <x:c r="M1680" s="20" t="n">
        <x:v>128</x:v>
      </x:c>
      <x:c r="N1680" s="20" t="n">
        <x:f>IF(J1680=1,0,K1680-L1680)</x:f>
        <x:v>260</x:v>
      </x:c>
      <x:c r="O1680" s="20" t="n">
        <x:f>N1680-M1680</x:f>
        <x:v>132</x:v>
      </x:c>
    </x:row>
    <x:row r="1681" ht="22" customHeight="1">
      <x:c r="A1681" s="11" t="n">
        <x:v>1677</x:v>
      </x:c>
      <x:c r="B1681" s="11" t="n">
        <x:v>850</x:v>
      </x:c>
      <x:c r="C1681" s="18" t="n">
        <x:v>45308</x:v>
      </x:c>
      <x:c r="D1681" s="11" t="str">
        <x:v>2024-01</x:v>
      </x:c>
      <x:c r="E1681" s="11" t="str">
        <x:v>Central</x:v>
      </x:c>
      <x:c r="F1681" s="11" t="str">
        <x:v>Technology</x:v>
      </x:c>
      <x:c r="G1681" s="11" t="str">
        <x:v>Monitor</x:v>
      </x:c>
      <x:c r="H1681" s="11" t="n">
        <x:v>2</x:v>
      </x:c>
      <x:c r="I1681" s="19" t="n">
        <x:v>0.15</x:v>
      </x:c>
      <x:c r="J1681" s="11" t="n">
        <x:v>0</x:v>
      </x:c>
      <x:c r="K1681" s="20" t="n">
        <x:v>480</x:v>
      </x:c>
      <x:c r="L1681" s="20" t="n">
        <x:v>72</x:v>
      </x:c>
      <x:c r="M1681" s="20" t="n">
        <x:v>320</x:v>
      </x:c>
      <x:c r="N1681" s="20" t="n">
        <x:f>IF(J1681=1,0,K1681-L1681)</x:f>
        <x:v>408</x:v>
      </x:c>
      <x:c r="O1681" s="20" t="n">
        <x:f>N1681-M1681</x:f>
        <x:v>88</x:v>
      </x:c>
    </x:row>
    <x:row r="1682" ht="22" customHeight="1">
      <x:c r="A1682" s="11" t="n">
        <x:v>1678</x:v>
      </x:c>
      <x:c r="B1682" s="11" t="n">
        <x:v>851</x:v>
      </x:c>
      <x:c r="C1682" s="18" t="n">
        <x:v>45696</x:v>
      </x:c>
      <x:c r="D1682" s="11" t="str">
        <x:v>2025-02</x:v>
      </x:c>
      <x:c r="E1682" s="11" t="str">
        <x:v>South</x:v>
      </x:c>
      <x:c r="F1682" s="11" t="str">
        <x:v>Office Supplies</x:v>
      </x:c>
      <x:c r="G1682" s="11" t="str">
        <x:v>Storage box</x:v>
      </x:c>
      <x:c r="H1682" s="11" t="n">
        <x:v>4</x:v>
      </x:c>
      <x:c r="I1682" s="19" t="n">
        <x:v>0.05</x:v>
      </x:c>
      <x:c r="J1682" s="11" t="n">
        <x:v>0</x:v>
      </x:c>
      <x:c r="K1682" s="20" t="n">
        <x:v>104</x:v>
      </x:c>
      <x:c r="L1682" s="20" t="n">
        <x:v>5.2</x:v>
      </x:c>
      <x:c r="M1682" s="20" t="n">
        <x:v>48</x:v>
      </x:c>
      <x:c r="N1682" s="20" t="n">
        <x:f>IF(J1682=1,0,K1682-L1682)</x:f>
        <x:v>98.8</x:v>
      </x:c>
      <x:c r="O1682" s="20" t="n">
        <x:f>N1682-M1682</x:f>
        <x:v>50.8</x:v>
      </x:c>
    </x:row>
    <x:row r="1683" ht="22" customHeight="1">
      <x:c r="A1683" s="11" t="n">
        <x:v>1679</x:v>
      </x:c>
      <x:c r="B1683" s="11" t="n">
        <x:v>852</x:v>
      </x:c>
      <x:c r="C1683" s="18" t="n">
        <x:v>45782</x:v>
      </x:c>
      <x:c r="D1683" s="11" t="str">
        <x:v>2025-05</x:v>
      </x:c>
      <x:c r="E1683" s="11" t="str">
        <x:v>Central</x:v>
      </x:c>
      <x:c r="F1683" s="11" t="str">
        <x:v>Technology</x:v>
      </x:c>
      <x:c r="G1683" s="11" t="str">
        <x:v>Keyboard</x:v>
      </x:c>
      <x:c r="H1683" s="11" t="n">
        <x:v>2</x:v>
      </x:c>
      <x:c r="I1683" s="19" t="n">
        <x:v>0</x:v>
      </x:c>
      <x:c r="J1683" s="11" t="n">
        <x:v>0</x:v>
      </x:c>
      <x:c r="K1683" s="20" t="n">
        <x:v>130</x:v>
      </x:c>
      <x:c r="L1683" s="20" t="n">
        <x:v>0</x:v>
      </x:c>
      <x:c r="M1683" s="20" t="n">
        <x:v>64</x:v>
      </x:c>
      <x:c r="N1683" s="20" t="n">
        <x:f>IF(J1683=1,0,K1683-L1683)</x:f>
        <x:v>130</x:v>
      </x:c>
      <x:c r="O1683" s="20" t="n">
        <x:f>N1683-M1683</x:f>
        <x:v>66</x:v>
      </x:c>
    </x:row>
    <x:row r="1684" ht="22" customHeight="1">
      <x:c r="A1684" s="11" t="n">
        <x:v>1680</x:v>
      </x:c>
      <x:c r="B1684" s="11" t="n">
        <x:v>853</x:v>
      </x:c>
      <x:c r="C1684" s="18" t="n">
        <x:v>45794</x:v>
      </x:c>
      <x:c r="D1684" s="11" t="str">
        <x:v>2025-05</x:v>
      </x:c>
      <x:c r="E1684" s="11" t="str">
        <x:v>Central</x:v>
      </x:c>
      <x:c r="F1684" s="11" t="str">
        <x:v>Technology</x:v>
      </x:c>
      <x:c r="G1684" s="11" t="str">
        <x:v>Monitor</x:v>
      </x:c>
      <x:c r="H1684" s="11" t="n">
        <x:v>2</x:v>
      </x:c>
      <x:c r="I1684" s="19" t="n">
        <x:v>0</x:v>
      </x:c>
      <x:c r="J1684" s="11" t="n">
        <x:v>0</x:v>
      </x:c>
      <x:c r="K1684" s="20" t="n">
        <x:v>480</x:v>
      </x:c>
      <x:c r="L1684" s="20" t="n">
        <x:v>0</x:v>
      </x:c>
      <x:c r="M1684" s="20" t="n">
        <x:v>320</x:v>
      </x:c>
      <x:c r="N1684" s="20" t="n">
        <x:f>IF(J1684=1,0,K1684-L1684)</x:f>
        <x:v>480</x:v>
      </x:c>
      <x:c r="O1684" s="20" t="n">
        <x:f>N1684-M1684</x:f>
        <x:v>160</x:v>
      </x:c>
    </x:row>
    <x:row r="1685" ht="22" customHeight="1">
      <x:c r="A1685" s="11" t="n">
        <x:v>1681</x:v>
      </x:c>
      <x:c r="B1685" s="11" t="n">
        <x:v>853</x:v>
      </x:c>
      <x:c r="C1685" s="18" t="n">
        <x:v>45794</x:v>
      </x:c>
      <x:c r="D1685" s="11" t="str">
        <x:v>2025-05</x:v>
      </x:c>
      <x:c r="E1685" s="11" t="str">
        <x:v>Central</x:v>
      </x:c>
      <x:c r="F1685" s="11" t="str">
        <x:v>Furniture</x:v>
      </x:c>
      <x:c r="G1685" s="11" t="str">
        <x:v>Desk</x:v>
      </x:c>
      <x:c r="H1685" s="11" t="n">
        <x:v>5</x:v>
      </x:c>
      <x:c r="I1685" s="19" t="n">
        <x:v>0.05</x:v>
      </x:c>
      <x:c r="J1685" s="11" t="n">
        <x:v>0</x:v>
      </x:c>
      <x:c r="K1685" s="20" t="n">
        <x:v>1400</x:v>
      </x:c>
      <x:c r="L1685" s="20" t="n">
        <x:v>70</x:v>
      </x:c>
      <x:c r="M1685" s="20" t="n">
        <x:v>950</x:v>
      </x:c>
      <x:c r="N1685" s="20" t="n">
        <x:f>IF(J1685=1,0,K1685-L1685)</x:f>
        <x:v>1330</x:v>
      </x:c>
      <x:c r="O1685" s="20" t="n">
        <x:f>N1685-M1685</x:f>
        <x:v>380</x:v>
      </x:c>
    </x:row>
    <x:row r="1686" ht="22" customHeight="1">
      <x:c r="A1686" s="11" t="n">
        <x:v>1682</x:v>
      </x:c>
      <x:c r="B1686" s="11" t="n">
        <x:v>853</x:v>
      </x:c>
      <x:c r="C1686" s="18" t="n">
        <x:v>45794</x:v>
      </x:c>
      <x:c r="D1686" s="11" t="str">
        <x:v>2025-05</x:v>
      </x:c>
      <x:c r="E1686" s="11" t="str">
        <x:v>Central</x:v>
      </x:c>
      <x:c r="F1686" s="11" t="str">
        <x:v>Office Supplies</x:v>
      </x:c>
      <x:c r="G1686" s="11" t="str">
        <x:v>Storage box</x:v>
      </x:c>
      <x:c r="H1686" s="11" t="n">
        <x:v>1</x:v>
      </x:c>
      <x:c r="I1686" s="19" t="n">
        <x:v>0.1</x:v>
      </x:c>
      <x:c r="J1686" s="11" t="n">
        <x:v>0</x:v>
      </x:c>
      <x:c r="K1686" s="20" t="n">
        <x:v>26</x:v>
      </x:c>
      <x:c r="L1686" s="20" t="n">
        <x:v>2.6</x:v>
      </x:c>
      <x:c r="M1686" s="20" t="n">
        <x:v>12</x:v>
      </x:c>
      <x:c r="N1686" s="20" t="n">
        <x:f>IF(J1686=1,0,K1686-L1686)</x:f>
        <x:v>23.4</x:v>
      </x:c>
      <x:c r="O1686" s="20" t="n">
        <x:f>N1686-M1686</x:f>
        <x:v>11.399999999999999</x:v>
      </x:c>
    </x:row>
    <x:row r="1687" ht="22" customHeight="1">
      <x:c r="A1687" s="11" t="n">
        <x:v>1683</x:v>
      </x:c>
      <x:c r="B1687" s="11" t="n">
        <x:v>854</x:v>
      </x:c>
      <x:c r="C1687" s="18" t="n">
        <x:v>45952</x:v>
      </x:c>
      <x:c r="D1687" s="11" t="str">
        <x:v>2025-10</x:v>
      </x:c>
      <x:c r="E1687" s="11" t="str">
        <x:v>South</x:v>
      </x:c>
      <x:c r="F1687" s="11" t="str">
        <x:v>Office Supplies</x:v>
      </x:c>
      <x:c r="G1687" s="11" t="str">
        <x:v>Notebook pack</x:v>
      </x:c>
      <x:c r="H1687" s="11" t="n">
        <x:v>5</x:v>
      </x:c>
      <x:c r="I1687" s="19" t="n">
        <x:v>0</x:v>
      </x:c>
      <x:c r="J1687" s="11" t="n">
        <x:v>0</x:v>
      </x:c>
      <x:c r="K1687" s="20" t="n">
        <x:v>90</x:v>
      </x:c>
      <x:c r="L1687" s="20" t="n">
        <x:v>0</x:v>
      </x:c>
      <x:c r="M1687" s="20" t="n">
        <x:v>35</x:v>
      </x:c>
      <x:c r="N1687" s="20" t="n">
        <x:f>IF(J1687=1,0,K1687-L1687)</x:f>
        <x:v>90</x:v>
      </x:c>
      <x:c r="O1687" s="20" t="n">
        <x:f>N1687-M1687</x:f>
        <x:v>55</x:v>
      </x:c>
    </x:row>
    <x:row r="1688" ht="22" customHeight="1">
      <x:c r="A1688" s="11" t="n">
        <x:v>1684</x:v>
      </x:c>
      <x:c r="B1688" s="11" t="n">
        <x:v>854</x:v>
      </x:c>
      <x:c r="C1688" s="18" t="n">
        <x:v>45952</x:v>
      </x:c>
      <x:c r="D1688" s="11" t="str">
        <x:v>2025-10</x:v>
      </x:c>
      <x:c r="E1688" s="11" t="str">
        <x:v>South</x:v>
      </x:c>
      <x:c r="F1688" s="11" t="str">
        <x:v>Furniture</x:v>
      </x:c>
      <x:c r="G1688" s="11" t="str">
        <x:v>Chair</x:v>
      </x:c>
      <x:c r="H1688" s="11" t="n">
        <x:v>1</x:v>
      </x:c>
      <x:c r="I1688" s="19" t="n">
        <x:v>0</x:v>
      </x:c>
      <x:c r="J1688" s="11" t="n">
        <x:v>0</x:v>
      </x:c>
      <x:c r="K1688" s="20" t="n">
        <x:v>170</x:v>
      </x:c>
      <x:c r="L1688" s="20" t="n">
        <x:v>0</x:v>
      </x:c>
      <x:c r="M1688" s="20" t="n">
        <x:v>110</x:v>
      </x:c>
      <x:c r="N1688" s="20" t="n">
        <x:f>IF(J1688=1,0,K1688-L1688)</x:f>
        <x:v>170</x:v>
      </x:c>
      <x:c r="O1688" s="20" t="n">
        <x:f>N1688-M1688</x:f>
        <x:v>60</x:v>
      </x:c>
    </x:row>
    <x:row r="1689" ht="22" customHeight="1">
      <x:c r="A1689" s="11" t="n">
        <x:v>1685</x:v>
      </x:c>
      <x:c r="B1689" s="11" t="n">
        <x:v>854</x:v>
      </x:c>
      <x:c r="C1689" s="18" t="n">
        <x:v>45952</x:v>
      </x:c>
      <x:c r="D1689" s="11" t="str">
        <x:v>2025-10</x:v>
      </x:c>
      <x:c r="E1689" s="11" t="str">
        <x:v>South</x:v>
      </x:c>
      <x:c r="F1689" s="11" t="str">
        <x:v>Furniture</x:v>
      </x:c>
      <x:c r="G1689" s="11" t="str">
        <x:v>Desk</x:v>
      </x:c>
      <x:c r="H1689" s="11" t="n">
        <x:v>1</x:v>
      </x:c>
      <x:c r="I1689" s="19" t="n">
        <x:v>0</x:v>
      </x:c>
      <x:c r="J1689" s="11" t="n">
        <x:v>0</x:v>
      </x:c>
      <x:c r="K1689" s="20" t="n">
        <x:v>280</x:v>
      </x:c>
      <x:c r="L1689" s="20" t="n">
        <x:v>0</x:v>
      </x:c>
      <x:c r="M1689" s="20" t="n">
        <x:v>190</x:v>
      </x:c>
      <x:c r="N1689" s="20" t="n">
        <x:f>IF(J1689=1,0,K1689-L1689)</x:f>
        <x:v>280</x:v>
      </x:c>
      <x:c r="O1689" s="20" t="n">
        <x:f>N1689-M1689</x:f>
        <x:v>90</x:v>
      </x:c>
    </x:row>
    <x:row r="1690" ht="22" customHeight="1">
      <x:c r="A1690" s="11" t="n">
        <x:v>1686</x:v>
      </x:c>
      <x:c r="B1690" s="11" t="n">
        <x:v>855</x:v>
      </x:c>
      <x:c r="C1690" s="18" t="n">
        <x:v>45377</x:v>
      </x:c>
      <x:c r="D1690" s="11" t="str">
        <x:v>2024-03</x:v>
      </x:c>
      <x:c r="E1690" s="11" t="str">
        <x:v>West</x:v>
      </x:c>
      <x:c r="F1690" s="11" t="str">
        <x:v>Office Supplies</x:v>
      </x:c>
      <x:c r="G1690" s="11" t="str">
        <x:v>Notebook pack</x:v>
      </x:c>
      <x:c r="H1690" s="11" t="n">
        <x:v>1</x:v>
      </x:c>
      <x:c r="I1690" s="19" t="n">
        <x:v>0.15</x:v>
      </x:c>
      <x:c r="J1690" s="11" t="n">
        <x:v>0</x:v>
      </x:c>
      <x:c r="K1690" s="20" t="n">
        <x:v>18</x:v>
      </x:c>
      <x:c r="L1690" s="20" t="n">
        <x:v>2.7</x:v>
      </x:c>
      <x:c r="M1690" s="20" t="n">
        <x:v>7</x:v>
      </x:c>
      <x:c r="N1690" s="20" t="n">
        <x:f>IF(J1690=1,0,K1690-L1690)</x:f>
        <x:v>15.3</x:v>
      </x:c>
      <x:c r="O1690" s="20" t="n">
        <x:f>N1690-M1690</x:f>
        <x:v>8.3</x:v>
      </x:c>
    </x:row>
    <x:row r="1691" ht="22" customHeight="1">
      <x:c r="A1691" s="11" t="n">
        <x:v>1687</x:v>
      </x:c>
      <x:c r="B1691" s="11" t="n">
        <x:v>855</x:v>
      </x:c>
      <x:c r="C1691" s="18" t="n">
        <x:v>45377</x:v>
      </x:c>
      <x:c r="D1691" s="11" t="str">
        <x:v>2024-03</x:v>
      </x:c>
      <x:c r="E1691" s="11" t="str">
        <x:v>West</x:v>
      </x:c>
      <x:c r="F1691" s="11" t="str">
        <x:v>Furniture</x:v>
      </x:c>
      <x:c r="G1691" s="11" t="str">
        <x:v>Desk</x:v>
      </x:c>
      <x:c r="H1691" s="11" t="n">
        <x:v>3</x:v>
      </x:c>
      <x:c r="I1691" s="19" t="n">
        <x:v>0</x:v>
      </x:c>
      <x:c r="J1691" s="11" t="n">
        <x:v>0</x:v>
      </x:c>
      <x:c r="K1691" s="20" t="n">
        <x:v>840</x:v>
      </x:c>
      <x:c r="L1691" s="20" t="n">
        <x:v>0</x:v>
      </x:c>
      <x:c r="M1691" s="20" t="n">
        <x:v>570</x:v>
      </x:c>
      <x:c r="N1691" s="20" t="n">
        <x:f>IF(J1691=1,0,K1691-L1691)</x:f>
        <x:v>840</x:v>
      </x:c>
      <x:c r="O1691" s="20" t="n">
        <x:f>N1691-M1691</x:f>
        <x:v>270</x:v>
      </x:c>
    </x:row>
    <x:row r="1692" ht="22" customHeight="1">
      <x:c r="A1692" s="11" t="n">
        <x:v>1688</x:v>
      </x:c>
      <x:c r="B1692" s="11" t="n">
        <x:v>855</x:v>
      </x:c>
      <x:c r="C1692" s="18" t="n">
        <x:v>45377</x:v>
      </x:c>
      <x:c r="D1692" s="11" t="str">
        <x:v>2024-03</x:v>
      </x:c>
      <x:c r="E1692" s="11" t="str">
        <x:v>West</x:v>
      </x:c>
      <x:c r="F1692" s="11" t="str">
        <x:v>Office Supplies</x:v>
      </x:c>
      <x:c r="G1692" s="11" t="str">
        <x:v>Storage box</x:v>
      </x:c>
      <x:c r="H1692" s="11" t="n">
        <x:v>4</x:v>
      </x:c>
      <x:c r="I1692" s="19" t="n">
        <x:v>0.15</x:v>
      </x:c>
      <x:c r="J1692" s="11" t="n">
        <x:v>0</x:v>
      </x:c>
      <x:c r="K1692" s="20" t="n">
        <x:v>104</x:v>
      </x:c>
      <x:c r="L1692" s="20" t="n">
        <x:v>15.6</x:v>
      </x:c>
      <x:c r="M1692" s="20" t="n">
        <x:v>48</x:v>
      </x:c>
      <x:c r="N1692" s="20" t="n">
        <x:f>IF(J1692=1,0,K1692-L1692)</x:f>
        <x:v>88.4</x:v>
      </x:c>
      <x:c r="O1692" s="20" t="n">
        <x:f>N1692-M1692</x:f>
        <x:v>40.400000000000006</x:v>
      </x:c>
    </x:row>
    <x:row r="1693" ht="22" customHeight="1">
      <x:c r="A1693" s="11" t="n">
        <x:v>1689</x:v>
      </x:c>
      <x:c r="B1693" s="11" t="n">
        <x:v>856</x:v>
      </x:c>
      <x:c r="C1693" s="18" t="n">
        <x:v>45459</x:v>
      </x:c>
      <x:c r="D1693" s="11" t="str">
        <x:v>2024-06</x:v>
      </x:c>
      <x:c r="E1693" s="11" t="str">
        <x:v>East</x:v>
      </x:c>
      <x:c r="F1693" s="11" t="str">
        <x:v>Furniture</x:v>
      </x:c>
      <x:c r="G1693" s="11" t="str">
        <x:v>Chair</x:v>
      </x:c>
      <x:c r="H1693" s="11" t="n">
        <x:v>1</x:v>
      </x:c>
      <x:c r="I1693" s="19" t="n">
        <x:v>0.1</x:v>
      </x:c>
      <x:c r="J1693" s="11" t="n">
        <x:v>0</x:v>
      </x:c>
      <x:c r="K1693" s="20" t="n">
        <x:v>170</x:v>
      </x:c>
      <x:c r="L1693" s="20" t="n">
        <x:v>17</x:v>
      </x:c>
      <x:c r="M1693" s="20" t="n">
        <x:v>110</x:v>
      </x:c>
      <x:c r="N1693" s="20" t="n">
        <x:f>IF(J1693=1,0,K1693-L1693)</x:f>
        <x:v>153</x:v>
      </x:c>
      <x:c r="O1693" s="20" t="n">
        <x:f>N1693-M1693</x:f>
        <x:v>43</x:v>
      </x:c>
    </x:row>
    <x:row r="1694" ht="22" customHeight="1">
      <x:c r="A1694" s="11" t="n">
        <x:v>1690</x:v>
      </x:c>
      <x:c r="B1694" s="11" t="n">
        <x:v>856</x:v>
      </x:c>
      <x:c r="C1694" s="18" t="n">
        <x:v>45459</x:v>
      </x:c>
      <x:c r="D1694" s="11" t="str">
        <x:v>2024-06</x:v>
      </x:c>
      <x:c r="E1694" s="11" t="str">
        <x:v>East</x:v>
      </x:c>
      <x:c r="F1694" s="11" t="str">
        <x:v>Office Supplies</x:v>
      </x:c>
      <x:c r="G1694" s="11" t="str">
        <x:v>Storage box</x:v>
      </x:c>
      <x:c r="H1694" s="11" t="n">
        <x:v>1</x:v>
      </x:c>
      <x:c r="I1694" s="19" t="n">
        <x:v>0</x:v>
      </x:c>
      <x:c r="J1694" s="11" t="n">
        <x:v>0</x:v>
      </x:c>
      <x:c r="K1694" s="20" t="n">
        <x:v>26</x:v>
      </x:c>
      <x:c r="L1694" s="20" t="n">
        <x:v>0</x:v>
      </x:c>
      <x:c r="M1694" s="20" t="n">
        <x:v>12</x:v>
      </x:c>
      <x:c r="N1694" s="20" t="n">
        <x:f>IF(J1694=1,0,K1694-L1694)</x:f>
        <x:v>26</x:v>
      </x:c>
      <x:c r="O1694" s="20" t="n">
        <x:f>N1694-M1694</x:f>
        <x:v>14</x:v>
      </x:c>
    </x:row>
    <x:row r="1695" ht="22" customHeight="1">
      <x:c r="A1695" s="11" t="n">
        <x:v>1691</x:v>
      </x:c>
      <x:c r="B1695" s="11" t="n">
        <x:v>857</x:v>
      </x:c>
      <x:c r="C1695" s="18" t="n">
        <x:v>45397</x:v>
      </x:c>
      <x:c r="D1695" s="11" t="str">
        <x:v>2024-04</x:v>
      </x:c>
      <x:c r="E1695" s="11" t="str">
        <x:v>Central</x:v>
      </x:c>
      <x:c r="F1695" s="11" t="str">
        <x:v>Office Supplies</x:v>
      </x:c>
      <x:c r="G1695" s="11" t="str">
        <x:v>Notebook pack</x:v>
      </x:c>
      <x:c r="H1695" s="11" t="n">
        <x:v>4</x:v>
      </x:c>
      <x:c r="I1695" s="19" t="n">
        <x:v>0</x:v>
      </x:c>
      <x:c r="J1695" s="11" t="n">
        <x:v>1</x:v>
      </x:c>
      <x:c r="K1695" s="20" t="n">
        <x:v>72</x:v>
      </x:c>
      <x:c r="L1695" s="20" t="n">
        <x:v>0</x:v>
      </x:c>
      <x:c r="M1695" s="20" t="n">
        <x:v>0</x:v>
      </x:c>
      <x:c r="N1695" s="20" t="n">
        <x:f>IF(J1695=1,0,K1695-L1695)</x:f>
        <x:v>0</x:v>
      </x:c>
      <x:c r="O1695" s="20" t="n">
        <x:f>N1695-M1695</x:f>
        <x:v>0</x:v>
      </x:c>
    </x:row>
    <x:row r="1696" ht="22" customHeight="1">
      <x:c r="A1696" s="11" t="n">
        <x:v>1692</x:v>
      </x:c>
      <x:c r="B1696" s="11" t="n">
        <x:v>858</x:v>
      </x:c>
      <x:c r="C1696" s="18" t="n">
        <x:v>45521</x:v>
      </x:c>
      <x:c r="D1696" s="11" t="str">
        <x:v>2024-08</x:v>
      </x:c>
      <x:c r="E1696" s="11" t="str">
        <x:v>West</x:v>
      </x:c>
      <x:c r="F1696" s="11" t="str">
        <x:v>Technology</x:v>
      </x:c>
      <x:c r="G1696" s="11" t="str">
        <x:v>Keyboard</x:v>
      </x:c>
      <x:c r="H1696" s="11" t="n">
        <x:v>3</x:v>
      </x:c>
      <x:c r="I1696" s="19" t="n">
        <x:v>0.05</x:v>
      </x:c>
      <x:c r="J1696" s="11" t="n">
        <x:v>0</x:v>
      </x:c>
      <x:c r="K1696" s="20" t="n">
        <x:v>195</x:v>
      </x:c>
      <x:c r="L1696" s="20" t="n">
        <x:v>9.75</x:v>
      </x:c>
      <x:c r="M1696" s="20" t="n">
        <x:v>96</x:v>
      </x:c>
      <x:c r="N1696" s="20" t="n">
        <x:f>IF(J1696=1,0,K1696-L1696)</x:f>
        <x:v>185.25</x:v>
      </x:c>
      <x:c r="O1696" s="20" t="n">
        <x:f>N1696-M1696</x:f>
        <x:v>89.25</x:v>
      </x:c>
    </x:row>
    <x:row r="1697" ht="22" customHeight="1">
      <x:c r="A1697" s="11" t="n">
        <x:v>1693</x:v>
      </x:c>
      <x:c r="B1697" s="11" t="n">
        <x:v>858</x:v>
      </x:c>
      <x:c r="C1697" s="18" t="n">
        <x:v>45521</x:v>
      </x:c>
      <x:c r="D1697" s="11" t="str">
        <x:v>2024-08</x:v>
      </x:c>
      <x:c r="E1697" s="11" t="str">
        <x:v>West</x:v>
      </x:c>
      <x:c r="F1697" s="11" t="str">
        <x:v>Furniture</x:v>
      </x:c>
      <x:c r="G1697" s="11" t="str">
        <x:v>Chair</x:v>
      </x:c>
      <x:c r="H1697" s="11" t="n">
        <x:v>4</x:v>
      </x:c>
      <x:c r="I1697" s="19" t="n">
        <x:v>0</x:v>
      </x:c>
      <x:c r="J1697" s="11" t="n">
        <x:v>0</x:v>
      </x:c>
      <x:c r="K1697" s="20" t="n">
        <x:v>680</x:v>
      </x:c>
      <x:c r="L1697" s="20" t="n">
        <x:v>0</x:v>
      </x:c>
      <x:c r="M1697" s="20" t="n">
        <x:v>440</x:v>
      </x:c>
      <x:c r="N1697" s="20" t="n">
        <x:f>IF(J1697=1,0,K1697-L1697)</x:f>
        <x:v>680</x:v>
      </x:c>
      <x:c r="O1697" s="20" t="n">
        <x:f>N1697-M1697</x:f>
        <x:v>240</x:v>
      </x:c>
    </x:row>
    <x:row r="1698" ht="22" customHeight="1">
      <x:c r="A1698" s="11" t="n">
        <x:v>1694</x:v>
      </x:c>
      <x:c r="B1698" s="11" t="n">
        <x:v>859</x:v>
      </x:c>
      <x:c r="C1698" s="18" t="n">
        <x:v>45404</x:v>
      </x:c>
      <x:c r="D1698" s="11" t="str">
        <x:v>2024-04</x:v>
      </x:c>
      <x:c r="E1698" s="11" t="str">
        <x:v>West</x:v>
      </x:c>
      <x:c r="F1698" s="11" t="str">
        <x:v>Technology</x:v>
      </x:c>
      <x:c r="G1698" s="11" t="str">
        <x:v>Monitor</x:v>
      </x:c>
      <x:c r="H1698" s="11" t="n">
        <x:v>5</x:v>
      </x:c>
      <x:c r="I1698" s="19" t="n">
        <x:v>0.05</x:v>
      </x:c>
      <x:c r="J1698" s="11" t="n">
        <x:v>0</x:v>
      </x:c>
      <x:c r="K1698" s="20" t="n">
        <x:v>1200</x:v>
      </x:c>
      <x:c r="L1698" s="20" t="n">
        <x:v>60</x:v>
      </x:c>
      <x:c r="M1698" s="20" t="n">
        <x:v>800</x:v>
      </x:c>
      <x:c r="N1698" s="20" t="n">
        <x:f>IF(J1698=1,0,K1698-L1698)</x:f>
        <x:v>1140</x:v>
      </x:c>
      <x:c r="O1698" s="20" t="n">
        <x:f>N1698-M1698</x:f>
        <x:v>340</x:v>
      </x:c>
    </x:row>
    <x:row r="1699" ht="22" customHeight="1">
      <x:c r="A1699" s="11" t="n">
        <x:v>1695</x:v>
      </x:c>
      <x:c r="B1699" s="11" t="n">
        <x:v>859</x:v>
      </x:c>
      <x:c r="C1699" s="18" t="n">
        <x:v>45404</x:v>
      </x:c>
      <x:c r="D1699" s="11" t="str">
        <x:v>2024-04</x:v>
      </x:c>
      <x:c r="E1699" s="11" t="str">
        <x:v>West</x:v>
      </x:c>
      <x:c r="F1699" s="11" t="str">
        <x:v>Furniture</x:v>
      </x:c>
      <x:c r="G1699" s="11" t="str">
        <x:v>Desk</x:v>
      </x:c>
      <x:c r="H1699" s="11" t="n">
        <x:v>1</x:v>
      </x:c>
      <x:c r="I1699" s="19" t="n">
        <x:v>0</x:v>
      </x:c>
      <x:c r="J1699" s="11" t="n">
        <x:v>0</x:v>
      </x:c>
      <x:c r="K1699" s="20" t="n">
        <x:v>280</x:v>
      </x:c>
      <x:c r="L1699" s="20" t="n">
        <x:v>0</x:v>
      </x:c>
      <x:c r="M1699" s="20" t="n">
        <x:v>190</x:v>
      </x:c>
      <x:c r="N1699" s="20" t="n">
        <x:f>IF(J1699=1,0,K1699-L1699)</x:f>
        <x:v>280</x:v>
      </x:c>
      <x:c r="O1699" s="20" t="n">
        <x:f>N1699-M1699</x:f>
        <x:v>90</x:v>
      </x:c>
    </x:row>
    <x:row r="1700" ht="22" customHeight="1">
      <x:c r="A1700" s="11" t="n">
        <x:v>1696</x:v>
      </x:c>
      <x:c r="B1700" s="11" t="n">
        <x:v>860</x:v>
      </x:c>
      <x:c r="C1700" s="18" t="n">
        <x:v>45474</x:v>
      </x:c>
      <x:c r="D1700" s="11" t="str">
        <x:v>2024-07</x:v>
      </x:c>
      <x:c r="E1700" s="11" t="str">
        <x:v>South</x:v>
      </x:c>
      <x:c r="F1700" s="11" t="str">
        <x:v>Furniture</x:v>
      </x:c>
      <x:c r="G1700" s="11" t="str">
        <x:v>Chair</x:v>
      </x:c>
      <x:c r="H1700" s="11" t="n">
        <x:v>3</x:v>
      </x:c>
      <x:c r="I1700" s="19" t="n">
        <x:v>0.1</x:v>
      </x:c>
      <x:c r="J1700" s="11" t="n">
        <x:v>0</x:v>
      </x:c>
      <x:c r="K1700" s="20" t="n">
        <x:v>510</x:v>
      </x:c>
      <x:c r="L1700" s="20" t="n">
        <x:v>51</x:v>
      </x:c>
      <x:c r="M1700" s="20" t="n">
        <x:v>330</x:v>
      </x:c>
      <x:c r="N1700" s="20" t="n">
        <x:f>IF(J1700=1,0,K1700-L1700)</x:f>
        <x:v>459</x:v>
      </x:c>
      <x:c r="O1700" s="20" t="n">
        <x:f>N1700-M1700</x:f>
        <x:v>129</x:v>
      </x:c>
    </x:row>
    <x:row r="1701" ht="22" customHeight="1">
      <x:c r="A1701" s="11" t="n">
        <x:v>1697</x:v>
      </x:c>
      <x:c r="B1701" s="11" t="n">
        <x:v>860</x:v>
      </x:c>
      <x:c r="C1701" s="18" t="n">
        <x:v>45474</x:v>
      </x:c>
      <x:c r="D1701" s="11" t="str">
        <x:v>2024-07</x:v>
      </x:c>
      <x:c r="E1701" s="11" t="str">
        <x:v>South</x:v>
      </x:c>
      <x:c r="F1701" s="11" t="str">
        <x:v>Technology</x:v>
      </x:c>
      <x:c r="G1701" s="11" t="str">
        <x:v>Keyboard</x:v>
      </x:c>
      <x:c r="H1701" s="11" t="n">
        <x:v>1</x:v>
      </x:c>
      <x:c r="I1701" s="19" t="n">
        <x:v>0.05</x:v>
      </x:c>
      <x:c r="J1701" s="11" t="n">
        <x:v>0</x:v>
      </x:c>
      <x:c r="K1701" s="20" t="n">
        <x:v>65</x:v>
      </x:c>
      <x:c r="L1701" s="20" t="n">
        <x:v>3.25</x:v>
      </x:c>
      <x:c r="M1701" s="20" t="n">
        <x:v>32</x:v>
      </x:c>
      <x:c r="N1701" s="20" t="n">
        <x:f>IF(J1701=1,0,K1701-L1701)</x:f>
        <x:v>61.75</x:v>
      </x:c>
      <x:c r="O1701" s="20" t="n">
        <x:f>N1701-M1701</x:f>
        <x:v>29.75</x:v>
      </x:c>
    </x:row>
    <x:row r="1702" ht="22" customHeight="1">
      <x:c r="A1702" s="11" t="n">
        <x:v>1698</x:v>
      </x:c>
      <x:c r="B1702" s="11" t="n">
        <x:v>860</x:v>
      </x:c>
      <x:c r="C1702" s="18" t="n">
        <x:v>45474</x:v>
      </x:c>
      <x:c r="D1702" s="11" t="str">
        <x:v>2024-07</x:v>
      </x:c>
      <x:c r="E1702" s="11" t="str">
        <x:v>South</x:v>
      </x:c>
      <x:c r="F1702" s="11" t="str">
        <x:v>Office Supplies</x:v>
      </x:c>
      <x:c r="G1702" s="11" t="str">
        <x:v>Storage box</x:v>
      </x:c>
      <x:c r="H1702" s="11" t="n">
        <x:v>3</x:v>
      </x:c>
      <x:c r="I1702" s="19" t="n">
        <x:v>0.05</x:v>
      </x:c>
      <x:c r="J1702" s="11" t="n">
        <x:v>0</x:v>
      </x:c>
      <x:c r="K1702" s="20" t="n">
        <x:v>78</x:v>
      </x:c>
      <x:c r="L1702" s="20" t="n">
        <x:v>3.9</x:v>
      </x:c>
      <x:c r="M1702" s="20" t="n">
        <x:v>36</x:v>
      </x:c>
      <x:c r="N1702" s="20" t="n">
        <x:f>IF(J1702=1,0,K1702-L1702)</x:f>
        <x:v>74.1</x:v>
      </x:c>
      <x:c r="O1702" s="20" t="n">
        <x:f>N1702-M1702</x:f>
        <x:v>38.099999999999994</x:v>
      </x:c>
    </x:row>
    <x:row r="1703" ht="22" customHeight="1">
      <x:c r="A1703" s="11" t="n">
        <x:v>1699</x:v>
      </x:c>
      <x:c r="B1703" s="11" t="n">
        <x:v>861</x:v>
      </x:c>
      <x:c r="C1703" s="18" t="n">
        <x:v>46020</x:v>
      </x:c>
      <x:c r="D1703" s="11" t="str">
        <x:v>2025-12</x:v>
      </x:c>
      <x:c r="E1703" s="11" t="str">
        <x:v>South</x:v>
      </x:c>
      <x:c r="F1703" s="11" t="str">
        <x:v>Office Supplies</x:v>
      </x:c>
      <x:c r="G1703" s="11" t="str">
        <x:v>Storage box</x:v>
      </x:c>
      <x:c r="H1703" s="11" t="n">
        <x:v>2</x:v>
      </x:c>
      <x:c r="I1703" s="19" t="n">
        <x:v>0.05</x:v>
      </x:c>
      <x:c r="J1703" s="11" t="n">
        <x:v>0</x:v>
      </x:c>
      <x:c r="K1703" s="20" t="n">
        <x:v>52</x:v>
      </x:c>
      <x:c r="L1703" s="20" t="n">
        <x:v>2.6</x:v>
      </x:c>
      <x:c r="M1703" s="20" t="n">
        <x:v>24</x:v>
      </x:c>
      <x:c r="N1703" s="20" t="n">
        <x:f>IF(J1703=1,0,K1703-L1703)</x:f>
        <x:v>49.4</x:v>
      </x:c>
      <x:c r="O1703" s="20" t="n">
        <x:f>N1703-M1703</x:f>
        <x:v>25.4</x:v>
      </x:c>
    </x:row>
    <x:row r="1704" ht="22" customHeight="1">
      <x:c r="A1704" s="11" t="n">
        <x:v>1700</x:v>
      </x:c>
      <x:c r="B1704" s="11" t="n">
        <x:v>862</x:v>
      </x:c>
      <x:c r="C1704" s="18" t="n">
        <x:v>45749</x:v>
      </x:c>
      <x:c r="D1704" s="11" t="str">
        <x:v>2025-04</x:v>
      </x:c>
      <x:c r="E1704" s="11" t="str">
        <x:v>West</x:v>
      </x:c>
      <x:c r="F1704" s="11" t="str">
        <x:v>Furniture</x:v>
      </x:c>
      <x:c r="G1704" s="11" t="str">
        <x:v>Desk</x:v>
      </x:c>
      <x:c r="H1704" s="11" t="n">
        <x:v>5</x:v>
      </x:c>
      <x:c r="I1704" s="19" t="n">
        <x:v>0.25</x:v>
      </x:c>
      <x:c r="J1704" s="11" t="n">
        <x:v>0</x:v>
      </x:c>
      <x:c r="K1704" s="20" t="n">
        <x:v>1400</x:v>
      </x:c>
      <x:c r="L1704" s="20" t="n">
        <x:v>350</x:v>
      </x:c>
      <x:c r="M1704" s="20" t="n">
        <x:v>950</x:v>
      </x:c>
      <x:c r="N1704" s="20" t="n">
        <x:f>IF(J1704=1,0,K1704-L1704)</x:f>
        <x:v>1050</x:v>
      </x:c>
      <x:c r="O1704" s="20" t="n">
        <x:f>N1704-M1704</x:f>
        <x:v>100</x:v>
      </x:c>
    </x:row>
    <x:row r="1705" ht="22" customHeight="1">
      <x:c r="A1705" s="11" t="n">
        <x:v>1701</x:v>
      </x:c>
      <x:c r="B1705" s="11" t="n">
        <x:v>863</x:v>
      </x:c>
      <x:c r="C1705" s="18" t="n">
        <x:v>45577</x:v>
      </x:c>
      <x:c r="D1705" s="11" t="str">
        <x:v>2024-10</x:v>
      </x:c>
      <x:c r="E1705" s="11" t="str">
        <x:v>East</x:v>
      </x:c>
      <x:c r="F1705" s="11" t="str">
        <x:v>Furniture</x:v>
      </x:c>
      <x:c r="G1705" s="11" t="str">
        <x:v>Chair</x:v>
      </x:c>
      <x:c r="H1705" s="11" t="n">
        <x:v>4</x:v>
      </x:c>
      <x:c r="I1705" s="19" t="n">
        <x:v>0.15</x:v>
      </x:c>
      <x:c r="J1705" s="11" t="n">
        <x:v>0</x:v>
      </x:c>
      <x:c r="K1705" s="20" t="n">
        <x:v>680</x:v>
      </x:c>
      <x:c r="L1705" s="20" t="n">
        <x:v>102</x:v>
      </x:c>
      <x:c r="M1705" s="20" t="n">
        <x:v>440</x:v>
      </x:c>
      <x:c r="N1705" s="20" t="n">
        <x:f>IF(J1705=1,0,K1705-L1705)</x:f>
        <x:v>578</x:v>
      </x:c>
      <x:c r="O1705" s="20" t="n">
        <x:f>N1705-M1705</x:f>
        <x:v>138</x:v>
      </x:c>
    </x:row>
    <x:row r="1706" ht="22" customHeight="1">
      <x:c r="A1706" s="11" t="n">
        <x:v>1702</x:v>
      </x:c>
      <x:c r="B1706" s="11" t="n">
        <x:v>863</x:v>
      </x:c>
      <x:c r="C1706" s="18" t="n">
        <x:v>45577</x:v>
      </x:c>
      <x:c r="D1706" s="11" t="str">
        <x:v>2024-10</x:v>
      </x:c>
      <x:c r="E1706" s="11" t="str">
        <x:v>East</x:v>
      </x:c>
      <x:c r="F1706" s="11" t="str">
        <x:v>Office Supplies</x:v>
      </x:c>
      <x:c r="G1706" s="11" t="str">
        <x:v>Storage box</x:v>
      </x:c>
      <x:c r="H1706" s="11" t="n">
        <x:v>4</x:v>
      </x:c>
      <x:c r="I1706" s="19" t="n">
        <x:v>0.1</x:v>
      </x:c>
      <x:c r="J1706" s="11" t="n">
        <x:v>0</x:v>
      </x:c>
      <x:c r="K1706" s="20" t="n">
        <x:v>104</x:v>
      </x:c>
      <x:c r="L1706" s="20" t="n">
        <x:v>10.4</x:v>
      </x:c>
      <x:c r="M1706" s="20" t="n">
        <x:v>48</x:v>
      </x:c>
      <x:c r="N1706" s="20" t="n">
        <x:f>IF(J1706=1,0,K1706-L1706)</x:f>
        <x:v>93.6</x:v>
      </x:c>
      <x:c r="O1706" s="20" t="n">
        <x:f>N1706-M1706</x:f>
        <x:v>45.599999999999994</x:v>
      </x:c>
    </x:row>
    <x:row r="1707" ht="22" customHeight="1">
      <x:c r="A1707" s="11" t="n">
        <x:v>1703</x:v>
      </x:c>
      <x:c r="B1707" s="11" t="n">
        <x:v>864</x:v>
      </x:c>
      <x:c r="C1707" s="18" t="n">
        <x:v>45715</x:v>
      </x:c>
      <x:c r="D1707" s="11" t="str">
        <x:v>2025-02</x:v>
      </x:c>
      <x:c r="E1707" s="11" t="str">
        <x:v>Central</x:v>
      </x:c>
      <x:c r="F1707" s="11" t="str">
        <x:v>Office Supplies</x:v>
      </x:c>
      <x:c r="G1707" s="11" t="str">
        <x:v>Storage box</x:v>
      </x:c>
      <x:c r="H1707" s="11" t="n">
        <x:v>2</x:v>
      </x:c>
      <x:c r="I1707" s="19" t="n">
        <x:v>0.1</x:v>
      </x:c>
      <x:c r="J1707" s="11" t="n">
        <x:v>0</x:v>
      </x:c>
      <x:c r="K1707" s="20" t="n">
        <x:v>52</x:v>
      </x:c>
      <x:c r="L1707" s="20" t="n">
        <x:v>5.2</x:v>
      </x:c>
      <x:c r="M1707" s="20" t="n">
        <x:v>24</x:v>
      </x:c>
      <x:c r="N1707" s="20" t="n">
        <x:f>IF(J1707=1,0,K1707-L1707)</x:f>
        <x:v>46.8</x:v>
      </x:c>
      <x:c r="O1707" s="20" t="n">
        <x:f>N1707-M1707</x:f>
        <x:v>22.799999999999997</x:v>
      </x:c>
    </x:row>
    <x:row r="1708" ht="22" customHeight="1">
      <x:c r="A1708" s="11" t="n">
        <x:v>1704</x:v>
      </x:c>
      <x:c r="B1708" s="11" t="n">
        <x:v>865</x:v>
      </x:c>
      <x:c r="C1708" s="18" t="n">
        <x:v>45801</x:v>
      </x:c>
      <x:c r="D1708" s="11" t="str">
        <x:v>2025-05</x:v>
      </x:c>
      <x:c r="E1708" s="11" t="str">
        <x:v>Central</x:v>
      </x:c>
      <x:c r="F1708" s="11" t="str">
        <x:v>Office Supplies</x:v>
      </x:c>
      <x:c r="G1708" s="11" t="str">
        <x:v>Notebook pack</x:v>
      </x:c>
      <x:c r="H1708" s="11" t="n">
        <x:v>1</x:v>
      </x:c>
      <x:c r="I1708" s="19" t="n">
        <x:v>0.15</x:v>
      </x:c>
      <x:c r="J1708" s="11" t="n">
        <x:v>0</x:v>
      </x:c>
      <x:c r="K1708" s="20" t="n">
        <x:v>18</x:v>
      </x:c>
      <x:c r="L1708" s="20" t="n">
        <x:v>2.7</x:v>
      </x:c>
      <x:c r="M1708" s="20" t="n">
        <x:v>7</x:v>
      </x:c>
      <x:c r="N1708" s="20" t="n">
        <x:f>IF(J1708=1,0,K1708-L1708)</x:f>
        <x:v>15.3</x:v>
      </x:c>
      <x:c r="O1708" s="20" t="n">
        <x:f>N1708-M1708</x:f>
        <x:v>8.3</x:v>
      </x:c>
    </x:row>
    <x:row r="1709" ht="22" customHeight="1">
      <x:c r="A1709" s="11" t="n">
        <x:v>1705</x:v>
      </x:c>
      <x:c r="B1709" s="11" t="n">
        <x:v>865</x:v>
      </x:c>
      <x:c r="C1709" s="18" t="n">
        <x:v>45801</x:v>
      </x:c>
      <x:c r="D1709" s="11" t="str">
        <x:v>2025-05</x:v>
      </x:c>
      <x:c r="E1709" s="11" t="str">
        <x:v>Central</x:v>
      </x:c>
      <x:c r="F1709" s="11" t="str">
        <x:v>Furniture</x:v>
      </x:c>
      <x:c r="G1709" s="11" t="str">
        <x:v>Chair</x:v>
      </x:c>
      <x:c r="H1709" s="11" t="n">
        <x:v>5</x:v>
      </x:c>
      <x:c r="I1709" s="19" t="n">
        <x:v>0.05</x:v>
      </x:c>
      <x:c r="J1709" s="11" t="n">
        <x:v>0</x:v>
      </x:c>
      <x:c r="K1709" s="20" t="n">
        <x:v>850</x:v>
      </x:c>
      <x:c r="L1709" s="20" t="n">
        <x:v>42.5</x:v>
      </x:c>
      <x:c r="M1709" s="20" t="n">
        <x:v>550</x:v>
      </x:c>
      <x:c r="N1709" s="20" t="n">
        <x:f>IF(J1709=1,0,K1709-L1709)</x:f>
        <x:v>807.5</x:v>
      </x:c>
      <x:c r="O1709" s="20" t="n">
        <x:f>N1709-M1709</x:f>
        <x:v>257.5</x:v>
      </x:c>
    </x:row>
    <x:row r="1710" ht="22" customHeight="1">
      <x:c r="A1710" s="11" t="n">
        <x:v>1706</x:v>
      </x:c>
      <x:c r="B1710" s="11" t="n">
        <x:v>865</x:v>
      </x:c>
      <x:c r="C1710" s="18" t="n">
        <x:v>45801</x:v>
      </x:c>
      <x:c r="D1710" s="11" t="str">
        <x:v>2025-05</x:v>
      </x:c>
      <x:c r="E1710" s="11" t="str">
        <x:v>Central</x:v>
      </x:c>
      <x:c r="F1710" s="11" t="str">
        <x:v>Technology</x:v>
      </x:c>
      <x:c r="G1710" s="11" t="str">
        <x:v>Keyboard</x:v>
      </x:c>
      <x:c r="H1710" s="11" t="n">
        <x:v>2</x:v>
      </x:c>
      <x:c r="I1710" s="19" t="n">
        <x:v>0.05</x:v>
      </x:c>
      <x:c r="J1710" s="11" t="n">
        <x:v>1</x:v>
      </x:c>
      <x:c r="K1710" s="20" t="n">
        <x:v>130</x:v>
      </x:c>
      <x:c r="L1710" s="20" t="n">
        <x:v>6.5</x:v>
      </x:c>
      <x:c r="M1710" s="20" t="n">
        <x:v>0</x:v>
      </x:c>
      <x:c r="N1710" s="20" t="n">
        <x:f>IF(J1710=1,0,K1710-L1710)</x:f>
        <x:v>0</x:v>
      </x:c>
      <x:c r="O1710" s="20" t="n">
        <x:f>N1710-M1710</x:f>
        <x:v>0</x:v>
      </x:c>
    </x:row>
    <x:row r="1711" ht="22" customHeight="1">
      <x:c r="A1711" s="11" t="n">
        <x:v>1707</x:v>
      </x:c>
      <x:c r="B1711" s="11" t="n">
        <x:v>866</x:v>
      </x:c>
      <x:c r="C1711" s="18" t="n">
        <x:v>45309</x:v>
      </x:c>
      <x:c r="D1711" s="11" t="str">
        <x:v>2024-01</x:v>
      </x:c>
      <x:c r="E1711" s="11" t="str">
        <x:v>South</x:v>
      </x:c>
      <x:c r="F1711" s="11" t="str">
        <x:v>Furniture</x:v>
      </x:c>
      <x:c r="G1711" s="11" t="str">
        <x:v>Desk</x:v>
      </x:c>
      <x:c r="H1711" s="11" t="n">
        <x:v>1</x:v>
      </x:c>
      <x:c r="I1711" s="19" t="n">
        <x:v>0.15</x:v>
      </x:c>
      <x:c r="J1711" s="11" t="n">
        <x:v>0</x:v>
      </x:c>
      <x:c r="K1711" s="20" t="n">
        <x:v>280</x:v>
      </x:c>
      <x:c r="L1711" s="20" t="n">
        <x:v>42</x:v>
      </x:c>
      <x:c r="M1711" s="20" t="n">
        <x:v>190</x:v>
      </x:c>
      <x:c r="N1711" s="20" t="n">
        <x:f>IF(J1711=1,0,K1711-L1711)</x:f>
        <x:v>238</x:v>
      </x:c>
      <x:c r="O1711" s="20" t="n">
        <x:f>N1711-M1711</x:f>
        <x:v>48</x:v>
      </x:c>
    </x:row>
    <x:row r="1712" ht="22" customHeight="1">
      <x:c r="A1712" s="11" t="n">
        <x:v>1708</x:v>
      </x:c>
      <x:c r="B1712" s="11" t="n">
        <x:v>867</x:v>
      </x:c>
      <x:c r="C1712" s="18" t="n">
        <x:v>45434</x:v>
      </x:c>
      <x:c r="D1712" s="11" t="str">
        <x:v>2024-05</x:v>
      </x:c>
      <x:c r="E1712" s="11" t="str">
        <x:v>West</x:v>
      </x:c>
      <x:c r="F1712" s="11" t="str">
        <x:v>Office Supplies</x:v>
      </x:c>
      <x:c r="G1712" s="11" t="str">
        <x:v>Notebook pack</x:v>
      </x:c>
      <x:c r="H1712" s="11" t="n">
        <x:v>4</x:v>
      </x:c>
      <x:c r="I1712" s="19" t="n">
        <x:v>0</x:v>
      </x:c>
      <x:c r="J1712" s="11" t="n">
        <x:v>0</x:v>
      </x:c>
      <x:c r="K1712" s="20" t="n">
        <x:v>72</x:v>
      </x:c>
      <x:c r="L1712" s="20" t="n">
        <x:v>0</x:v>
      </x:c>
      <x:c r="M1712" s="20" t="n">
        <x:v>28</x:v>
      </x:c>
      <x:c r="N1712" s="20" t="n">
        <x:f>IF(J1712=1,0,K1712-L1712)</x:f>
        <x:v>72</x:v>
      </x:c>
      <x:c r="O1712" s="20" t="n">
        <x:f>N1712-M1712</x:f>
        <x:v>44</x:v>
      </x:c>
    </x:row>
    <x:row r="1713" ht="22" customHeight="1">
      <x:c r="A1713" s="11" t="n">
        <x:v>1709</x:v>
      </x:c>
      <x:c r="B1713" s="11" t="n">
        <x:v>868</x:v>
      </x:c>
      <x:c r="C1713" s="18" t="n">
        <x:v>45521</x:v>
      </x:c>
      <x:c r="D1713" s="11" t="str">
        <x:v>2024-08</x:v>
      </x:c>
      <x:c r="E1713" s="11" t="str">
        <x:v>East</x:v>
      </x:c>
      <x:c r="F1713" s="11" t="str">
        <x:v>Office Supplies</x:v>
      </x:c>
      <x:c r="G1713" s="11" t="str">
        <x:v>Storage box</x:v>
      </x:c>
      <x:c r="H1713" s="11" t="n">
        <x:v>2</x:v>
      </x:c>
      <x:c r="I1713" s="19" t="n">
        <x:v>0.1</x:v>
      </x:c>
      <x:c r="J1713" s="11" t="n">
        <x:v>0</x:v>
      </x:c>
      <x:c r="K1713" s="20" t="n">
        <x:v>52</x:v>
      </x:c>
      <x:c r="L1713" s="20" t="n">
        <x:v>5.2</x:v>
      </x:c>
      <x:c r="M1713" s="20" t="n">
        <x:v>24</x:v>
      </x:c>
      <x:c r="N1713" s="20" t="n">
        <x:f>IF(J1713=1,0,K1713-L1713)</x:f>
        <x:v>46.8</x:v>
      </x:c>
      <x:c r="O1713" s="20" t="n">
        <x:f>N1713-M1713</x:f>
        <x:v>22.799999999999997</x:v>
      </x:c>
    </x:row>
    <x:row r="1714" ht="22" customHeight="1">
      <x:c r="A1714" s="11" t="n">
        <x:v>1710</x:v>
      </x:c>
      <x:c r="B1714" s="11" t="n">
        <x:v>869</x:v>
      </x:c>
      <x:c r="C1714" s="18" t="n">
        <x:v>46004</x:v>
      </x:c>
      <x:c r="D1714" s="11" t="str">
        <x:v>2025-12</x:v>
      </x:c>
      <x:c r="E1714" s="11" t="str">
        <x:v>South</x:v>
      </x:c>
      <x:c r="F1714" s="11" t="str">
        <x:v>Office Supplies</x:v>
      </x:c>
      <x:c r="G1714" s="11" t="str">
        <x:v>Storage box</x:v>
      </x:c>
      <x:c r="H1714" s="11" t="n">
        <x:v>1</x:v>
      </x:c>
      <x:c r="I1714" s="19" t="n">
        <x:v>0.15</x:v>
      </x:c>
      <x:c r="J1714" s="11" t="n">
        <x:v>0</x:v>
      </x:c>
      <x:c r="K1714" s="20" t="n">
        <x:v>26</x:v>
      </x:c>
      <x:c r="L1714" s="20" t="n">
        <x:v>3.9</x:v>
      </x:c>
      <x:c r="M1714" s="20" t="n">
        <x:v>12</x:v>
      </x:c>
      <x:c r="N1714" s="20" t="n">
        <x:f>IF(J1714=1,0,K1714-L1714)</x:f>
        <x:v>22.1</x:v>
      </x:c>
      <x:c r="O1714" s="20" t="n">
        <x:f>N1714-M1714</x:f>
        <x:v>10.100000000000001</x:v>
      </x:c>
    </x:row>
    <x:row r="1715" ht="22" customHeight="1">
      <x:c r="A1715" s="11" t="n">
        <x:v>1711</x:v>
      </x:c>
      <x:c r="B1715" s="11" t="n">
        <x:v>870</x:v>
      </x:c>
      <x:c r="C1715" s="18" t="n">
        <x:v>45900</x:v>
      </x:c>
      <x:c r="D1715" s="11" t="str">
        <x:v>2025-08</x:v>
      </x:c>
      <x:c r="E1715" s="11" t="str">
        <x:v>South</x:v>
      </x:c>
      <x:c r="F1715" s="11" t="str">
        <x:v>Technology</x:v>
      </x:c>
      <x:c r="G1715" s="11" t="str">
        <x:v>Monitor</x:v>
      </x:c>
      <x:c r="H1715" s="11" t="n">
        <x:v>2</x:v>
      </x:c>
      <x:c r="I1715" s="19" t="n">
        <x:v>0</x:v>
      </x:c>
      <x:c r="J1715" s="11" t="n">
        <x:v>0</x:v>
      </x:c>
      <x:c r="K1715" s="20" t="n">
        <x:v>480</x:v>
      </x:c>
      <x:c r="L1715" s="20" t="n">
        <x:v>0</x:v>
      </x:c>
      <x:c r="M1715" s="20" t="n">
        <x:v>320</x:v>
      </x:c>
      <x:c r="N1715" s="20" t="n">
        <x:f>IF(J1715=1,0,K1715-L1715)</x:f>
        <x:v>480</x:v>
      </x:c>
      <x:c r="O1715" s="20" t="n">
        <x:f>N1715-M1715</x:f>
        <x:v>160</x:v>
      </x:c>
    </x:row>
    <x:row r="1716" ht="22" customHeight="1">
      <x:c r="A1716" s="11" t="n">
        <x:v>1712</x:v>
      </x:c>
      <x:c r="B1716" s="11" t="n">
        <x:v>871</x:v>
      </x:c>
      <x:c r="C1716" s="18" t="n">
        <x:v>45304</x:v>
      </x:c>
      <x:c r="D1716" s="11" t="str">
        <x:v>2024-01</x:v>
      </x:c>
      <x:c r="E1716" s="11" t="str">
        <x:v>East</x:v>
      </x:c>
      <x:c r="F1716" s="11" t="str">
        <x:v>Furniture</x:v>
      </x:c>
      <x:c r="G1716" s="11" t="str">
        <x:v>Chair</x:v>
      </x:c>
      <x:c r="H1716" s="11" t="n">
        <x:v>4</x:v>
      </x:c>
      <x:c r="I1716" s="19" t="n">
        <x:v>0</x:v>
      </x:c>
      <x:c r="J1716" s="11" t="n">
        <x:v>0</x:v>
      </x:c>
      <x:c r="K1716" s="20" t="n">
        <x:v>680</x:v>
      </x:c>
      <x:c r="L1716" s="20" t="n">
        <x:v>0</x:v>
      </x:c>
      <x:c r="M1716" s="20" t="n">
        <x:v>440</x:v>
      </x:c>
      <x:c r="N1716" s="20" t="n">
        <x:f>IF(J1716=1,0,K1716-L1716)</x:f>
        <x:v>680</x:v>
      </x:c>
      <x:c r="O1716" s="20" t="n">
        <x:f>N1716-M1716</x:f>
        <x:v>240</x:v>
      </x:c>
    </x:row>
    <x:row r="1717" ht="22" customHeight="1">
      <x:c r="A1717" s="11" t="n">
        <x:v>1713</x:v>
      </x:c>
      <x:c r="B1717" s="11" t="n">
        <x:v>872</x:v>
      </x:c>
      <x:c r="C1717" s="18" t="n">
        <x:v>46007</x:v>
      </x:c>
      <x:c r="D1717" s="11" t="str">
        <x:v>2025-12</x:v>
      </x:c>
      <x:c r="E1717" s="11" t="str">
        <x:v>Central</x:v>
      </x:c>
      <x:c r="F1717" s="11" t="str">
        <x:v>Office Supplies</x:v>
      </x:c>
      <x:c r="G1717" s="11" t="str">
        <x:v>Storage box</x:v>
      </x:c>
      <x:c r="H1717" s="11" t="n">
        <x:v>4</x:v>
      </x:c>
      <x:c r="I1717" s="19" t="n">
        <x:v>0</x:v>
      </x:c>
      <x:c r="J1717" s="11" t="n">
        <x:v>0</x:v>
      </x:c>
      <x:c r="K1717" s="20" t="n">
        <x:v>104</x:v>
      </x:c>
      <x:c r="L1717" s="20" t="n">
        <x:v>0</x:v>
      </x:c>
      <x:c r="M1717" s="20" t="n">
        <x:v>48</x:v>
      </x:c>
      <x:c r="N1717" s="20" t="n">
        <x:f>IF(J1717=1,0,K1717-L1717)</x:f>
        <x:v>104</x:v>
      </x:c>
      <x:c r="O1717" s="20" t="n">
        <x:f>N1717-M1717</x:f>
        <x:v>56</x:v>
      </x:c>
    </x:row>
    <x:row r="1718" ht="22" customHeight="1">
      <x:c r="A1718" s="11" t="n">
        <x:v>1714</x:v>
      </x:c>
      <x:c r="B1718" s="11" t="n">
        <x:v>872</x:v>
      </x:c>
      <x:c r="C1718" s="18" t="n">
        <x:v>46007</x:v>
      </x:c>
      <x:c r="D1718" s="11" t="str">
        <x:v>2025-12</x:v>
      </x:c>
      <x:c r="E1718" s="11" t="str">
        <x:v>Central</x:v>
      </x:c>
      <x:c r="F1718" s="11" t="str">
        <x:v>Technology</x:v>
      </x:c>
      <x:c r="G1718" s="11" t="str">
        <x:v>Monitor</x:v>
      </x:c>
      <x:c r="H1718" s="11" t="n">
        <x:v>2</x:v>
      </x:c>
      <x:c r="I1718" s="19" t="n">
        <x:v>0</x:v>
      </x:c>
      <x:c r="J1718" s="11" t="n">
        <x:v>0</x:v>
      </x:c>
      <x:c r="K1718" s="20" t="n">
        <x:v>480</x:v>
      </x:c>
      <x:c r="L1718" s="20" t="n">
        <x:v>0</x:v>
      </x:c>
      <x:c r="M1718" s="20" t="n">
        <x:v>320</x:v>
      </x:c>
      <x:c r="N1718" s="20" t="n">
        <x:f>IF(J1718=1,0,K1718-L1718)</x:f>
        <x:v>480</x:v>
      </x:c>
      <x:c r="O1718" s="20" t="n">
        <x:f>N1718-M1718</x:f>
        <x:v>160</x:v>
      </x:c>
    </x:row>
    <x:row r="1719" ht="22" customHeight="1">
      <x:c r="A1719" s="11" t="n">
        <x:v>1715</x:v>
      </x:c>
      <x:c r="B1719" s="11" t="n">
        <x:v>873</x:v>
      </x:c>
      <x:c r="C1719" s="18" t="n">
        <x:v>45324</x:v>
      </x:c>
      <x:c r="D1719" s="11" t="str">
        <x:v>2024-02</x:v>
      </x:c>
      <x:c r="E1719" s="11" t="str">
        <x:v>Central</x:v>
      </x:c>
      <x:c r="F1719" s="11" t="str">
        <x:v>Furniture</x:v>
      </x:c>
      <x:c r="G1719" s="11" t="str">
        <x:v>Chair</x:v>
      </x:c>
      <x:c r="H1719" s="11" t="n">
        <x:v>4</x:v>
      </x:c>
      <x:c r="I1719" s="19" t="n">
        <x:v>0.35</x:v>
      </x:c>
      <x:c r="J1719" s="11" t="n">
        <x:v>0</x:v>
      </x:c>
      <x:c r="K1719" s="20" t="n">
        <x:v>680</x:v>
      </x:c>
      <x:c r="L1719" s="20" t="n">
        <x:v>238</x:v>
      </x:c>
      <x:c r="M1719" s="20" t="n">
        <x:v>440</x:v>
      </x:c>
      <x:c r="N1719" s="20" t="n">
        <x:f>IF(J1719=1,0,K1719-L1719)</x:f>
        <x:v>442</x:v>
      </x:c>
      <x:c r="O1719" s="20" t="n">
        <x:f>N1719-M1719</x:f>
        <x:v>2</x:v>
      </x:c>
    </x:row>
    <x:row r="1720" ht="22" customHeight="1">
      <x:c r="A1720" s="11" t="n">
        <x:v>1716</x:v>
      </x:c>
      <x:c r="B1720" s="11" t="n">
        <x:v>873</x:v>
      </x:c>
      <x:c r="C1720" s="18" t="n">
        <x:v>45324</x:v>
      </x:c>
      <x:c r="D1720" s="11" t="str">
        <x:v>2024-02</x:v>
      </x:c>
      <x:c r="E1720" s="11" t="str">
        <x:v>Central</x:v>
      </x:c>
      <x:c r="F1720" s="11" t="str">
        <x:v>Furniture</x:v>
      </x:c>
      <x:c r="G1720" s="11" t="str">
        <x:v>Desk</x:v>
      </x:c>
      <x:c r="H1720" s="11" t="n">
        <x:v>3</x:v>
      </x:c>
      <x:c r="I1720" s="19" t="n">
        <x:v>0.1</x:v>
      </x:c>
      <x:c r="J1720" s="11" t="n">
        <x:v>0</x:v>
      </x:c>
      <x:c r="K1720" s="20" t="n">
        <x:v>840</x:v>
      </x:c>
      <x:c r="L1720" s="20" t="n">
        <x:v>84</x:v>
      </x:c>
      <x:c r="M1720" s="20" t="n">
        <x:v>570</x:v>
      </x:c>
      <x:c r="N1720" s="20" t="n">
        <x:f>IF(J1720=1,0,K1720-L1720)</x:f>
        <x:v>756</x:v>
      </x:c>
      <x:c r="O1720" s="20" t="n">
        <x:f>N1720-M1720</x:f>
        <x:v>186</x:v>
      </x:c>
    </x:row>
    <x:row r="1721" ht="22" customHeight="1">
      <x:c r="A1721" s="11" t="n">
        <x:v>1717</x:v>
      </x:c>
      <x:c r="B1721" s="11" t="n">
        <x:v>873</x:v>
      </x:c>
      <x:c r="C1721" s="18" t="n">
        <x:v>45324</x:v>
      </x:c>
      <x:c r="D1721" s="11" t="str">
        <x:v>2024-02</x:v>
      </x:c>
      <x:c r="E1721" s="11" t="str">
        <x:v>Central</x:v>
      </x:c>
      <x:c r="F1721" s="11" t="str">
        <x:v>Technology</x:v>
      </x:c>
      <x:c r="G1721" s="11" t="str">
        <x:v>Keyboard</x:v>
      </x:c>
      <x:c r="H1721" s="11" t="n">
        <x:v>4</x:v>
      </x:c>
      <x:c r="I1721" s="19" t="n">
        <x:v>0</x:v>
      </x:c>
      <x:c r="J1721" s="11" t="n">
        <x:v>0</x:v>
      </x:c>
      <x:c r="K1721" s="20" t="n">
        <x:v>260</x:v>
      </x:c>
      <x:c r="L1721" s="20" t="n">
        <x:v>0</x:v>
      </x:c>
      <x:c r="M1721" s="20" t="n">
        <x:v>128</x:v>
      </x:c>
      <x:c r="N1721" s="20" t="n">
        <x:f>IF(J1721=1,0,K1721-L1721)</x:f>
        <x:v>260</x:v>
      </x:c>
      <x:c r="O1721" s="20" t="n">
        <x:f>N1721-M1721</x:f>
        <x:v>132</x:v>
      </x:c>
    </x:row>
    <x:row r="1722" ht="22" customHeight="1">
      <x:c r="A1722" s="11" t="n">
        <x:v>1718</x:v>
      </x:c>
      <x:c r="B1722" s="11" t="n">
        <x:v>874</x:v>
      </x:c>
      <x:c r="C1722" s="18" t="n">
        <x:v>45386</x:v>
      </x:c>
      <x:c r="D1722" s="11" t="str">
        <x:v>2024-04</x:v>
      </x:c>
      <x:c r="E1722" s="11" t="str">
        <x:v>Central</x:v>
      </x:c>
      <x:c r="F1722" s="11" t="str">
        <x:v>Office Supplies</x:v>
      </x:c>
      <x:c r="G1722" s="11" t="str">
        <x:v>Storage box</x:v>
      </x:c>
      <x:c r="H1722" s="11" t="n">
        <x:v>2</x:v>
      </x:c>
      <x:c r="I1722" s="19" t="n">
        <x:v>0.1</x:v>
      </x:c>
      <x:c r="J1722" s="11" t="n">
        <x:v>0</x:v>
      </x:c>
      <x:c r="K1722" s="20" t="n">
        <x:v>52</x:v>
      </x:c>
      <x:c r="L1722" s="20" t="n">
        <x:v>5.2</x:v>
      </x:c>
      <x:c r="M1722" s="20" t="n">
        <x:v>24</x:v>
      </x:c>
      <x:c r="N1722" s="20" t="n">
        <x:f>IF(J1722=1,0,K1722-L1722)</x:f>
        <x:v>46.8</x:v>
      </x:c>
      <x:c r="O1722" s="20" t="n">
        <x:f>N1722-M1722</x:f>
        <x:v>22.799999999999997</x:v>
      </x:c>
    </x:row>
    <x:row r="1723" ht="22" customHeight="1">
      <x:c r="A1723" s="11" t="n">
        <x:v>1719</x:v>
      </x:c>
      <x:c r="B1723" s="11" t="n">
        <x:v>875</x:v>
      </x:c>
      <x:c r="C1723" s="18" t="n">
        <x:v>45516</x:v>
      </x:c>
      <x:c r="D1723" s="11" t="str">
        <x:v>2024-08</x:v>
      </x:c>
      <x:c r="E1723" s="11" t="str">
        <x:v>East</x:v>
      </x:c>
      <x:c r="F1723" s="11" t="str">
        <x:v>Office Supplies</x:v>
      </x:c>
      <x:c r="G1723" s="11" t="str">
        <x:v>Notebook pack</x:v>
      </x:c>
      <x:c r="H1723" s="11" t="n">
        <x:v>4</x:v>
      </x:c>
      <x:c r="I1723" s="19" t="n">
        <x:v>0.1</x:v>
      </x:c>
      <x:c r="J1723" s="11" t="n">
        <x:v>0</x:v>
      </x:c>
      <x:c r="K1723" s="20" t="n">
        <x:v>72</x:v>
      </x:c>
      <x:c r="L1723" s="20" t="n">
        <x:v>7.2</x:v>
      </x:c>
      <x:c r="M1723" s="20" t="n">
        <x:v>28</x:v>
      </x:c>
      <x:c r="N1723" s="20" t="n">
        <x:f>IF(J1723=1,0,K1723-L1723)</x:f>
        <x:v>64.8</x:v>
      </x:c>
      <x:c r="O1723" s="20" t="n">
        <x:f>N1723-M1723</x:f>
        <x:v>36.8</x:v>
      </x:c>
    </x:row>
    <x:row r="1724" ht="22" customHeight="1">
      <x:c r="A1724" s="11" t="n">
        <x:v>1720</x:v>
      </x:c>
      <x:c r="B1724" s="11" t="n">
        <x:v>875</x:v>
      </x:c>
      <x:c r="C1724" s="18" t="n">
        <x:v>45516</x:v>
      </x:c>
      <x:c r="D1724" s="11" t="str">
        <x:v>2024-08</x:v>
      </x:c>
      <x:c r="E1724" s="11" t="str">
        <x:v>East</x:v>
      </x:c>
      <x:c r="F1724" s="11" t="str">
        <x:v>Office Supplies</x:v>
      </x:c>
      <x:c r="G1724" s="11" t="str">
        <x:v>Storage box</x:v>
      </x:c>
      <x:c r="H1724" s="11" t="n">
        <x:v>4</x:v>
      </x:c>
      <x:c r="I1724" s="19" t="n">
        <x:v>0.1</x:v>
      </x:c>
      <x:c r="J1724" s="11" t="n">
        <x:v>0</x:v>
      </x:c>
      <x:c r="K1724" s="20" t="n">
        <x:v>104</x:v>
      </x:c>
      <x:c r="L1724" s="20" t="n">
        <x:v>10.4</x:v>
      </x:c>
      <x:c r="M1724" s="20" t="n">
        <x:v>48</x:v>
      </x:c>
      <x:c r="N1724" s="20" t="n">
        <x:f>IF(J1724=1,0,K1724-L1724)</x:f>
        <x:v>93.6</x:v>
      </x:c>
      <x:c r="O1724" s="20" t="n">
        <x:f>N1724-M1724</x:f>
        <x:v>45.599999999999994</x:v>
      </x:c>
    </x:row>
    <x:row r="1725" ht="22" customHeight="1">
      <x:c r="A1725" s="11" t="n">
        <x:v>1721</x:v>
      </x:c>
      <x:c r="B1725" s="11" t="n">
        <x:v>875</x:v>
      </x:c>
      <x:c r="C1725" s="18" t="n">
        <x:v>45516</x:v>
      </x:c>
      <x:c r="D1725" s="11" t="str">
        <x:v>2024-08</x:v>
      </x:c>
      <x:c r="E1725" s="11" t="str">
        <x:v>East</x:v>
      </x:c>
      <x:c r="F1725" s="11" t="str">
        <x:v>Furniture</x:v>
      </x:c>
      <x:c r="G1725" s="11" t="str">
        <x:v>Desk</x:v>
      </x:c>
      <x:c r="H1725" s="11" t="n">
        <x:v>3</x:v>
      </x:c>
      <x:c r="I1725" s="19" t="n">
        <x:v>0.25</x:v>
      </x:c>
      <x:c r="J1725" s="11" t="n">
        <x:v>0</x:v>
      </x:c>
      <x:c r="K1725" s="20" t="n">
        <x:v>840</x:v>
      </x:c>
      <x:c r="L1725" s="20" t="n">
        <x:v>210</x:v>
      </x:c>
      <x:c r="M1725" s="20" t="n">
        <x:v>570</x:v>
      </x:c>
      <x:c r="N1725" s="20" t="n">
        <x:f>IF(J1725=1,0,K1725-L1725)</x:f>
        <x:v>630</x:v>
      </x:c>
      <x:c r="O1725" s="20" t="n">
        <x:f>N1725-M1725</x:f>
        <x:v>60</x:v>
      </x:c>
    </x:row>
    <x:row r="1726" ht="22" customHeight="1">
      <x:c r="A1726" s="11" t="n">
        <x:v>1722</x:v>
      </x:c>
      <x:c r="B1726" s="11" t="n">
        <x:v>876</x:v>
      </x:c>
      <x:c r="C1726" s="18" t="n">
        <x:v>45403</x:v>
      </x:c>
      <x:c r="D1726" s="11" t="str">
        <x:v>2024-04</x:v>
      </x:c>
      <x:c r="E1726" s="11" t="str">
        <x:v>South</x:v>
      </x:c>
      <x:c r="F1726" s="11" t="str">
        <x:v>Office Supplies</x:v>
      </x:c>
      <x:c r="G1726" s="11" t="str">
        <x:v>Notebook pack</x:v>
      </x:c>
      <x:c r="H1726" s="11" t="n">
        <x:v>1</x:v>
      </x:c>
      <x:c r="I1726" s="19" t="n">
        <x:v>0</x:v>
      </x:c>
      <x:c r="J1726" s="11" t="n">
        <x:v>0</x:v>
      </x:c>
      <x:c r="K1726" s="20" t="n">
        <x:v>18</x:v>
      </x:c>
      <x:c r="L1726" s="20" t="n">
        <x:v>0</x:v>
      </x:c>
      <x:c r="M1726" s="20" t="n">
        <x:v>7</x:v>
      </x:c>
      <x:c r="N1726" s="20" t="n">
        <x:f>IF(J1726=1,0,K1726-L1726)</x:f>
        <x:v>18</x:v>
      </x:c>
      <x:c r="O1726" s="20" t="n">
        <x:f>N1726-M1726</x:f>
        <x:v>11</x:v>
      </x:c>
    </x:row>
    <x:row r="1727" ht="22" customHeight="1">
      <x:c r="A1727" s="11" t="n">
        <x:v>1723</x:v>
      </x:c>
      <x:c r="B1727" s="11" t="n">
        <x:v>876</x:v>
      </x:c>
      <x:c r="C1727" s="18" t="n">
        <x:v>45403</x:v>
      </x:c>
      <x:c r="D1727" s="11" t="str">
        <x:v>2024-04</x:v>
      </x:c>
      <x:c r="E1727" s="11" t="str">
        <x:v>South</x:v>
      </x:c>
      <x:c r="F1727" s="11" t="str">
        <x:v>Technology</x:v>
      </x:c>
      <x:c r="G1727" s="11" t="str">
        <x:v>Monitor</x:v>
      </x:c>
      <x:c r="H1727" s="11" t="n">
        <x:v>5</x:v>
      </x:c>
      <x:c r="I1727" s="19" t="n">
        <x:v>0</x:v>
      </x:c>
      <x:c r="J1727" s="11" t="n">
        <x:v>0</x:v>
      </x:c>
      <x:c r="K1727" s="20" t="n">
        <x:v>1200</x:v>
      </x:c>
      <x:c r="L1727" s="20" t="n">
        <x:v>0</x:v>
      </x:c>
      <x:c r="M1727" s="20" t="n">
        <x:v>800</x:v>
      </x:c>
      <x:c r="N1727" s="20" t="n">
        <x:f>IF(J1727=1,0,K1727-L1727)</x:f>
        <x:v>1200</x:v>
      </x:c>
      <x:c r="O1727" s="20" t="n">
        <x:f>N1727-M1727</x:f>
        <x:v>400</x:v>
      </x:c>
    </x:row>
    <x:row r="1728" ht="22" customHeight="1">
      <x:c r="A1728" s="11" t="n">
        <x:v>1724</x:v>
      </x:c>
      <x:c r="B1728" s="11" t="n">
        <x:v>877</x:v>
      </x:c>
      <x:c r="C1728" s="18" t="n">
        <x:v>45903</x:v>
      </x:c>
      <x:c r="D1728" s="11" t="str">
        <x:v>2025-09</x:v>
      </x:c>
      <x:c r="E1728" s="11" t="str">
        <x:v>West</x:v>
      </x:c>
      <x:c r="F1728" s="11" t="str">
        <x:v>Office Supplies</x:v>
      </x:c>
      <x:c r="G1728" s="11" t="str">
        <x:v>Notebook pack</x:v>
      </x:c>
      <x:c r="H1728" s="11" t="n">
        <x:v>2</x:v>
      </x:c>
      <x:c r="I1728" s="19" t="n">
        <x:v>0</x:v>
      </x:c>
      <x:c r="J1728" s="11" t="n">
        <x:v>0</x:v>
      </x:c>
      <x:c r="K1728" s="20" t="n">
        <x:v>36</x:v>
      </x:c>
      <x:c r="L1728" s="20" t="n">
        <x:v>0</x:v>
      </x:c>
      <x:c r="M1728" s="20" t="n">
        <x:v>14</x:v>
      </x:c>
      <x:c r="N1728" s="20" t="n">
        <x:f>IF(J1728=1,0,K1728-L1728)</x:f>
        <x:v>36</x:v>
      </x:c>
      <x:c r="O1728" s="20" t="n">
        <x:f>N1728-M1728</x:f>
        <x:v>22</x:v>
      </x:c>
    </x:row>
    <x:row r="1729" ht="22" customHeight="1">
      <x:c r="A1729" s="11" t="n">
        <x:v>1725</x:v>
      </x:c>
      <x:c r="B1729" s="11" t="n">
        <x:v>878</x:v>
      </x:c>
      <x:c r="C1729" s="18" t="n">
        <x:v>45379</x:v>
      </x:c>
      <x:c r="D1729" s="11" t="str">
        <x:v>2024-03</x:v>
      </x:c>
      <x:c r="E1729" s="11" t="str">
        <x:v>East</x:v>
      </x:c>
      <x:c r="F1729" s="11" t="str">
        <x:v>Technology</x:v>
      </x:c>
      <x:c r="G1729" s="11" t="str">
        <x:v>Keyboard</x:v>
      </x:c>
      <x:c r="H1729" s="11" t="n">
        <x:v>3</x:v>
      </x:c>
      <x:c r="I1729" s="19" t="n">
        <x:v>0</x:v>
      </x:c>
      <x:c r="J1729" s="11" t="n">
        <x:v>0</x:v>
      </x:c>
      <x:c r="K1729" s="20" t="n">
        <x:v>195</x:v>
      </x:c>
      <x:c r="L1729" s="20" t="n">
        <x:v>0</x:v>
      </x:c>
      <x:c r="M1729" s="20" t="n">
        <x:v>96</x:v>
      </x:c>
      <x:c r="N1729" s="20" t="n">
        <x:f>IF(J1729=1,0,K1729-L1729)</x:f>
        <x:v>195</x:v>
      </x:c>
      <x:c r="O1729" s="20" t="n">
        <x:f>N1729-M1729</x:f>
        <x:v>99</x:v>
      </x:c>
    </x:row>
    <x:row r="1730" ht="22" customHeight="1">
      <x:c r="A1730" s="11" t="n">
        <x:v>1726</x:v>
      </x:c>
      <x:c r="B1730" s="11" t="n">
        <x:v>878</x:v>
      </x:c>
      <x:c r="C1730" s="18" t="n">
        <x:v>45379</x:v>
      </x:c>
      <x:c r="D1730" s="11" t="str">
        <x:v>2024-03</x:v>
      </x:c>
      <x:c r="E1730" s="11" t="str">
        <x:v>East</x:v>
      </x:c>
      <x:c r="F1730" s="11" t="str">
        <x:v>Furniture</x:v>
      </x:c>
      <x:c r="G1730" s="11" t="str">
        <x:v>Desk</x:v>
      </x:c>
      <x:c r="H1730" s="11" t="n">
        <x:v>1</x:v>
      </x:c>
      <x:c r="I1730" s="19" t="n">
        <x:v>0.15</x:v>
      </x:c>
      <x:c r="J1730" s="11" t="n">
        <x:v>0</x:v>
      </x:c>
      <x:c r="K1730" s="20" t="n">
        <x:v>280</x:v>
      </x:c>
      <x:c r="L1730" s="20" t="n">
        <x:v>42</x:v>
      </x:c>
      <x:c r="M1730" s="20" t="n">
        <x:v>190</x:v>
      </x:c>
      <x:c r="N1730" s="20" t="n">
        <x:f>IF(J1730=1,0,K1730-L1730)</x:f>
        <x:v>238</x:v>
      </x:c>
      <x:c r="O1730" s="20" t="n">
        <x:f>N1730-M1730</x:f>
        <x:v>48</x:v>
      </x:c>
    </x:row>
    <x:row r="1731" ht="22" customHeight="1">
      <x:c r="A1731" s="11" t="n">
        <x:v>1727</x:v>
      </x:c>
      <x:c r="B1731" s="11" t="n">
        <x:v>878</x:v>
      </x:c>
      <x:c r="C1731" s="18" t="n">
        <x:v>45379</x:v>
      </x:c>
      <x:c r="D1731" s="11" t="str">
        <x:v>2024-03</x:v>
      </x:c>
      <x:c r="E1731" s="11" t="str">
        <x:v>East</x:v>
      </x:c>
      <x:c r="F1731" s="11" t="str">
        <x:v>Office Supplies</x:v>
      </x:c>
      <x:c r="G1731" s="11" t="str">
        <x:v>Notebook pack</x:v>
      </x:c>
      <x:c r="H1731" s="11" t="n">
        <x:v>4</x:v>
      </x:c>
      <x:c r="I1731" s="19" t="n">
        <x:v>0.15</x:v>
      </x:c>
      <x:c r="J1731" s="11" t="n">
        <x:v>0</x:v>
      </x:c>
      <x:c r="K1731" s="20" t="n">
        <x:v>72</x:v>
      </x:c>
      <x:c r="L1731" s="20" t="n">
        <x:v>10.8</x:v>
      </x:c>
      <x:c r="M1731" s="20" t="n">
        <x:v>28</x:v>
      </x:c>
      <x:c r="N1731" s="20" t="n">
        <x:f>IF(J1731=1,0,K1731-L1731)</x:f>
        <x:v>61.2</x:v>
      </x:c>
      <x:c r="O1731" s="20" t="n">
        <x:f>N1731-M1731</x:f>
        <x:v>33.2</x:v>
      </x:c>
    </x:row>
    <x:row r="1732" ht="22" customHeight="1">
      <x:c r="A1732" s="11" t="n">
        <x:v>1728</x:v>
      </x:c>
      <x:c r="B1732" s="11" t="n">
        <x:v>879</x:v>
      </x:c>
      <x:c r="C1732" s="18" t="n">
        <x:v>45692</x:v>
      </x:c>
      <x:c r="D1732" s="11" t="str">
        <x:v>2025-02</x:v>
      </x:c>
      <x:c r="E1732" s="11" t="str">
        <x:v>South</x:v>
      </x:c>
      <x:c r="F1732" s="11" t="str">
        <x:v>Office Supplies</x:v>
      </x:c>
      <x:c r="G1732" s="11" t="str">
        <x:v>Storage box</x:v>
      </x:c>
      <x:c r="H1732" s="11" t="n">
        <x:v>1</x:v>
      </x:c>
      <x:c r="I1732" s="19" t="n">
        <x:v>0.05</x:v>
      </x:c>
      <x:c r="J1732" s="11" t="n">
        <x:v>0</x:v>
      </x:c>
      <x:c r="K1732" s="20" t="n">
        <x:v>26</x:v>
      </x:c>
      <x:c r="L1732" s="20" t="n">
        <x:v>1.3</x:v>
      </x:c>
      <x:c r="M1732" s="20" t="n">
        <x:v>12</x:v>
      </x:c>
      <x:c r="N1732" s="20" t="n">
        <x:f>IF(J1732=1,0,K1732-L1732)</x:f>
        <x:v>24.7</x:v>
      </x:c>
      <x:c r="O1732" s="20" t="n">
        <x:f>N1732-M1732</x:f>
        <x:v>12.7</x:v>
      </x:c>
    </x:row>
    <x:row r="1733" ht="22" customHeight="1">
      <x:c r="A1733" s="11" t="n">
        <x:v>1729</x:v>
      </x:c>
      <x:c r="B1733" s="11" t="n">
        <x:v>880</x:v>
      </x:c>
      <x:c r="C1733" s="18" t="n">
        <x:v>45807</x:v>
      </x:c>
      <x:c r="D1733" s="11" t="str">
        <x:v>2025-05</x:v>
      </x:c>
      <x:c r="E1733" s="11" t="str">
        <x:v>South</x:v>
      </x:c>
      <x:c r="F1733" s="11" t="str">
        <x:v>Office Supplies</x:v>
      </x:c>
      <x:c r="G1733" s="11" t="str">
        <x:v>Notebook pack</x:v>
      </x:c>
      <x:c r="H1733" s="11" t="n">
        <x:v>4</x:v>
      </x:c>
      <x:c r="I1733" s="19" t="n">
        <x:v>0.1</x:v>
      </x:c>
      <x:c r="J1733" s="11" t="n">
        <x:v>0</x:v>
      </x:c>
      <x:c r="K1733" s="20" t="n">
        <x:v>72</x:v>
      </x:c>
      <x:c r="L1733" s="20" t="n">
        <x:v>7.2</x:v>
      </x:c>
      <x:c r="M1733" s="20" t="n">
        <x:v>28</x:v>
      </x:c>
      <x:c r="N1733" s="20" t="n">
        <x:f>IF(J1733=1,0,K1733-L1733)</x:f>
        <x:v>64.8</x:v>
      </x:c>
      <x:c r="O1733" s="20" t="n">
        <x:f>N1733-M1733</x:f>
        <x:v>36.8</x:v>
      </x:c>
    </x:row>
    <x:row r="1734" ht="22" customHeight="1">
      <x:c r="A1734" s="11" t="n">
        <x:v>1730</x:v>
      </x:c>
      <x:c r="B1734" s="11" t="n">
        <x:v>881</x:v>
      </x:c>
      <x:c r="C1734" s="18" t="n">
        <x:v>45330</x:v>
      </x:c>
      <x:c r="D1734" s="11" t="str">
        <x:v>2024-02</x:v>
      </x:c>
      <x:c r="E1734" s="11" t="str">
        <x:v>East</x:v>
      </x:c>
      <x:c r="F1734" s="11" t="str">
        <x:v>Office Supplies</x:v>
      </x:c>
      <x:c r="G1734" s="11" t="str">
        <x:v>Storage box</x:v>
      </x:c>
      <x:c r="H1734" s="11" t="n">
        <x:v>4</x:v>
      </x:c>
      <x:c r="I1734" s="19" t="n">
        <x:v>0</x:v>
      </x:c>
      <x:c r="J1734" s="11" t="n">
        <x:v>0</x:v>
      </x:c>
      <x:c r="K1734" s="20" t="n">
        <x:v>104</x:v>
      </x:c>
      <x:c r="L1734" s="20" t="n">
        <x:v>0</x:v>
      </x:c>
      <x:c r="M1734" s="20" t="n">
        <x:v>48</x:v>
      </x:c>
      <x:c r="N1734" s="20" t="n">
        <x:f>IF(J1734=1,0,K1734-L1734)</x:f>
        <x:v>104</x:v>
      </x:c>
      <x:c r="O1734" s="20" t="n">
        <x:f>N1734-M1734</x:f>
        <x:v>56</x:v>
      </x:c>
    </x:row>
    <x:row r="1735" ht="22" customHeight="1">
      <x:c r="A1735" s="11" t="n">
        <x:v>1731</x:v>
      </x:c>
      <x:c r="B1735" s="11" t="n">
        <x:v>882</x:v>
      </x:c>
      <x:c r="C1735" s="18" t="n">
        <x:v>45387</x:v>
      </x:c>
      <x:c r="D1735" s="11" t="str">
        <x:v>2024-04</x:v>
      </x:c>
      <x:c r="E1735" s="11" t="str">
        <x:v>South</x:v>
      </x:c>
      <x:c r="F1735" s="11" t="str">
        <x:v>Office Supplies</x:v>
      </x:c>
      <x:c r="G1735" s="11" t="str">
        <x:v>Storage box</x:v>
      </x:c>
      <x:c r="H1735" s="11" t="n">
        <x:v>2</x:v>
      </x:c>
      <x:c r="I1735" s="19" t="n">
        <x:v>0</x:v>
      </x:c>
      <x:c r="J1735" s="11" t="n">
        <x:v>0</x:v>
      </x:c>
      <x:c r="K1735" s="20" t="n">
        <x:v>52</x:v>
      </x:c>
      <x:c r="L1735" s="20" t="n">
        <x:v>0</x:v>
      </x:c>
      <x:c r="M1735" s="20" t="n">
        <x:v>24</x:v>
      </x:c>
      <x:c r="N1735" s="20" t="n">
        <x:f>IF(J1735=1,0,K1735-L1735)</x:f>
        <x:v>52</x:v>
      </x:c>
      <x:c r="O1735" s="20" t="n">
        <x:f>N1735-M1735</x:f>
        <x:v>28</x:v>
      </x:c>
    </x:row>
    <x:row r="1736" ht="22" customHeight="1">
      <x:c r="A1736" s="11" t="n">
        <x:v>1732</x:v>
      </x:c>
      <x:c r="B1736" s="11" t="n">
        <x:v>883</x:v>
      </x:c>
      <x:c r="C1736" s="18" t="n">
        <x:v>45805</x:v>
      </x:c>
      <x:c r="D1736" s="11" t="str">
        <x:v>2025-05</x:v>
      </x:c>
      <x:c r="E1736" s="11" t="str">
        <x:v>West</x:v>
      </x:c>
      <x:c r="F1736" s="11" t="str">
        <x:v>Furniture</x:v>
      </x:c>
      <x:c r="G1736" s="11" t="str">
        <x:v>Chair</x:v>
      </x:c>
      <x:c r="H1736" s="11" t="n">
        <x:v>3</x:v>
      </x:c>
      <x:c r="I1736" s="19" t="n">
        <x:v>0.15</x:v>
      </x:c>
      <x:c r="J1736" s="11" t="n">
        <x:v>0</x:v>
      </x:c>
      <x:c r="K1736" s="20" t="n">
        <x:v>510</x:v>
      </x:c>
      <x:c r="L1736" s="20" t="n">
        <x:v>76.5</x:v>
      </x:c>
      <x:c r="M1736" s="20" t="n">
        <x:v>330</x:v>
      </x:c>
      <x:c r="N1736" s="20" t="n">
        <x:f>IF(J1736=1,0,K1736-L1736)</x:f>
        <x:v>433.5</x:v>
      </x:c>
      <x:c r="O1736" s="20" t="n">
        <x:f>N1736-M1736</x:f>
        <x:v>103.5</x:v>
      </x:c>
    </x:row>
    <x:row r="1737" ht="22" customHeight="1">
      <x:c r="A1737" s="11" t="n">
        <x:v>1733</x:v>
      </x:c>
      <x:c r="B1737" s="11" t="n">
        <x:v>883</x:v>
      </x:c>
      <x:c r="C1737" s="18" t="n">
        <x:v>45805</x:v>
      </x:c>
      <x:c r="D1737" s="11" t="str">
        <x:v>2025-05</x:v>
      </x:c>
      <x:c r="E1737" s="11" t="str">
        <x:v>West</x:v>
      </x:c>
      <x:c r="F1737" s="11" t="str">
        <x:v>Technology</x:v>
      </x:c>
      <x:c r="G1737" s="11" t="str">
        <x:v>Monitor</x:v>
      </x:c>
      <x:c r="H1737" s="11" t="n">
        <x:v>4</x:v>
      </x:c>
      <x:c r="I1737" s="19" t="n">
        <x:v>0</x:v>
      </x:c>
      <x:c r="J1737" s="11" t="n">
        <x:v>0</x:v>
      </x:c>
      <x:c r="K1737" s="20" t="n">
        <x:v>960</x:v>
      </x:c>
      <x:c r="L1737" s="20" t="n">
        <x:v>0</x:v>
      </x:c>
      <x:c r="M1737" s="20" t="n">
        <x:v>640</x:v>
      </x:c>
      <x:c r="N1737" s="20" t="n">
        <x:f>IF(J1737=1,0,K1737-L1737)</x:f>
        <x:v>960</x:v>
      </x:c>
      <x:c r="O1737" s="20" t="n">
        <x:f>N1737-M1737</x:f>
        <x:v>320</x:v>
      </x:c>
    </x:row>
    <x:row r="1738" ht="22" customHeight="1">
      <x:c r="A1738" s="11" t="n">
        <x:v>1734</x:v>
      </x:c>
      <x:c r="B1738" s="11" t="n">
        <x:v>884</x:v>
      </x:c>
      <x:c r="C1738" s="18" t="n">
        <x:v>45991</x:v>
      </x:c>
      <x:c r="D1738" s="11" t="str">
        <x:v>2025-11</x:v>
      </x:c>
      <x:c r="E1738" s="11" t="str">
        <x:v>South</x:v>
      </x:c>
      <x:c r="F1738" s="11" t="str">
        <x:v>Office Supplies</x:v>
      </x:c>
      <x:c r="G1738" s="11" t="str">
        <x:v>Notebook pack</x:v>
      </x:c>
      <x:c r="H1738" s="11" t="n">
        <x:v>5</x:v>
      </x:c>
      <x:c r="I1738" s="19" t="n">
        <x:v>0</x:v>
      </x:c>
      <x:c r="J1738" s="11" t="n">
        <x:v>0</x:v>
      </x:c>
      <x:c r="K1738" s="20" t="n">
        <x:v>90</x:v>
      </x:c>
      <x:c r="L1738" s="20" t="n">
        <x:v>0</x:v>
      </x:c>
      <x:c r="M1738" s="20" t="n">
        <x:v>35</x:v>
      </x:c>
      <x:c r="N1738" s="20" t="n">
        <x:f>IF(J1738=1,0,K1738-L1738)</x:f>
        <x:v>90</x:v>
      </x:c>
      <x:c r="O1738" s="20" t="n">
        <x:f>N1738-M1738</x:f>
        <x:v>55</x:v>
      </x:c>
    </x:row>
    <x:row r="1739" ht="22" customHeight="1">
      <x:c r="A1739" s="11" t="n">
        <x:v>1735</x:v>
      </x:c>
      <x:c r="B1739" s="11" t="n">
        <x:v>885</x:v>
      </x:c>
      <x:c r="C1739" s="18" t="n">
        <x:v>45872</x:v>
      </x:c>
      <x:c r="D1739" s="11" t="str">
        <x:v>2025-08</x:v>
      </x:c>
      <x:c r="E1739" s="11" t="str">
        <x:v>West</x:v>
      </x:c>
      <x:c r="F1739" s="11" t="str">
        <x:v>Furniture</x:v>
      </x:c>
      <x:c r="G1739" s="11" t="str">
        <x:v>Desk</x:v>
      </x:c>
      <x:c r="H1739" s="11" t="n">
        <x:v>2</x:v>
      </x:c>
      <x:c r="I1739" s="19" t="n">
        <x:v>0.1</x:v>
      </x:c>
      <x:c r="J1739" s="11" t="n">
        <x:v>0</x:v>
      </x:c>
      <x:c r="K1739" s="20" t="n">
        <x:v>560</x:v>
      </x:c>
      <x:c r="L1739" s="20" t="n">
        <x:v>56</x:v>
      </x:c>
      <x:c r="M1739" s="20" t="n">
        <x:v>380</x:v>
      </x:c>
      <x:c r="N1739" s="20" t="n">
        <x:f>IF(J1739=1,0,K1739-L1739)</x:f>
        <x:v>504</x:v>
      </x:c>
      <x:c r="O1739" s="20" t="n">
        <x:f>N1739-M1739</x:f>
        <x:v>124</x:v>
      </x:c>
    </x:row>
    <x:row r="1740" ht="22" customHeight="1">
      <x:c r="A1740" s="11" t="n">
        <x:v>1736</x:v>
      </x:c>
      <x:c r="B1740" s="11" t="n">
        <x:v>886</x:v>
      </x:c>
      <x:c r="C1740" s="18" t="n">
        <x:v>45381</x:v>
      </x:c>
      <x:c r="D1740" s="11" t="str">
        <x:v>2024-03</x:v>
      </x:c>
      <x:c r="E1740" s="11" t="str">
        <x:v>East</x:v>
      </x:c>
      <x:c r="F1740" s="11" t="str">
        <x:v>Technology</x:v>
      </x:c>
      <x:c r="G1740" s="11" t="str">
        <x:v>Monitor</x:v>
      </x:c>
      <x:c r="H1740" s="11" t="n">
        <x:v>3</x:v>
      </x:c>
      <x:c r="I1740" s="19" t="n">
        <x:v>0</x:v>
      </x:c>
      <x:c r="J1740" s="11" t="n">
        <x:v>0</x:v>
      </x:c>
      <x:c r="K1740" s="20" t="n">
        <x:v>720</x:v>
      </x:c>
      <x:c r="L1740" s="20" t="n">
        <x:v>0</x:v>
      </x:c>
      <x:c r="M1740" s="20" t="n">
        <x:v>480</x:v>
      </x:c>
      <x:c r="N1740" s="20" t="n">
        <x:f>IF(J1740=1,0,K1740-L1740)</x:f>
        <x:v>720</x:v>
      </x:c>
      <x:c r="O1740" s="20" t="n">
        <x:f>N1740-M1740</x:f>
        <x:v>240</x:v>
      </x:c>
    </x:row>
    <x:row r="1741" ht="22" customHeight="1">
      <x:c r="A1741" s="11" t="n">
        <x:v>1737</x:v>
      </x:c>
      <x:c r="B1741" s="11" t="n">
        <x:v>886</x:v>
      </x:c>
      <x:c r="C1741" s="18" t="n">
        <x:v>45381</x:v>
      </x:c>
      <x:c r="D1741" s="11" t="str">
        <x:v>2024-03</x:v>
      </x:c>
      <x:c r="E1741" s="11" t="str">
        <x:v>East</x:v>
      </x:c>
      <x:c r="F1741" s="11" t="str">
        <x:v>Furniture</x:v>
      </x:c>
      <x:c r="G1741" s="11" t="str">
        <x:v>Chair</x:v>
      </x:c>
      <x:c r="H1741" s="11" t="n">
        <x:v>5</x:v>
      </x:c>
      <x:c r="I1741" s="19" t="n">
        <x:v>0.15</x:v>
      </x:c>
      <x:c r="J1741" s="11" t="n">
        <x:v>0</x:v>
      </x:c>
      <x:c r="K1741" s="20" t="n">
        <x:v>850</x:v>
      </x:c>
      <x:c r="L1741" s="20" t="n">
        <x:v>127.5</x:v>
      </x:c>
      <x:c r="M1741" s="20" t="n">
        <x:v>550</x:v>
      </x:c>
      <x:c r="N1741" s="20" t="n">
        <x:f>IF(J1741=1,0,K1741-L1741)</x:f>
        <x:v>722.5</x:v>
      </x:c>
      <x:c r="O1741" s="20" t="n">
        <x:f>N1741-M1741</x:f>
        <x:v>172.5</x:v>
      </x:c>
    </x:row>
    <x:row r="1742" ht="22" customHeight="1">
      <x:c r="A1742" s="11" t="n">
        <x:v>1738</x:v>
      </x:c>
      <x:c r="B1742" s="11" t="n">
        <x:v>887</x:v>
      </x:c>
      <x:c r="C1742" s="18" t="n">
        <x:v>45364</x:v>
      </x:c>
      <x:c r="D1742" s="11" t="str">
        <x:v>2024-03</x:v>
      </x:c>
      <x:c r="E1742" s="11" t="str">
        <x:v>West</x:v>
      </x:c>
      <x:c r="F1742" s="11" t="str">
        <x:v>Technology</x:v>
      </x:c>
      <x:c r="G1742" s="11" t="str">
        <x:v>Keyboard</x:v>
      </x:c>
      <x:c r="H1742" s="11" t="n">
        <x:v>4</x:v>
      </x:c>
      <x:c r="I1742" s="19" t="n">
        <x:v>0</x:v>
      </x:c>
      <x:c r="J1742" s="11" t="n">
        <x:v>0</x:v>
      </x:c>
      <x:c r="K1742" s="20" t="n">
        <x:v>260</x:v>
      </x:c>
      <x:c r="L1742" s="20" t="n">
        <x:v>0</x:v>
      </x:c>
      <x:c r="M1742" s="20" t="n">
        <x:v>128</x:v>
      </x:c>
      <x:c r="N1742" s="20" t="n">
        <x:f>IF(J1742=1,0,K1742-L1742)</x:f>
        <x:v>260</x:v>
      </x:c>
      <x:c r="O1742" s="20" t="n">
        <x:f>N1742-M1742</x:f>
        <x:v>132</x:v>
      </x:c>
    </x:row>
    <x:row r="1743" ht="22" customHeight="1">
      <x:c r="A1743" s="11" t="n">
        <x:v>1739</x:v>
      </x:c>
      <x:c r="B1743" s="11" t="n">
        <x:v>887</x:v>
      </x:c>
      <x:c r="C1743" s="18" t="n">
        <x:v>45364</x:v>
      </x:c>
      <x:c r="D1743" s="11" t="str">
        <x:v>2024-03</x:v>
      </x:c>
      <x:c r="E1743" s="11" t="str">
        <x:v>West</x:v>
      </x:c>
      <x:c r="F1743" s="11" t="str">
        <x:v>Technology</x:v>
      </x:c>
      <x:c r="G1743" s="11" t="str">
        <x:v>Monitor</x:v>
      </x:c>
      <x:c r="H1743" s="11" t="n">
        <x:v>5</x:v>
      </x:c>
      <x:c r="I1743" s="19" t="n">
        <x:v>0.1</x:v>
      </x:c>
      <x:c r="J1743" s="11" t="n">
        <x:v>1</x:v>
      </x:c>
      <x:c r="K1743" s="20" t="n">
        <x:v>1200</x:v>
      </x:c>
      <x:c r="L1743" s="20" t="n">
        <x:v>120</x:v>
      </x:c>
      <x:c r="M1743" s="20" t="n">
        <x:v>0</x:v>
      </x:c>
      <x:c r="N1743" s="20" t="n">
        <x:f>IF(J1743=1,0,K1743-L1743)</x:f>
        <x:v>0</x:v>
      </x:c>
      <x:c r="O1743" s="20" t="n">
        <x:f>N1743-M1743</x:f>
        <x:v>0</x:v>
      </x:c>
    </x:row>
    <x:row r="1744" ht="22" customHeight="1">
      <x:c r="A1744" s="11" t="n">
        <x:v>1740</x:v>
      </x:c>
      <x:c r="B1744" s="11" t="n">
        <x:v>888</x:v>
      </x:c>
      <x:c r="C1744" s="18" t="n">
        <x:v>45585</x:v>
      </x:c>
      <x:c r="D1744" s="11" t="str">
        <x:v>2024-10</x:v>
      </x:c>
      <x:c r="E1744" s="11" t="str">
        <x:v>West</x:v>
      </x:c>
      <x:c r="F1744" s="11" t="str">
        <x:v>Office Supplies</x:v>
      </x:c>
      <x:c r="G1744" s="11" t="str">
        <x:v>Storage box</x:v>
      </x:c>
      <x:c r="H1744" s="11" t="n">
        <x:v>3</x:v>
      </x:c>
      <x:c r="I1744" s="19" t="n">
        <x:v>0.15</x:v>
      </x:c>
      <x:c r="J1744" s="11" t="n">
        <x:v>0</x:v>
      </x:c>
      <x:c r="K1744" s="20" t="n">
        <x:v>78</x:v>
      </x:c>
      <x:c r="L1744" s="20" t="n">
        <x:v>11.7</x:v>
      </x:c>
      <x:c r="M1744" s="20" t="n">
        <x:v>36</x:v>
      </x:c>
      <x:c r="N1744" s="20" t="n">
        <x:f>IF(J1744=1,0,K1744-L1744)</x:f>
        <x:v>66.3</x:v>
      </x:c>
      <x:c r="O1744" s="20" t="n">
        <x:f>N1744-M1744</x:f>
        <x:v>30.299999999999997</x:v>
      </x:c>
    </x:row>
    <x:row r="1745" ht="22" customHeight="1">
      <x:c r="A1745" s="11" t="n">
        <x:v>1741</x:v>
      </x:c>
      <x:c r="B1745" s="11" t="n">
        <x:v>888</x:v>
      </x:c>
      <x:c r="C1745" s="18" t="n">
        <x:v>45585</x:v>
      </x:c>
      <x:c r="D1745" s="11" t="str">
        <x:v>2024-10</x:v>
      </x:c>
      <x:c r="E1745" s="11" t="str">
        <x:v>West</x:v>
      </x:c>
      <x:c r="F1745" s="11" t="str">
        <x:v>Furniture</x:v>
      </x:c>
      <x:c r="G1745" s="11" t="str">
        <x:v>Chair</x:v>
      </x:c>
      <x:c r="H1745" s="11" t="n">
        <x:v>3</x:v>
      </x:c>
      <x:c r="I1745" s="19" t="n">
        <x:v>0.15</x:v>
      </x:c>
      <x:c r="J1745" s="11" t="n">
        <x:v>0</x:v>
      </x:c>
      <x:c r="K1745" s="20" t="n">
        <x:v>510</x:v>
      </x:c>
      <x:c r="L1745" s="20" t="n">
        <x:v>76.5</x:v>
      </x:c>
      <x:c r="M1745" s="20" t="n">
        <x:v>330</x:v>
      </x:c>
      <x:c r="N1745" s="20" t="n">
        <x:f>IF(J1745=1,0,K1745-L1745)</x:f>
        <x:v>433.5</x:v>
      </x:c>
      <x:c r="O1745" s="20" t="n">
        <x:f>N1745-M1745</x:f>
        <x:v>103.5</x:v>
      </x:c>
    </x:row>
    <x:row r="1746" ht="22" customHeight="1">
      <x:c r="A1746" s="11" t="n">
        <x:v>1742</x:v>
      </x:c>
      <x:c r="B1746" s="11" t="n">
        <x:v>888</x:v>
      </x:c>
      <x:c r="C1746" s="18" t="n">
        <x:v>45585</x:v>
      </x:c>
      <x:c r="D1746" s="11" t="str">
        <x:v>2024-10</x:v>
      </x:c>
      <x:c r="E1746" s="11" t="str">
        <x:v>West</x:v>
      </x:c>
      <x:c r="F1746" s="11" t="str">
        <x:v>Technology</x:v>
      </x:c>
      <x:c r="G1746" s="11" t="str">
        <x:v>Keyboard</x:v>
      </x:c>
      <x:c r="H1746" s="11" t="n">
        <x:v>4</x:v>
      </x:c>
      <x:c r="I1746" s="19" t="n">
        <x:v>0.15</x:v>
      </x:c>
      <x:c r="J1746" s="11" t="n">
        <x:v>0</x:v>
      </x:c>
      <x:c r="K1746" s="20" t="n">
        <x:v>260</x:v>
      </x:c>
      <x:c r="L1746" s="20" t="n">
        <x:v>39</x:v>
      </x:c>
      <x:c r="M1746" s="20" t="n">
        <x:v>128</x:v>
      </x:c>
      <x:c r="N1746" s="20" t="n">
        <x:f>IF(J1746=1,0,K1746-L1746)</x:f>
        <x:v>221</x:v>
      </x:c>
      <x:c r="O1746" s="20" t="n">
        <x:f>N1746-M1746</x:f>
        <x:v>93</x:v>
      </x:c>
    </x:row>
    <x:row r="1747" ht="22" customHeight="1">
      <x:c r="A1747" s="11" t="n">
        <x:v>1743</x:v>
      </x:c>
      <x:c r="B1747" s="11" t="n">
        <x:v>889</x:v>
      </x:c>
      <x:c r="C1747" s="18" t="n">
        <x:v>45990</x:v>
      </x:c>
      <x:c r="D1747" s="11" t="str">
        <x:v>2025-11</x:v>
      </x:c>
      <x:c r="E1747" s="11" t="str">
        <x:v>East</x:v>
      </x:c>
      <x:c r="F1747" s="11" t="str">
        <x:v>Furniture</x:v>
      </x:c>
      <x:c r="G1747" s="11" t="str">
        <x:v>Chair</x:v>
      </x:c>
      <x:c r="H1747" s="11" t="n">
        <x:v>2</x:v>
      </x:c>
      <x:c r="I1747" s="19" t="n">
        <x:v>0</x:v>
      </x:c>
      <x:c r="J1747" s="11" t="n">
        <x:v>0</x:v>
      </x:c>
      <x:c r="K1747" s="20" t="n">
        <x:v>340</x:v>
      </x:c>
      <x:c r="L1747" s="20" t="n">
        <x:v>0</x:v>
      </x:c>
      <x:c r="M1747" s="20" t="n">
        <x:v>220</x:v>
      </x:c>
      <x:c r="N1747" s="20" t="n">
        <x:f>IF(J1747=1,0,K1747-L1747)</x:f>
        <x:v>340</x:v>
      </x:c>
      <x:c r="O1747" s="20" t="n">
        <x:f>N1747-M1747</x:f>
        <x:v>120</x:v>
      </x:c>
    </x:row>
    <x:row r="1748" ht="22" customHeight="1">
      <x:c r="A1748" s="11" t="n">
        <x:v>1744</x:v>
      </x:c>
      <x:c r="B1748" s="11" t="n">
        <x:v>889</x:v>
      </x:c>
      <x:c r="C1748" s="18" t="n">
        <x:v>45990</x:v>
      </x:c>
      <x:c r="D1748" s="11" t="str">
        <x:v>2025-11</x:v>
      </x:c>
      <x:c r="E1748" s="11" t="str">
        <x:v>East</x:v>
      </x:c>
      <x:c r="F1748" s="11" t="str">
        <x:v>Office Supplies</x:v>
      </x:c>
      <x:c r="G1748" s="11" t="str">
        <x:v>Notebook pack</x:v>
      </x:c>
      <x:c r="H1748" s="11" t="n">
        <x:v>2</x:v>
      </x:c>
      <x:c r="I1748" s="19" t="n">
        <x:v>0.15</x:v>
      </x:c>
      <x:c r="J1748" s="11" t="n">
        <x:v>0</x:v>
      </x:c>
      <x:c r="K1748" s="20" t="n">
        <x:v>36</x:v>
      </x:c>
      <x:c r="L1748" s="20" t="n">
        <x:v>5.4</x:v>
      </x:c>
      <x:c r="M1748" s="20" t="n">
        <x:v>14</x:v>
      </x:c>
      <x:c r="N1748" s="20" t="n">
        <x:f>IF(J1748=1,0,K1748-L1748)</x:f>
        <x:v>30.6</x:v>
      </x:c>
      <x:c r="O1748" s="20" t="n">
        <x:f>N1748-M1748</x:f>
        <x:v>16.6</x:v>
      </x:c>
    </x:row>
    <x:row r="1749" ht="22" customHeight="1">
      <x:c r="A1749" s="11" t="n">
        <x:v>1745</x:v>
      </x:c>
      <x:c r="B1749" s="11" t="n">
        <x:v>889</x:v>
      </x:c>
      <x:c r="C1749" s="18" t="n">
        <x:v>45990</x:v>
      </x:c>
      <x:c r="D1749" s="11" t="str">
        <x:v>2025-11</x:v>
      </x:c>
      <x:c r="E1749" s="11" t="str">
        <x:v>East</x:v>
      </x:c>
      <x:c r="F1749" s="11" t="str">
        <x:v>Furniture</x:v>
      </x:c>
      <x:c r="G1749" s="11" t="str">
        <x:v>Desk</x:v>
      </x:c>
      <x:c r="H1749" s="11" t="n">
        <x:v>1</x:v>
      </x:c>
      <x:c r="I1749" s="19" t="n">
        <x:v>0.05</x:v>
      </x:c>
      <x:c r="J1749" s="11" t="n">
        <x:v>0</x:v>
      </x:c>
      <x:c r="K1749" s="20" t="n">
        <x:v>280</x:v>
      </x:c>
      <x:c r="L1749" s="20" t="n">
        <x:v>14</x:v>
      </x:c>
      <x:c r="M1749" s="20" t="n">
        <x:v>190</x:v>
      </x:c>
      <x:c r="N1749" s="20" t="n">
        <x:f>IF(J1749=1,0,K1749-L1749)</x:f>
        <x:v>266</x:v>
      </x:c>
      <x:c r="O1749" s="20" t="n">
        <x:f>N1749-M1749</x:f>
        <x:v>76</x:v>
      </x:c>
    </x:row>
    <x:row r="1750" ht="22" customHeight="1">
      <x:c r="A1750" s="11" t="n">
        <x:v>1746</x:v>
      </x:c>
      <x:c r="B1750" s="11" t="n">
        <x:v>890</x:v>
      </x:c>
      <x:c r="C1750" s="18" t="n">
        <x:v>45765</x:v>
      </x:c>
      <x:c r="D1750" s="11" t="str">
        <x:v>2025-04</x:v>
      </x:c>
      <x:c r="E1750" s="11" t="str">
        <x:v>South</x:v>
      </x:c>
      <x:c r="F1750" s="11" t="str">
        <x:v>Technology</x:v>
      </x:c>
      <x:c r="G1750" s="11" t="str">
        <x:v>Keyboard</x:v>
      </x:c>
      <x:c r="H1750" s="11" t="n">
        <x:v>5</x:v>
      </x:c>
      <x:c r="I1750" s="19" t="n">
        <x:v>0.1</x:v>
      </x:c>
      <x:c r="J1750" s="11" t="n">
        <x:v>0</x:v>
      </x:c>
      <x:c r="K1750" s="20" t="n">
        <x:v>325</x:v>
      </x:c>
      <x:c r="L1750" s="20" t="n">
        <x:v>32.5</x:v>
      </x:c>
      <x:c r="M1750" s="20" t="n">
        <x:v>160</x:v>
      </x:c>
      <x:c r="N1750" s="20" t="n">
        <x:f>IF(J1750=1,0,K1750-L1750)</x:f>
        <x:v>292.5</x:v>
      </x:c>
      <x:c r="O1750" s="20" t="n">
        <x:f>N1750-M1750</x:f>
        <x:v>132.5</x:v>
      </x:c>
    </x:row>
    <x:row r="1751" ht="22" customHeight="1">
      <x:c r="A1751" s="11" t="n">
        <x:v>1747</x:v>
      </x:c>
      <x:c r="B1751" s="11" t="n">
        <x:v>890</x:v>
      </x:c>
      <x:c r="C1751" s="18" t="n">
        <x:v>45765</x:v>
      </x:c>
      <x:c r="D1751" s="11" t="str">
        <x:v>2025-04</x:v>
      </x:c>
      <x:c r="E1751" s="11" t="str">
        <x:v>South</x:v>
      </x:c>
      <x:c r="F1751" s="11" t="str">
        <x:v>Office Supplies</x:v>
      </x:c>
      <x:c r="G1751" s="11" t="str">
        <x:v>Storage box</x:v>
      </x:c>
      <x:c r="H1751" s="11" t="n">
        <x:v>2</x:v>
      </x:c>
      <x:c r="I1751" s="19" t="n">
        <x:v>0</x:v>
      </x:c>
      <x:c r="J1751" s="11" t="n">
        <x:v>0</x:v>
      </x:c>
      <x:c r="K1751" s="20" t="n">
        <x:v>52</x:v>
      </x:c>
      <x:c r="L1751" s="20" t="n">
        <x:v>0</x:v>
      </x:c>
      <x:c r="M1751" s="20" t="n">
        <x:v>24</x:v>
      </x:c>
      <x:c r="N1751" s="20" t="n">
        <x:f>IF(J1751=1,0,K1751-L1751)</x:f>
        <x:v>52</x:v>
      </x:c>
      <x:c r="O1751" s="20" t="n">
        <x:f>N1751-M1751</x:f>
        <x:v>28</x:v>
      </x:c>
    </x:row>
    <x:row r="1752" ht="22" customHeight="1">
      <x:c r="A1752" s="11" t="n">
        <x:v>1748</x:v>
      </x:c>
      <x:c r="B1752" s="11" t="n">
        <x:v>891</x:v>
      </x:c>
      <x:c r="C1752" s="18" t="n">
        <x:v>45698</x:v>
      </x:c>
      <x:c r="D1752" s="11" t="str">
        <x:v>2025-02</x:v>
      </x:c>
      <x:c r="E1752" s="11" t="str">
        <x:v>South</x:v>
      </x:c>
      <x:c r="F1752" s="11" t="str">
        <x:v>Technology</x:v>
      </x:c>
      <x:c r="G1752" s="11" t="str">
        <x:v>Keyboard</x:v>
      </x:c>
      <x:c r="H1752" s="11" t="n">
        <x:v>3</x:v>
      </x:c>
      <x:c r="I1752" s="19" t="n">
        <x:v>0</x:v>
      </x:c>
      <x:c r="J1752" s="11" t="n">
        <x:v>0</x:v>
      </x:c>
      <x:c r="K1752" s="20" t="n">
        <x:v>195</x:v>
      </x:c>
      <x:c r="L1752" s="20" t="n">
        <x:v>0</x:v>
      </x:c>
      <x:c r="M1752" s="20" t="n">
        <x:v>96</x:v>
      </x:c>
      <x:c r="N1752" s="20" t="n">
        <x:f>IF(J1752=1,0,K1752-L1752)</x:f>
        <x:v>195</x:v>
      </x:c>
      <x:c r="O1752" s="20" t="n">
        <x:f>N1752-M1752</x:f>
        <x:v>99</x:v>
      </x:c>
    </x:row>
    <x:row r="1753" ht="22" customHeight="1">
      <x:c r="A1753" s="11" t="n">
        <x:v>1749</x:v>
      </x:c>
      <x:c r="B1753" s="11" t="n">
        <x:v>892</x:v>
      </x:c>
      <x:c r="C1753" s="18" t="n">
        <x:v>45910</x:v>
      </x:c>
      <x:c r="D1753" s="11" t="str">
        <x:v>2025-09</x:v>
      </x:c>
      <x:c r="E1753" s="11" t="str">
        <x:v>Central</x:v>
      </x:c>
      <x:c r="F1753" s="11" t="str">
        <x:v>Office Supplies</x:v>
      </x:c>
      <x:c r="G1753" s="11" t="str">
        <x:v>Storage box</x:v>
      </x:c>
      <x:c r="H1753" s="11" t="n">
        <x:v>3</x:v>
      </x:c>
      <x:c r="I1753" s="19" t="n">
        <x:v>0.1</x:v>
      </x:c>
      <x:c r="J1753" s="11" t="n">
        <x:v>1</x:v>
      </x:c>
      <x:c r="K1753" s="20" t="n">
        <x:v>78</x:v>
      </x:c>
      <x:c r="L1753" s="20" t="n">
        <x:v>7.8</x:v>
      </x:c>
      <x:c r="M1753" s="20" t="n">
        <x:v>0</x:v>
      </x:c>
      <x:c r="N1753" s="20" t="n">
        <x:f>IF(J1753=1,0,K1753-L1753)</x:f>
        <x:v>0</x:v>
      </x:c>
      <x:c r="O1753" s="20" t="n">
        <x:f>N1753-M1753</x:f>
        <x:v>0</x:v>
      </x:c>
    </x:row>
    <x:row r="1754" ht="22" customHeight="1">
      <x:c r="A1754" s="11" t="n">
        <x:v>1750</x:v>
      </x:c>
      <x:c r="B1754" s="11" t="n">
        <x:v>892</x:v>
      </x:c>
      <x:c r="C1754" s="18" t="n">
        <x:v>45910</x:v>
      </x:c>
      <x:c r="D1754" s="11" t="str">
        <x:v>2025-09</x:v>
      </x:c>
      <x:c r="E1754" s="11" t="str">
        <x:v>Central</x:v>
      </x:c>
      <x:c r="F1754" s="11" t="str">
        <x:v>Technology</x:v>
      </x:c>
      <x:c r="G1754" s="11" t="str">
        <x:v>Keyboard</x:v>
      </x:c>
      <x:c r="H1754" s="11" t="n">
        <x:v>2</x:v>
      </x:c>
      <x:c r="I1754" s="19" t="n">
        <x:v>0.1</x:v>
      </x:c>
      <x:c r="J1754" s="11" t="n">
        <x:v>0</x:v>
      </x:c>
      <x:c r="K1754" s="20" t="n">
        <x:v>130</x:v>
      </x:c>
      <x:c r="L1754" s="20" t="n">
        <x:v>13</x:v>
      </x:c>
      <x:c r="M1754" s="20" t="n">
        <x:v>64</x:v>
      </x:c>
      <x:c r="N1754" s="20" t="n">
        <x:f>IF(J1754=1,0,K1754-L1754)</x:f>
        <x:v>117</x:v>
      </x:c>
      <x:c r="O1754" s="20" t="n">
        <x:f>N1754-M1754</x:f>
        <x:v>53</x:v>
      </x:c>
    </x:row>
    <x:row r="1755" ht="22" customHeight="1">
      <x:c r="A1755" s="11" t="n">
        <x:v>1751</x:v>
      </x:c>
      <x:c r="B1755" s="11" t="n">
        <x:v>892</x:v>
      </x:c>
      <x:c r="C1755" s="18" t="n">
        <x:v>45910</x:v>
      </x:c>
      <x:c r="D1755" s="11" t="str">
        <x:v>2025-09</x:v>
      </x:c>
      <x:c r="E1755" s="11" t="str">
        <x:v>Central</x:v>
      </x:c>
      <x:c r="F1755" s="11" t="str">
        <x:v>Furniture</x:v>
      </x:c>
      <x:c r="G1755" s="11" t="str">
        <x:v>Desk</x:v>
      </x:c>
      <x:c r="H1755" s="11" t="n">
        <x:v>2</x:v>
      </x:c>
      <x:c r="I1755" s="19" t="n">
        <x:v>0.15</x:v>
      </x:c>
      <x:c r="J1755" s="11" t="n">
        <x:v>0</x:v>
      </x:c>
      <x:c r="K1755" s="20" t="n">
        <x:v>560</x:v>
      </x:c>
      <x:c r="L1755" s="20" t="n">
        <x:v>84</x:v>
      </x:c>
      <x:c r="M1755" s="20" t="n">
        <x:v>380</x:v>
      </x:c>
      <x:c r="N1755" s="20" t="n">
        <x:f>IF(J1755=1,0,K1755-L1755)</x:f>
        <x:v>476</x:v>
      </x:c>
      <x:c r="O1755" s="20" t="n">
        <x:f>N1755-M1755</x:f>
        <x:v>96</x:v>
      </x:c>
    </x:row>
    <x:row r="1756" ht="22" customHeight="1">
      <x:c r="A1756" s="11" t="n">
        <x:v>1752</x:v>
      </x:c>
      <x:c r="B1756" s="11" t="n">
        <x:v>893</x:v>
      </x:c>
      <x:c r="C1756" s="18" t="n">
        <x:v>45907</x:v>
      </x:c>
      <x:c r="D1756" s="11" t="str">
        <x:v>2025-09</x:v>
      </x:c>
      <x:c r="E1756" s="11" t="str">
        <x:v>South</x:v>
      </x:c>
      <x:c r="F1756" s="11" t="str">
        <x:v>Technology</x:v>
      </x:c>
      <x:c r="G1756" s="11" t="str">
        <x:v>Monitor</x:v>
      </x:c>
      <x:c r="H1756" s="11" t="n">
        <x:v>4</x:v>
      </x:c>
      <x:c r="I1756" s="19" t="n">
        <x:v>0.1</x:v>
      </x:c>
      <x:c r="J1756" s="11" t="n">
        <x:v>0</x:v>
      </x:c>
      <x:c r="K1756" s="20" t="n">
        <x:v>960</x:v>
      </x:c>
      <x:c r="L1756" s="20" t="n">
        <x:v>96</x:v>
      </x:c>
      <x:c r="M1756" s="20" t="n">
        <x:v>640</x:v>
      </x:c>
      <x:c r="N1756" s="20" t="n">
        <x:f>IF(J1756=1,0,K1756-L1756)</x:f>
        <x:v>864</x:v>
      </x:c>
      <x:c r="O1756" s="20" t="n">
        <x:f>N1756-M1756</x:f>
        <x:v>224</x:v>
      </x:c>
    </x:row>
    <x:row r="1757" ht="22" customHeight="1">
      <x:c r="A1757" s="11" t="n">
        <x:v>1753</x:v>
      </x:c>
      <x:c r="B1757" s="11" t="n">
        <x:v>894</x:v>
      </x:c>
      <x:c r="C1757" s="18" t="n">
        <x:v>45508</x:v>
      </x:c>
      <x:c r="D1757" s="11" t="str">
        <x:v>2024-08</x:v>
      </x:c>
      <x:c r="E1757" s="11" t="str">
        <x:v>East</x:v>
      </x:c>
      <x:c r="F1757" s="11" t="str">
        <x:v>Technology</x:v>
      </x:c>
      <x:c r="G1757" s="11" t="str">
        <x:v>Monitor</x:v>
      </x:c>
      <x:c r="H1757" s="11" t="n">
        <x:v>1</x:v>
      </x:c>
      <x:c r="I1757" s="19" t="n">
        <x:v>0</x:v>
      </x:c>
      <x:c r="J1757" s="11" t="n">
        <x:v>0</x:v>
      </x:c>
      <x:c r="K1757" s="20" t="n">
        <x:v>240</x:v>
      </x:c>
      <x:c r="L1757" s="20" t="n">
        <x:v>0</x:v>
      </x:c>
      <x:c r="M1757" s="20" t="n">
        <x:v>160</x:v>
      </x:c>
      <x:c r="N1757" s="20" t="n">
        <x:f>IF(J1757=1,0,K1757-L1757)</x:f>
        <x:v>240</x:v>
      </x:c>
      <x:c r="O1757" s="20" t="n">
        <x:f>N1757-M1757</x:f>
        <x:v>80</x:v>
      </x:c>
    </x:row>
    <x:row r="1758" ht="22" customHeight="1">
      <x:c r="A1758" s="11" t="n">
        <x:v>1754</x:v>
      </x:c>
      <x:c r="B1758" s="11" t="n">
        <x:v>894</x:v>
      </x:c>
      <x:c r="C1758" s="18" t="n">
        <x:v>45508</x:v>
      </x:c>
      <x:c r="D1758" s="11" t="str">
        <x:v>2024-08</x:v>
      </x:c>
      <x:c r="E1758" s="11" t="str">
        <x:v>East</x:v>
      </x:c>
      <x:c r="F1758" s="11" t="str">
        <x:v>Furniture</x:v>
      </x:c>
      <x:c r="G1758" s="11" t="str">
        <x:v>Chair</x:v>
      </x:c>
      <x:c r="H1758" s="11" t="n">
        <x:v>4</x:v>
      </x:c>
      <x:c r="I1758" s="19" t="n">
        <x:v>0</x:v>
      </x:c>
      <x:c r="J1758" s="11" t="n">
        <x:v>0</x:v>
      </x:c>
      <x:c r="K1758" s="20" t="n">
        <x:v>680</x:v>
      </x:c>
      <x:c r="L1758" s="20" t="n">
        <x:v>0</x:v>
      </x:c>
      <x:c r="M1758" s="20" t="n">
        <x:v>440</x:v>
      </x:c>
      <x:c r="N1758" s="20" t="n">
        <x:f>IF(J1758=1,0,K1758-L1758)</x:f>
        <x:v>680</x:v>
      </x:c>
      <x:c r="O1758" s="20" t="n">
        <x:f>N1758-M1758</x:f>
        <x:v>240</x:v>
      </x:c>
    </x:row>
    <x:row r="1759" ht="22" customHeight="1">
      <x:c r="A1759" s="11" t="n">
        <x:v>1755</x:v>
      </x:c>
      <x:c r="B1759" s="11" t="n">
        <x:v>895</x:v>
      </x:c>
      <x:c r="C1759" s="18" t="n">
        <x:v>46021</x:v>
      </x:c>
      <x:c r="D1759" s="11" t="str">
        <x:v>2025-12</x:v>
      </x:c>
      <x:c r="E1759" s="11" t="str">
        <x:v>West</x:v>
      </x:c>
      <x:c r="F1759" s="11" t="str">
        <x:v>Furniture</x:v>
      </x:c>
      <x:c r="G1759" s="11" t="str">
        <x:v>Chair</x:v>
      </x:c>
      <x:c r="H1759" s="11" t="n">
        <x:v>1</x:v>
      </x:c>
      <x:c r="I1759" s="19" t="n">
        <x:v>0</x:v>
      </x:c>
      <x:c r="J1759" s="11" t="n">
        <x:v>0</x:v>
      </x:c>
      <x:c r="K1759" s="20" t="n">
        <x:v>170</x:v>
      </x:c>
      <x:c r="L1759" s="20" t="n">
        <x:v>0</x:v>
      </x:c>
      <x:c r="M1759" s="20" t="n">
        <x:v>110</x:v>
      </x:c>
      <x:c r="N1759" s="20" t="n">
        <x:f>IF(J1759=1,0,K1759-L1759)</x:f>
        <x:v>170</x:v>
      </x:c>
      <x:c r="O1759" s="20" t="n">
        <x:f>N1759-M1759</x:f>
        <x:v>60</x:v>
      </x:c>
    </x:row>
    <x:row r="1760" ht="22" customHeight="1">
      <x:c r="A1760" s="11" t="n">
        <x:v>1756</x:v>
      </x:c>
      <x:c r="B1760" s="11" t="n">
        <x:v>895</x:v>
      </x:c>
      <x:c r="C1760" s="18" t="n">
        <x:v>46021</x:v>
      </x:c>
      <x:c r="D1760" s="11" t="str">
        <x:v>2025-12</x:v>
      </x:c>
      <x:c r="E1760" s="11" t="str">
        <x:v>West</x:v>
      </x:c>
      <x:c r="F1760" s="11" t="str">
        <x:v>Technology</x:v>
      </x:c>
      <x:c r="G1760" s="11" t="str">
        <x:v>Monitor</x:v>
      </x:c>
      <x:c r="H1760" s="11" t="n">
        <x:v>4</x:v>
      </x:c>
      <x:c r="I1760" s="19" t="n">
        <x:v>0.05</x:v>
      </x:c>
      <x:c r="J1760" s="11" t="n">
        <x:v>0</x:v>
      </x:c>
      <x:c r="K1760" s="20" t="n">
        <x:v>960</x:v>
      </x:c>
      <x:c r="L1760" s="20" t="n">
        <x:v>48</x:v>
      </x:c>
      <x:c r="M1760" s="20" t="n">
        <x:v>640</x:v>
      </x:c>
      <x:c r="N1760" s="20" t="n">
        <x:f>IF(J1760=1,0,K1760-L1760)</x:f>
        <x:v>912</x:v>
      </x:c>
      <x:c r="O1760" s="20" t="n">
        <x:f>N1760-M1760</x:f>
        <x:v>272</x:v>
      </x:c>
    </x:row>
    <x:row r="1761" ht="22" customHeight="1">
      <x:c r="A1761" s="11" t="n">
        <x:v>1757</x:v>
      </x:c>
      <x:c r="B1761" s="11" t="n">
        <x:v>895</x:v>
      </x:c>
      <x:c r="C1761" s="18" t="n">
        <x:v>46021</x:v>
      </x:c>
      <x:c r="D1761" s="11" t="str">
        <x:v>2025-12</x:v>
      </x:c>
      <x:c r="E1761" s="11" t="str">
        <x:v>West</x:v>
      </x:c>
      <x:c r="F1761" s="11" t="str">
        <x:v>Office Supplies</x:v>
      </x:c>
      <x:c r="G1761" s="11" t="str">
        <x:v>Storage box</x:v>
      </x:c>
      <x:c r="H1761" s="11" t="n">
        <x:v>3</x:v>
      </x:c>
      <x:c r="I1761" s="19" t="n">
        <x:v>0</x:v>
      </x:c>
      <x:c r="J1761" s="11" t="n">
        <x:v>0</x:v>
      </x:c>
      <x:c r="K1761" s="20" t="n">
        <x:v>78</x:v>
      </x:c>
      <x:c r="L1761" s="20" t="n">
        <x:v>0</x:v>
      </x:c>
      <x:c r="M1761" s="20" t="n">
        <x:v>36</x:v>
      </x:c>
      <x:c r="N1761" s="20" t="n">
        <x:f>IF(J1761=1,0,K1761-L1761)</x:f>
        <x:v>78</x:v>
      </x:c>
      <x:c r="O1761" s="20" t="n">
        <x:f>N1761-M1761</x:f>
        <x:v>42</x:v>
      </x:c>
    </x:row>
    <x:row r="1762" ht="22" customHeight="1">
      <x:c r="A1762" s="11" t="n">
        <x:v>1758</x:v>
      </x:c>
      <x:c r="B1762" s="11" t="n">
        <x:v>896</x:v>
      </x:c>
      <x:c r="C1762" s="18" t="n">
        <x:v>45721</x:v>
      </x:c>
      <x:c r="D1762" s="11" t="str">
        <x:v>2025-03</x:v>
      </x:c>
      <x:c r="E1762" s="11" t="str">
        <x:v>Central</x:v>
      </x:c>
      <x:c r="F1762" s="11" t="str">
        <x:v>Office Supplies</x:v>
      </x:c>
      <x:c r="G1762" s="11" t="str">
        <x:v>Storage box</x:v>
      </x:c>
      <x:c r="H1762" s="11" t="n">
        <x:v>3</x:v>
      </x:c>
      <x:c r="I1762" s="19" t="n">
        <x:v>0.15</x:v>
      </x:c>
      <x:c r="J1762" s="11" t="n">
        <x:v>0</x:v>
      </x:c>
      <x:c r="K1762" s="20" t="n">
        <x:v>78</x:v>
      </x:c>
      <x:c r="L1762" s="20" t="n">
        <x:v>11.7</x:v>
      </x:c>
      <x:c r="M1762" s="20" t="n">
        <x:v>36</x:v>
      </x:c>
      <x:c r="N1762" s="20" t="n">
        <x:f>IF(J1762=1,0,K1762-L1762)</x:f>
        <x:v>66.3</x:v>
      </x:c>
      <x:c r="O1762" s="20" t="n">
        <x:f>N1762-M1762</x:f>
        <x:v>30.299999999999997</x:v>
      </x:c>
    </x:row>
    <x:row r="1763" ht="22" customHeight="1">
      <x:c r="A1763" s="11" t="n">
        <x:v>1759</x:v>
      </x:c>
      <x:c r="B1763" s="11" t="n">
        <x:v>896</x:v>
      </x:c>
      <x:c r="C1763" s="18" t="n">
        <x:v>45721</x:v>
      </x:c>
      <x:c r="D1763" s="11" t="str">
        <x:v>2025-03</x:v>
      </x:c>
      <x:c r="E1763" s="11" t="str">
        <x:v>Central</x:v>
      </x:c>
      <x:c r="F1763" s="11" t="str">
        <x:v>Furniture</x:v>
      </x:c>
      <x:c r="G1763" s="11" t="str">
        <x:v>Chair</x:v>
      </x:c>
      <x:c r="H1763" s="11" t="n">
        <x:v>1</x:v>
      </x:c>
      <x:c r="I1763" s="19" t="n">
        <x:v>0.05</x:v>
      </x:c>
      <x:c r="J1763" s="11" t="n">
        <x:v>0</x:v>
      </x:c>
      <x:c r="K1763" s="20" t="n">
        <x:v>170</x:v>
      </x:c>
      <x:c r="L1763" s="20" t="n">
        <x:v>8.5</x:v>
      </x:c>
      <x:c r="M1763" s="20" t="n">
        <x:v>110</x:v>
      </x:c>
      <x:c r="N1763" s="20" t="n">
        <x:f>IF(J1763=1,0,K1763-L1763)</x:f>
        <x:v>161.5</x:v>
      </x:c>
      <x:c r="O1763" s="20" t="n">
        <x:f>N1763-M1763</x:f>
        <x:v>51.5</x:v>
      </x:c>
    </x:row>
    <x:row r="1764" ht="22" customHeight="1">
      <x:c r="A1764" s="11" t="n">
        <x:v>1760</x:v>
      </x:c>
      <x:c r="B1764" s="11" t="n">
        <x:v>896</x:v>
      </x:c>
      <x:c r="C1764" s="18" t="n">
        <x:v>45721</x:v>
      </x:c>
      <x:c r="D1764" s="11" t="str">
        <x:v>2025-03</x:v>
      </x:c>
      <x:c r="E1764" s="11" t="str">
        <x:v>Central</x:v>
      </x:c>
      <x:c r="F1764" s="11" t="str">
        <x:v>Technology</x:v>
      </x:c>
      <x:c r="G1764" s="11" t="str">
        <x:v>Keyboard</x:v>
      </x:c>
      <x:c r="H1764" s="11" t="n">
        <x:v>5</x:v>
      </x:c>
      <x:c r="I1764" s="19" t="n">
        <x:v>0.15</x:v>
      </x:c>
      <x:c r="J1764" s="11" t="n">
        <x:v>0</x:v>
      </x:c>
      <x:c r="K1764" s="20" t="n">
        <x:v>325</x:v>
      </x:c>
      <x:c r="L1764" s="20" t="n">
        <x:v>48.75</x:v>
      </x:c>
      <x:c r="M1764" s="20" t="n">
        <x:v>160</x:v>
      </x:c>
      <x:c r="N1764" s="20" t="n">
        <x:f>IF(J1764=1,0,K1764-L1764)</x:f>
        <x:v>276.25</x:v>
      </x:c>
      <x:c r="O1764" s="20" t="n">
        <x:f>N1764-M1764</x:f>
        <x:v>116.25</x:v>
      </x:c>
    </x:row>
    <x:row r="1765" ht="22" customHeight="1">
      <x:c r="A1765" s="11" t="n">
        <x:v>1761</x:v>
      </x:c>
      <x:c r="B1765" s="11" t="n">
        <x:v>897</x:v>
      </x:c>
      <x:c r="C1765" s="18" t="n">
        <x:v>45972</x:v>
      </x:c>
      <x:c r="D1765" s="11" t="str">
        <x:v>2025-11</x:v>
      </x:c>
      <x:c r="E1765" s="11" t="str">
        <x:v>East</x:v>
      </x:c>
      <x:c r="F1765" s="11" t="str">
        <x:v>Furniture</x:v>
      </x:c>
      <x:c r="G1765" s="11" t="str">
        <x:v>Chair</x:v>
      </x:c>
      <x:c r="H1765" s="11" t="n">
        <x:v>4</x:v>
      </x:c>
      <x:c r="I1765" s="19" t="n">
        <x:v>0</x:v>
      </x:c>
      <x:c r="J1765" s="11" t="n">
        <x:v>0</x:v>
      </x:c>
      <x:c r="K1765" s="20" t="n">
        <x:v>680</x:v>
      </x:c>
      <x:c r="L1765" s="20" t="n">
        <x:v>0</x:v>
      </x:c>
      <x:c r="M1765" s="20" t="n">
        <x:v>440</x:v>
      </x:c>
      <x:c r="N1765" s="20" t="n">
        <x:f>IF(J1765=1,0,K1765-L1765)</x:f>
        <x:v>680</x:v>
      </x:c>
      <x:c r="O1765" s="20" t="n">
        <x:f>N1765-M1765</x:f>
        <x:v>240</x:v>
      </x:c>
    </x:row>
    <x:row r="1766" ht="22" customHeight="1">
      <x:c r="A1766" s="11" t="n">
        <x:v>1762</x:v>
      </x:c>
      <x:c r="B1766" s="11" t="n">
        <x:v>898</x:v>
      </x:c>
      <x:c r="C1766" s="18" t="n">
        <x:v>45616</x:v>
      </x:c>
      <x:c r="D1766" s="11" t="str">
        <x:v>2024-11</x:v>
      </x:c>
      <x:c r="E1766" s="11" t="str">
        <x:v>Central</x:v>
      </x:c>
      <x:c r="F1766" s="11" t="str">
        <x:v>Office Supplies</x:v>
      </x:c>
      <x:c r="G1766" s="11" t="str">
        <x:v>Notebook pack</x:v>
      </x:c>
      <x:c r="H1766" s="11" t="n">
        <x:v>4</x:v>
      </x:c>
      <x:c r="I1766" s="19" t="n">
        <x:v>0</x:v>
      </x:c>
      <x:c r="J1766" s="11" t="n">
        <x:v>0</x:v>
      </x:c>
      <x:c r="K1766" s="20" t="n">
        <x:v>72</x:v>
      </x:c>
      <x:c r="L1766" s="20" t="n">
        <x:v>0</x:v>
      </x:c>
      <x:c r="M1766" s="20" t="n">
        <x:v>28</x:v>
      </x:c>
      <x:c r="N1766" s="20" t="n">
        <x:f>IF(J1766=1,0,K1766-L1766)</x:f>
        <x:v>72</x:v>
      </x:c>
      <x:c r="O1766" s="20" t="n">
        <x:f>N1766-M1766</x:f>
        <x:v>44</x:v>
      </x:c>
    </x:row>
    <x:row r="1767" ht="22" customHeight="1">
      <x:c r="A1767" s="11" t="n">
        <x:v>1763</x:v>
      </x:c>
      <x:c r="B1767" s="11" t="n">
        <x:v>898</x:v>
      </x:c>
      <x:c r="C1767" s="18" t="n">
        <x:v>45616</x:v>
      </x:c>
      <x:c r="D1767" s="11" t="str">
        <x:v>2024-11</x:v>
      </x:c>
      <x:c r="E1767" s="11" t="str">
        <x:v>Central</x:v>
      </x:c>
      <x:c r="F1767" s="11" t="str">
        <x:v>Furniture</x:v>
      </x:c>
      <x:c r="G1767" s="11" t="str">
        <x:v>Desk</x:v>
      </x:c>
      <x:c r="H1767" s="11" t="n">
        <x:v>5</x:v>
      </x:c>
      <x:c r="I1767" s="19" t="n">
        <x:v>0</x:v>
      </x:c>
      <x:c r="J1767" s="11" t="n">
        <x:v>1</x:v>
      </x:c>
      <x:c r="K1767" s="20" t="n">
        <x:v>1400</x:v>
      </x:c>
      <x:c r="L1767" s="20" t="n">
        <x:v>0</x:v>
      </x:c>
      <x:c r="M1767" s="20" t="n">
        <x:v>0</x:v>
      </x:c>
      <x:c r="N1767" s="20" t="n">
        <x:f>IF(J1767=1,0,K1767-L1767)</x:f>
        <x:v>0</x:v>
      </x:c>
      <x:c r="O1767" s="20" t="n">
        <x:f>N1767-M1767</x:f>
        <x:v>0</x:v>
      </x:c>
    </x:row>
    <x:row r="1768" ht="22" customHeight="1">
      <x:c r="A1768" s="11" t="n">
        <x:v>1764</x:v>
      </x:c>
      <x:c r="B1768" s="11" t="n">
        <x:v>899</x:v>
      </x:c>
      <x:c r="C1768" s="18" t="n">
        <x:v>45484</x:v>
      </x:c>
      <x:c r="D1768" s="11" t="str">
        <x:v>2024-07</x:v>
      </x:c>
      <x:c r="E1768" s="11" t="str">
        <x:v>South</x:v>
      </x:c>
      <x:c r="F1768" s="11" t="str">
        <x:v>Technology</x:v>
      </x:c>
      <x:c r="G1768" s="11" t="str">
        <x:v>Keyboard</x:v>
      </x:c>
      <x:c r="H1768" s="11" t="n">
        <x:v>2</x:v>
      </x:c>
      <x:c r="I1768" s="19" t="n">
        <x:v>0</x:v>
      </x:c>
      <x:c r="J1768" s="11" t="n">
        <x:v>0</x:v>
      </x:c>
      <x:c r="K1768" s="20" t="n">
        <x:v>130</x:v>
      </x:c>
      <x:c r="L1768" s="20" t="n">
        <x:v>0</x:v>
      </x:c>
      <x:c r="M1768" s="20" t="n">
        <x:v>64</x:v>
      </x:c>
      <x:c r="N1768" s="20" t="n">
        <x:f>IF(J1768=1,0,K1768-L1768)</x:f>
        <x:v>130</x:v>
      </x:c>
      <x:c r="O1768" s="20" t="n">
        <x:f>N1768-M1768</x:f>
        <x:v>66</x:v>
      </x:c>
    </x:row>
    <x:row r="1769" ht="22" customHeight="1">
      <x:c r="A1769" s="11" t="n">
        <x:v>1765</x:v>
      </x:c>
      <x:c r="B1769" s="11" t="n">
        <x:v>899</x:v>
      </x:c>
      <x:c r="C1769" s="18" t="n">
        <x:v>45484</x:v>
      </x:c>
      <x:c r="D1769" s="11" t="str">
        <x:v>2024-07</x:v>
      </x:c>
      <x:c r="E1769" s="11" t="str">
        <x:v>South</x:v>
      </x:c>
      <x:c r="F1769" s="11" t="str">
        <x:v>Furniture</x:v>
      </x:c>
      <x:c r="G1769" s="11" t="str">
        <x:v>Chair</x:v>
      </x:c>
      <x:c r="H1769" s="11" t="n">
        <x:v>5</x:v>
      </x:c>
      <x:c r="I1769" s="19" t="n">
        <x:v>0</x:v>
      </x:c>
      <x:c r="J1769" s="11" t="n">
        <x:v>0</x:v>
      </x:c>
      <x:c r="K1769" s="20" t="n">
        <x:v>850</x:v>
      </x:c>
      <x:c r="L1769" s="20" t="n">
        <x:v>0</x:v>
      </x:c>
      <x:c r="M1769" s="20" t="n">
        <x:v>550</x:v>
      </x:c>
      <x:c r="N1769" s="20" t="n">
        <x:f>IF(J1769=1,0,K1769-L1769)</x:f>
        <x:v>850</x:v>
      </x:c>
      <x:c r="O1769" s="20" t="n">
        <x:f>N1769-M1769</x:f>
        <x:v>300</x:v>
      </x:c>
    </x:row>
    <x:row r="1770" ht="22" customHeight="1">
      <x:c r="A1770" s="11" t="n">
        <x:v>1766</x:v>
      </x:c>
      <x:c r="B1770" s="11" t="n">
        <x:v>899</x:v>
      </x:c>
      <x:c r="C1770" s="18" t="n">
        <x:v>45484</x:v>
      </x:c>
      <x:c r="D1770" s="11" t="str">
        <x:v>2024-07</x:v>
      </x:c>
      <x:c r="E1770" s="11" t="str">
        <x:v>South</x:v>
      </x:c>
      <x:c r="F1770" s="11" t="str">
        <x:v>Technology</x:v>
      </x:c>
      <x:c r="G1770" s="11" t="str">
        <x:v>Monitor</x:v>
      </x:c>
      <x:c r="H1770" s="11" t="n">
        <x:v>3</x:v>
      </x:c>
      <x:c r="I1770" s="19" t="n">
        <x:v>0</x:v>
      </x:c>
      <x:c r="J1770" s="11" t="n">
        <x:v>0</x:v>
      </x:c>
      <x:c r="K1770" s="20" t="n">
        <x:v>720</x:v>
      </x:c>
      <x:c r="L1770" s="20" t="n">
        <x:v>0</x:v>
      </x:c>
      <x:c r="M1770" s="20" t="n">
        <x:v>480</x:v>
      </x:c>
      <x:c r="N1770" s="20" t="n">
        <x:f>IF(J1770=1,0,K1770-L1770)</x:f>
        <x:v>720</x:v>
      </x:c>
      <x:c r="O1770" s="20" t="n">
        <x:f>N1770-M1770</x:f>
        <x:v>240</x:v>
      </x:c>
    </x:row>
    <x:row r="1771" ht="22" customHeight="1">
      <x:c r="A1771" s="11" t="n">
        <x:v>1767</x:v>
      </x:c>
      <x:c r="B1771" s="11" t="n">
        <x:v>900</x:v>
      </x:c>
      <x:c r="C1771" s="18" t="n">
        <x:v>45606</x:v>
      </x:c>
      <x:c r="D1771" s="11" t="str">
        <x:v>2024-11</x:v>
      </x:c>
      <x:c r="E1771" s="11" t="str">
        <x:v>South</x:v>
      </x:c>
      <x:c r="F1771" s="11" t="str">
        <x:v>Technology</x:v>
      </x:c>
      <x:c r="G1771" s="11" t="str">
        <x:v>Keyboard</x:v>
      </x:c>
      <x:c r="H1771" s="11" t="n">
        <x:v>4</x:v>
      </x:c>
      <x:c r="I1771" s="19" t="n">
        <x:v>0.05</x:v>
      </x:c>
      <x:c r="J1771" s="11" t="n">
        <x:v>0</x:v>
      </x:c>
      <x:c r="K1771" s="20" t="n">
        <x:v>260</x:v>
      </x:c>
      <x:c r="L1771" s="20" t="n">
        <x:v>13</x:v>
      </x:c>
      <x:c r="M1771" s="20" t="n">
        <x:v>128</x:v>
      </x:c>
      <x:c r="N1771" s="20" t="n">
        <x:f>IF(J1771=1,0,K1771-L1771)</x:f>
        <x:v>247</x:v>
      </x:c>
      <x:c r="O1771" s="20" t="n">
        <x:f>N1771-M1771</x:f>
        <x:v>119</x:v>
      </x:c>
    </x:row>
    <x:row r="1772" ht="22" customHeight="1">
      <x:c r="A1772" s="11" t="n">
        <x:v>1768</x:v>
      </x:c>
      <x:c r="B1772" s="11" t="n">
        <x:v>900</x:v>
      </x:c>
      <x:c r="C1772" s="18" t="n">
        <x:v>45606</x:v>
      </x:c>
      <x:c r="D1772" s="11" t="str">
        <x:v>2024-11</x:v>
      </x:c>
      <x:c r="E1772" s="11" t="str">
        <x:v>South</x:v>
      </x:c>
      <x:c r="F1772" s="11" t="str">
        <x:v>Office Supplies</x:v>
      </x:c>
      <x:c r="G1772" s="11" t="str">
        <x:v>Storage box</x:v>
      </x:c>
      <x:c r="H1772" s="11" t="n">
        <x:v>5</x:v>
      </x:c>
      <x:c r="I1772" s="19" t="n">
        <x:v>0.1</x:v>
      </x:c>
      <x:c r="J1772" s="11" t="n">
        <x:v>0</x:v>
      </x:c>
      <x:c r="K1772" s="20" t="n">
        <x:v>130</x:v>
      </x:c>
      <x:c r="L1772" s="20" t="n">
        <x:v>13</x:v>
      </x:c>
      <x:c r="M1772" s="20" t="n">
        <x:v>60</x:v>
      </x:c>
      <x:c r="N1772" s="20" t="n">
        <x:f>IF(J1772=1,0,K1772-L1772)</x:f>
        <x:v>117</x:v>
      </x:c>
      <x:c r="O1772" s="20" t="n">
        <x:f>N1772-M1772</x:f>
        <x:v>57</x:v>
      </x:c>
    </x:row>
    <x:row r="1773" ht="22" customHeight="1">
      <x:c r="A1773" s="11" t="n">
        <x:v>1769</x:v>
      </x:c>
      <x:c r="B1773" s="11" t="n">
        <x:v>900</x:v>
      </x:c>
      <x:c r="C1773" s="18" t="n">
        <x:v>45606</x:v>
      </x:c>
      <x:c r="D1773" s="11" t="str">
        <x:v>2024-11</x:v>
      </x:c>
      <x:c r="E1773" s="11" t="str">
        <x:v>South</x:v>
      </x:c>
      <x:c r="F1773" s="11" t="str">
        <x:v>Office Supplies</x:v>
      </x:c>
      <x:c r="G1773" s="11" t="str">
        <x:v>Notebook pack</x:v>
      </x:c>
      <x:c r="H1773" s="11" t="n">
        <x:v>3</x:v>
      </x:c>
      <x:c r="I1773" s="19" t="n">
        <x:v>0</x:v>
      </x:c>
      <x:c r="J1773" s="11" t="n">
        <x:v>0</x:v>
      </x:c>
      <x:c r="K1773" s="20" t="n">
        <x:v>54</x:v>
      </x:c>
      <x:c r="L1773" s="20" t="n">
        <x:v>0</x:v>
      </x:c>
      <x:c r="M1773" s="20" t="n">
        <x:v>21</x:v>
      </x:c>
      <x:c r="N1773" s="20" t="n">
        <x:f>IF(J1773=1,0,K1773-L1773)</x:f>
        <x:v>54</x:v>
      </x:c>
      <x:c r="O1773" s="20" t="n">
        <x:f>N1773-M1773</x:f>
        <x:v>33</x:v>
      </x:c>
    </x:row>
    <x:row r="1774" ht="22" customHeight="1">
      <x:c r="A1774" s="11" t="n">
        <x:v>1770</x:v>
      </x:c>
      <x:c r="B1774" s="11" t="n">
        <x:v>901</x:v>
      </x:c>
      <x:c r="C1774" s="18" t="n">
        <x:v>45761</x:v>
      </x:c>
      <x:c r="D1774" s="11" t="str">
        <x:v>2025-04</x:v>
      </x:c>
      <x:c r="E1774" s="11" t="str">
        <x:v>South</x:v>
      </x:c>
      <x:c r="F1774" s="11" t="str">
        <x:v>Office Supplies</x:v>
      </x:c>
      <x:c r="G1774" s="11" t="str">
        <x:v>Notebook pack</x:v>
      </x:c>
      <x:c r="H1774" s="11" t="n">
        <x:v>5</x:v>
      </x:c>
      <x:c r="I1774" s="19" t="n">
        <x:v>0</x:v>
      </x:c>
      <x:c r="J1774" s="11" t="n">
        <x:v>0</x:v>
      </x:c>
      <x:c r="K1774" s="20" t="n">
        <x:v>90</x:v>
      </x:c>
      <x:c r="L1774" s="20" t="n">
        <x:v>0</x:v>
      </x:c>
      <x:c r="M1774" s="20" t="n">
        <x:v>35</x:v>
      </x:c>
      <x:c r="N1774" s="20" t="n">
        <x:f>IF(J1774=1,0,K1774-L1774)</x:f>
        <x:v>90</x:v>
      </x:c>
      <x:c r="O1774" s="20" t="n">
        <x:f>N1774-M1774</x:f>
        <x:v>55</x:v>
      </x:c>
    </x:row>
    <x:row r="1775" ht="22" customHeight="1">
      <x:c r="A1775" s="11" t="n">
        <x:v>1771</x:v>
      </x:c>
      <x:c r="B1775" s="11" t="n">
        <x:v>902</x:v>
      </x:c>
      <x:c r="C1775" s="18" t="n">
        <x:v>45682</x:v>
      </x:c>
      <x:c r="D1775" s="11" t="str">
        <x:v>2025-01</x:v>
      </x:c>
      <x:c r="E1775" s="11" t="str">
        <x:v>South</x:v>
      </x:c>
      <x:c r="F1775" s="11" t="str">
        <x:v>Technology</x:v>
      </x:c>
      <x:c r="G1775" s="11" t="str">
        <x:v>Monitor</x:v>
      </x:c>
      <x:c r="H1775" s="11" t="n">
        <x:v>1</x:v>
      </x:c>
      <x:c r="I1775" s="19" t="n">
        <x:v>0</x:v>
      </x:c>
      <x:c r="J1775" s="11" t="n">
        <x:v>0</x:v>
      </x:c>
      <x:c r="K1775" s="20" t="n">
        <x:v>240</x:v>
      </x:c>
      <x:c r="L1775" s="20" t="n">
        <x:v>0</x:v>
      </x:c>
      <x:c r="M1775" s="20" t="n">
        <x:v>160</x:v>
      </x:c>
      <x:c r="N1775" s="20" t="n">
        <x:f>IF(J1775=1,0,K1775-L1775)</x:f>
        <x:v>240</x:v>
      </x:c>
      <x:c r="O1775" s="20" t="n">
        <x:f>N1775-M1775</x:f>
        <x:v>80</x:v>
      </x:c>
    </x:row>
    <x:row r="1776" ht="22" customHeight="1">
      <x:c r="A1776" s="11" t="n">
        <x:v>1772</x:v>
      </x:c>
      <x:c r="B1776" s="11" t="n">
        <x:v>902</x:v>
      </x:c>
      <x:c r="C1776" s="18" t="n">
        <x:v>45682</x:v>
      </x:c>
      <x:c r="D1776" s="11" t="str">
        <x:v>2025-01</x:v>
      </x:c>
      <x:c r="E1776" s="11" t="str">
        <x:v>South</x:v>
      </x:c>
      <x:c r="F1776" s="11" t="str">
        <x:v>Office Supplies</x:v>
      </x:c>
      <x:c r="G1776" s="11" t="str">
        <x:v>Notebook pack</x:v>
      </x:c>
      <x:c r="H1776" s="11" t="n">
        <x:v>1</x:v>
      </x:c>
      <x:c r="I1776" s="19" t="n">
        <x:v>0.15</x:v>
      </x:c>
      <x:c r="J1776" s="11" t="n">
        <x:v>0</x:v>
      </x:c>
      <x:c r="K1776" s="20" t="n">
        <x:v>18</x:v>
      </x:c>
      <x:c r="L1776" s="20" t="n">
        <x:v>2.7</x:v>
      </x:c>
      <x:c r="M1776" s="20" t="n">
        <x:v>7</x:v>
      </x:c>
      <x:c r="N1776" s="20" t="n">
        <x:f>IF(J1776=1,0,K1776-L1776)</x:f>
        <x:v>15.3</x:v>
      </x:c>
      <x:c r="O1776" s="20" t="n">
        <x:f>N1776-M1776</x:f>
        <x:v>8.3</x:v>
      </x:c>
    </x:row>
    <x:row r="1777" ht="22" customHeight="1">
      <x:c r="A1777" s="11" t="n">
        <x:v>1773</x:v>
      </x:c>
      <x:c r="B1777" s="11" t="n">
        <x:v>902</x:v>
      </x:c>
      <x:c r="C1777" s="18" t="n">
        <x:v>45682</x:v>
      </x:c>
      <x:c r="D1777" s="11" t="str">
        <x:v>2025-01</x:v>
      </x:c>
      <x:c r="E1777" s="11" t="str">
        <x:v>South</x:v>
      </x:c>
      <x:c r="F1777" s="11" t="str">
        <x:v>Furniture</x:v>
      </x:c>
      <x:c r="G1777" s="11" t="str">
        <x:v>Desk</x:v>
      </x:c>
      <x:c r="H1777" s="11" t="n">
        <x:v>1</x:v>
      </x:c>
      <x:c r="I1777" s="19" t="n">
        <x:v>0.35</x:v>
      </x:c>
      <x:c r="J1777" s="11" t="n">
        <x:v>0</x:v>
      </x:c>
      <x:c r="K1777" s="20" t="n">
        <x:v>280</x:v>
      </x:c>
      <x:c r="L1777" s="20" t="n">
        <x:v>98</x:v>
      </x:c>
      <x:c r="M1777" s="20" t="n">
        <x:v>190</x:v>
      </x:c>
      <x:c r="N1777" s="20" t="n">
        <x:f>IF(J1777=1,0,K1777-L1777)</x:f>
        <x:v>182</x:v>
      </x:c>
      <x:c r="O1777" s="20" t="n">
        <x:f>N1777-M1777</x:f>
        <x:v>-8</x:v>
      </x:c>
    </x:row>
    <x:row r="1778" ht="22" customHeight="1">
      <x:c r="A1778" s="11" t="n">
        <x:v>1774</x:v>
      </x:c>
      <x:c r="B1778" s="11" t="n">
        <x:v>903</x:v>
      </x:c>
      <x:c r="C1778" s="18" t="n">
        <x:v>45930</x:v>
      </x:c>
      <x:c r="D1778" s="11" t="str">
        <x:v>2025-09</x:v>
      </x:c>
      <x:c r="E1778" s="11" t="str">
        <x:v>Central</x:v>
      </x:c>
      <x:c r="F1778" s="11" t="str">
        <x:v>Technology</x:v>
      </x:c>
      <x:c r="G1778" s="11" t="str">
        <x:v>Keyboard</x:v>
      </x:c>
      <x:c r="H1778" s="11" t="n">
        <x:v>3</x:v>
      </x:c>
      <x:c r="I1778" s="19" t="n">
        <x:v>0.1</x:v>
      </x:c>
      <x:c r="J1778" s="11" t="n">
        <x:v>0</x:v>
      </x:c>
      <x:c r="K1778" s="20" t="n">
        <x:v>195</x:v>
      </x:c>
      <x:c r="L1778" s="20" t="n">
        <x:v>19.5</x:v>
      </x:c>
      <x:c r="M1778" s="20" t="n">
        <x:v>96</x:v>
      </x:c>
      <x:c r="N1778" s="20" t="n">
        <x:f>IF(J1778=1,0,K1778-L1778)</x:f>
        <x:v>175.5</x:v>
      </x:c>
      <x:c r="O1778" s="20" t="n">
        <x:f>N1778-M1778</x:f>
        <x:v>79.5</x:v>
      </x:c>
    </x:row>
    <x:row r="1779" ht="22" customHeight="1">
      <x:c r="A1779" s="11" t="n">
        <x:v>1775</x:v>
      </x:c>
      <x:c r="B1779" s="11" t="n">
        <x:v>903</x:v>
      </x:c>
      <x:c r="C1779" s="18" t="n">
        <x:v>45930</x:v>
      </x:c>
      <x:c r="D1779" s="11" t="str">
        <x:v>2025-09</x:v>
      </x:c>
      <x:c r="E1779" s="11" t="str">
        <x:v>Central</x:v>
      </x:c>
      <x:c r="F1779" s="11" t="str">
        <x:v>Office Supplies</x:v>
      </x:c>
      <x:c r="G1779" s="11" t="str">
        <x:v>Notebook pack</x:v>
      </x:c>
      <x:c r="H1779" s="11" t="n">
        <x:v>4</x:v>
      </x:c>
      <x:c r="I1779" s="19" t="n">
        <x:v>0.15</x:v>
      </x:c>
      <x:c r="J1779" s="11" t="n">
        <x:v>0</x:v>
      </x:c>
      <x:c r="K1779" s="20" t="n">
        <x:v>72</x:v>
      </x:c>
      <x:c r="L1779" s="20" t="n">
        <x:v>10.8</x:v>
      </x:c>
      <x:c r="M1779" s="20" t="n">
        <x:v>28</x:v>
      </x:c>
      <x:c r="N1779" s="20" t="n">
        <x:f>IF(J1779=1,0,K1779-L1779)</x:f>
        <x:v>61.2</x:v>
      </x:c>
      <x:c r="O1779" s="20" t="n">
        <x:f>N1779-M1779</x:f>
        <x:v>33.2</x:v>
      </x:c>
    </x:row>
    <x:row r="1780" ht="22" customHeight="1">
      <x:c r="A1780" s="11" t="n">
        <x:v>1776</x:v>
      </x:c>
      <x:c r="B1780" s="11" t="n">
        <x:v>903</x:v>
      </x:c>
      <x:c r="C1780" s="18" t="n">
        <x:v>45930</x:v>
      </x:c>
      <x:c r="D1780" s="11" t="str">
        <x:v>2025-09</x:v>
      </x:c>
      <x:c r="E1780" s="11" t="str">
        <x:v>Central</x:v>
      </x:c>
      <x:c r="F1780" s="11" t="str">
        <x:v>Furniture</x:v>
      </x:c>
      <x:c r="G1780" s="11" t="str">
        <x:v>Desk</x:v>
      </x:c>
      <x:c r="H1780" s="11" t="n">
        <x:v>2</x:v>
      </x:c>
      <x:c r="I1780" s="19" t="n">
        <x:v>0.35</x:v>
      </x:c>
      <x:c r="J1780" s="11" t="n">
        <x:v>0</x:v>
      </x:c>
      <x:c r="K1780" s="20" t="n">
        <x:v>560</x:v>
      </x:c>
      <x:c r="L1780" s="20" t="n">
        <x:v>196</x:v>
      </x:c>
      <x:c r="M1780" s="20" t="n">
        <x:v>380</x:v>
      </x:c>
      <x:c r="N1780" s="20" t="n">
        <x:f>IF(J1780=1,0,K1780-L1780)</x:f>
        <x:v>364</x:v>
      </x:c>
      <x:c r="O1780" s="20" t="n">
        <x:f>N1780-M1780</x:f>
        <x:v>-16</x:v>
      </x:c>
    </x:row>
    <x:row r="1781" ht="22" customHeight="1">
      <x:c r="A1781" s="11" t="n">
        <x:v>1777</x:v>
      </x:c>
      <x:c r="B1781" s="11" t="n">
        <x:v>904</x:v>
      </x:c>
      <x:c r="C1781" s="18" t="n">
        <x:v>45651</x:v>
      </x:c>
      <x:c r="D1781" s="11" t="str">
        <x:v>2024-12</x:v>
      </x:c>
      <x:c r="E1781" s="11" t="str">
        <x:v>West</x:v>
      </x:c>
      <x:c r="F1781" s="11" t="str">
        <x:v>Office Supplies</x:v>
      </x:c>
      <x:c r="G1781" s="11" t="str">
        <x:v>Storage box</x:v>
      </x:c>
      <x:c r="H1781" s="11" t="n">
        <x:v>3</x:v>
      </x:c>
      <x:c r="I1781" s="19" t="n">
        <x:v>0</x:v>
      </x:c>
      <x:c r="J1781" s="11" t="n">
        <x:v>0</x:v>
      </x:c>
      <x:c r="K1781" s="20" t="n">
        <x:v>78</x:v>
      </x:c>
      <x:c r="L1781" s="20" t="n">
        <x:v>0</x:v>
      </x:c>
      <x:c r="M1781" s="20" t="n">
        <x:v>36</x:v>
      </x:c>
      <x:c r="N1781" s="20" t="n">
        <x:f>IF(J1781=1,0,K1781-L1781)</x:f>
        <x:v>78</x:v>
      </x:c>
      <x:c r="O1781" s="20" t="n">
        <x:f>N1781-M1781</x:f>
        <x:v>42</x:v>
      </x:c>
    </x:row>
    <x:row r="1782" ht="22" customHeight="1">
      <x:c r="A1782" s="11" t="n">
        <x:v>1778</x:v>
      </x:c>
      <x:c r="B1782" s="11" t="n">
        <x:v>904</x:v>
      </x:c>
      <x:c r="C1782" s="18" t="n">
        <x:v>45651</x:v>
      </x:c>
      <x:c r="D1782" s="11" t="str">
        <x:v>2024-12</x:v>
      </x:c>
      <x:c r="E1782" s="11" t="str">
        <x:v>West</x:v>
      </x:c>
      <x:c r="F1782" s="11" t="str">
        <x:v>Technology</x:v>
      </x:c>
      <x:c r="G1782" s="11" t="str">
        <x:v>Keyboard</x:v>
      </x:c>
      <x:c r="H1782" s="11" t="n">
        <x:v>3</x:v>
      </x:c>
      <x:c r="I1782" s="19" t="n">
        <x:v>0.05</x:v>
      </x:c>
      <x:c r="J1782" s="11" t="n">
        <x:v>0</x:v>
      </x:c>
      <x:c r="K1782" s="20" t="n">
        <x:v>195</x:v>
      </x:c>
      <x:c r="L1782" s="20" t="n">
        <x:v>9.75</x:v>
      </x:c>
      <x:c r="M1782" s="20" t="n">
        <x:v>96</x:v>
      </x:c>
      <x:c r="N1782" s="20" t="n">
        <x:f>IF(J1782=1,0,K1782-L1782)</x:f>
        <x:v>185.25</x:v>
      </x:c>
      <x:c r="O1782" s="20" t="n">
        <x:f>N1782-M1782</x:f>
        <x:v>89.25</x:v>
      </x:c>
    </x:row>
    <x:row r="1783" ht="22" customHeight="1">
      <x:c r="A1783" s="11" t="n">
        <x:v>1779</x:v>
      </x:c>
      <x:c r="B1783" s="11" t="n">
        <x:v>904</x:v>
      </x:c>
      <x:c r="C1783" s="18" t="n">
        <x:v>45651</x:v>
      </x:c>
      <x:c r="D1783" s="11" t="str">
        <x:v>2024-12</x:v>
      </x:c>
      <x:c r="E1783" s="11" t="str">
        <x:v>West</x:v>
      </x:c>
      <x:c r="F1783" s="11" t="str">
        <x:v>Furniture</x:v>
      </x:c>
      <x:c r="G1783" s="11" t="str">
        <x:v>Desk</x:v>
      </x:c>
      <x:c r="H1783" s="11" t="n">
        <x:v>4</x:v>
      </x:c>
      <x:c r="I1783" s="19" t="n">
        <x:v>0.05</x:v>
      </x:c>
      <x:c r="J1783" s="11" t="n">
        <x:v>1</x:v>
      </x:c>
      <x:c r="K1783" s="20" t="n">
        <x:v>1120</x:v>
      </x:c>
      <x:c r="L1783" s="20" t="n">
        <x:v>56</x:v>
      </x:c>
      <x:c r="M1783" s="20" t="n">
        <x:v>0</x:v>
      </x:c>
      <x:c r="N1783" s="20" t="n">
        <x:f>IF(J1783=1,0,K1783-L1783)</x:f>
        <x:v>0</x:v>
      </x:c>
      <x:c r="O1783" s="20" t="n">
        <x:f>N1783-M1783</x:f>
        <x:v>0</x:v>
      </x:c>
    </x:row>
    <x:row r="1784" ht="22" customHeight="1">
      <x:c r="A1784" s="11" t="n">
        <x:v>1780</x:v>
      </x:c>
      <x:c r="B1784" s="11" t="n">
        <x:v>905</x:v>
      </x:c>
      <x:c r="C1784" s="18" t="n">
        <x:v>45716</x:v>
      </x:c>
      <x:c r="D1784" s="11" t="str">
        <x:v>2025-02</x:v>
      </x:c>
      <x:c r="E1784" s="11" t="str">
        <x:v>South</x:v>
      </x:c>
      <x:c r="F1784" s="11" t="str">
        <x:v>Furniture</x:v>
      </x:c>
      <x:c r="G1784" s="11" t="str">
        <x:v>Chair</x:v>
      </x:c>
      <x:c r="H1784" s="11" t="n">
        <x:v>3</x:v>
      </x:c>
      <x:c r="I1784" s="19" t="n">
        <x:v>0.15</x:v>
      </x:c>
      <x:c r="J1784" s="11" t="n">
        <x:v>0</x:v>
      </x:c>
      <x:c r="K1784" s="20" t="n">
        <x:v>510</x:v>
      </x:c>
      <x:c r="L1784" s="20" t="n">
        <x:v>76.5</x:v>
      </x:c>
      <x:c r="M1784" s="20" t="n">
        <x:v>330</x:v>
      </x:c>
      <x:c r="N1784" s="20" t="n">
        <x:f>IF(J1784=1,0,K1784-L1784)</x:f>
        <x:v>433.5</x:v>
      </x:c>
      <x:c r="O1784" s="20" t="n">
        <x:f>N1784-M1784</x:f>
        <x:v>103.5</x:v>
      </x:c>
    </x:row>
    <x:row r="1785" ht="22" customHeight="1">
      <x:c r="A1785" s="11" t="n">
        <x:v>1781</x:v>
      </x:c>
      <x:c r="B1785" s="11" t="n">
        <x:v>906</x:v>
      </x:c>
      <x:c r="C1785" s="18" t="n">
        <x:v>45877</x:v>
      </x:c>
      <x:c r="D1785" s="11" t="str">
        <x:v>2025-08</x:v>
      </x:c>
      <x:c r="E1785" s="11" t="str">
        <x:v>West</x:v>
      </x:c>
      <x:c r="F1785" s="11" t="str">
        <x:v>Technology</x:v>
      </x:c>
      <x:c r="G1785" s="11" t="str">
        <x:v>Keyboard</x:v>
      </x:c>
      <x:c r="H1785" s="11" t="n">
        <x:v>1</x:v>
      </x:c>
      <x:c r="I1785" s="19" t="n">
        <x:v>0.15</x:v>
      </x:c>
      <x:c r="J1785" s="11" t="n">
        <x:v>0</x:v>
      </x:c>
      <x:c r="K1785" s="20" t="n">
        <x:v>65</x:v>
      </x:c>
      <x:c r="L1785" s="20" t="n">
        <x:v>9.75</x:v>
      </x:c>
      <x:c r="M1785" s="20" t="n">
        <x:v>32</x:v>
      </x:c>
      <x:c r="N1785" s="20" t="n">
        <x:f>IF(J1785=1,0,K1785-L1785)</x:f>
        <x:v>55.25</x:v>
      </x:c>
      <x:c r="O1785" s="20" t="n">
        <x:f>N1785-M1785</x:f>
        <x:v>23.25</x:v>
      </x:c>
    </x:row>
    <x:row r="1786" ht="22" customHeight="1">
      <x:c r="A1786" s="11" t="n">
        <x:v>1782</x:v>
      </x:c>
      <x:c r="B1786" s="11" t="n">
        <x:v>906</x:v>
      </x:c>
      <x:c r="C1786" s="18" t="n">
        <x:v>45877</x:v>
      </x:c>
      <x:c r="D1786" s="11" t="str">
        <x:v>2025-08</x:v>
      </x:c>
      <x:c r="E1786" s="11" t="str">
        <x:v>West</x:v>
      </x:c>
      <x:c r="F1786" s="11" t="str">
        <x:v>Furniture</x:v>
      </x:c>
      <x:c r="G1786" s="11" t="str">
        <x:v>Chair</x:v>
      </x:c>
      <x:c r="H1786" s="11" t="n">
        <x:v>4</x:v>
      </x:c>
      <x:c r="I1786" s="19" t="n">
        <x:v>0</x:v>
      </x:c>
      <x:c r="J1786" s="11" t="n">
        <x:v>0</x:v>
      </x:c>
      <x:c r="K1786" s="20" t="n">
        <x:v>680</x:v>
      </x:c>
      <x:c r="L1786" s="20" t="n">
        <x:v>0</x:v>
      </x:c>
      <x:c r="M1786" s="20" t="n">
        <x:v>440</x:v>
      </x:c>
      <x:c r="N1786" s="20" t="n">
        <x:f>IF(J1786=1,0,K1786-L1786)</x:f>
        <x:v>680</x:v>
      </x:c>
      <x:c r="O1786" s="20" t="n">
        <x:f>N1786-M1786</x:f>
        <x:v>240</x:v>
      </x:c>
    </x:row>
    <x:row r="1787" ht="22" customHeight="1">
      <x:c r="A1787" s="11" t="n">
        <x:v>1783</x:v>
      </x:c>
      <x:c r="B1787" s="11" t="n">
        <x:v>906</x:v>
      </x:c>
      <x:c r="C1787" s="18" t="n">
        <x:v>45877</x:v>
      </x:c>
      <x:c r="D1787" s="11" t="str">
        <x:v>2025-08</x:v>
      </x:c>
      <x:c r="E1787" s="11" t="str">
        <x:v>West</x:v>
      </x:c>
      <x:c r="F1787" s="11" t="str">
        <x:v>Office Supplies</x:v>
      </x:c>
      <x:c r="G1787" s="11" t="str">
        <x:v>Storage box</x:v>
      </x:c>
      <x:c r="H1787" s="11" t="n">
        <x:v>3</x:v>
      </x:c>
      <x:c r="I1787" s="19" t="n">
        <x:v>0.15</x:v>
      </x:c>
      <x:c r="J1787" s="11" t="n">
        <x:v>0</x:v>
      </x:c>
      <x:c r="K1787" s="20" t="n">
        <x:v>78</x:v>
      </x:c>
      <x:c r="L1787" s="20" t="n">
        <x:v>11.7</x:v>
      </x:c>
      <x:c r="M1787" s="20" t="n">
        <x:v>36</x:v>
      </x:c>
      <x:c r="N1787" s="20" t="n">
        <x:f>IF(J1787=1,0,K1787-L1787)</x:f>
        <x:v>66.3</x:v>
      </x:c>
      <x:c r="O1787" s="20" t="n">
        <x:f>N1787-M1787</x:f>
        <x:v>30.299999999999997</x:v>
      </x:c>
    </x:row>
    <x:row r="1788" ht="22" customHeight="1">
      <x:c r="A1788" s="11" t="n">
        <x:v>1784</x:v>
      </x:c>
      <x:c r="B1788" s="11" t="n">
        <x:v>907</x:v>
      </x:c>
      <x:c r="C1788" s="18" t="n">
        <x:v>45528</x:v>
      </x:c>
      <x:c r="D1788" s="11" t="str">
        <x:v>2024-08</x:v>
      </x:c>
      <x:c r="E1788" s="11" t="str">
        <x:v>South</x:v>
      </x:c>
      <x:c r="F1788" s="11" t="str">
        <x:v>Furniture</x:v>
      </x:c>
      <x:c r="G1788" s="11" t="str">
        <x:v>Desk</x:v>
      </x:c>
      <x:c r="H1788" s="11" t="n">
        <x:v>3</x:v>
      </x:c>
      <x:c r="I1788" s="19" t="n">
        <x:v>0</x:v>
      </x:c>
      <x:c r="J1788" s="11" t="n">
        <x:v>0</x:v>
      </x:c>
      <x:c r="K1788" s="20" t="n">
        <x:v>840</x:v>
      </x:c>
      <x:c r="L1788" s="20" t="n">
        <x:v>0</x:v>
      </x:c>
      <x:c r="M1788" s="20" t="n">
        <x:v>570</x:v>
      </x:c>
      <x:c r="N1788" s="20" t="n">
        <x:f>IF(J1788=1,0,K1788-L1788)</x:f>
        <x:v>840</x:v>
      </x:c>
      <x:c r="O1788" s="20" t="n">
        <x:f>N1788-M1788</x:f>
        <x:v>270</x:v>
      </x:c>
    </x:row>
    <x:row r="1789" ht="22" customHeight="1">
      <x:c r="A1789" s="11" t="n">
        <x:v>1785</x:v>
      </x:c>
      <x:c r="B1789" s="11" t="n">
        <x:v>907</x:v>
      </x:c>
      <x:c r="C1789" s="18" t="n">
        <x:v>45528</x:v>
      </x:c>
      <x:c r="D1789" s="11" t="str">
        <x:v>2024-08</x:v>
      </x:c>
      <x:c r="E1789" s="11" t="str">
        <x:v>South</x:v>
      </x:c>
      <x:c r="F1789" s="11" t="str">
        <x:v>Office Supplies</x:v>
      </x:c>
      <x:c r="G1789" s="11" t="str">
        <x:v>Notebook pack</x:v>
      </x:c>
      <x:c r="H1789" s="11" t="n">
        <x:v>2</x:v>
      </x:c>
      <x:c r="I1789" s="19" t="n">
        <x:v>0</x:v>
      </x:c>
      <x:c r="J1789" s="11" t="n">
        <x:v>0</x:v>
      </x:c>
      <x:c r="K1789" s="20" t="n">
        <x:v>36</x:v>
      </x:c>
      <x:c r="L1789" s="20" t="n">
        <x:v>0</x:v>
      </x:c>
      <x:c r="M1789" s="20" t="n">
        <x:v>14</x:v>
      </x:c>
      <x:c r="N1789" s="20" t="n">
        <x:f>IF(J1789=1,0,K1789-L1789)</x:f>
        <x:v>36</x:v>
      </x:c>
      <x:c r="O1789" s="20" t="n">
        <x:f>N1789-M1789</x:f>
        <x:v>22</x:v>
      </x:c>
    </x:row>
    <x:row r="1790" ht="22" customHeight="1">
      <x:c r="A1790" s="11" t="n">
        <x:v>1786</x:v>
      </x:c>
      <x:c r="B1790" s="11" t="n">
        <x:v>907</x:v>
      </x:c>
      <x:c r="C1790" s="18" t="n">
        <x:v>45528</x:v>
      </x:c>
      <x:c r="D1790" s="11" t="str">
        <x:v>2024-08</x:v>
      </x:c>
      <x:c r="E1790" s="11" t="str">
        <x:v>South</x:v>
      </x:c>
      <x:c r="F1790" s="11" t="str">
        <x:v>Technology</x:v>
      </x:c>
      <x:c r="G1790" s="11" t="str">
        <x:v>Keyboard</x:v>
      </x:c>
      <x:c r="H1790" s="11" t="n">
        <x:v>4</x:v>
      </x:c>
      <x:c r="I1790" s="19" t="n">
        <x:v>0</x:v>
      </x:c>
      <x:c r="J1790" s="11" t="n">
        <x:v>0</x:v>
      </x:c>
      <x:c r="K1790" s="20" t="n">
        <x:v>260</x:v>
      </x:c>
      <x:c r="L1790" s="20" t="n">
        <x:v>0</x:v>
      </x:c>
      <x:c r="M1790" s="20" t="n">
        <x:v>128</x:v>
      </x:c>
      <x:c r="N1790" s="20" t="n">
        <x:f>IF(J1790=1,0,K1790-L1790)</x:f>
        <x:v>260</x:v>
      </x:c>
      <x:c r="O1790" s="20" t="n">
        <x:f>N1790-M1790</x:f>
        <x:v>132</x:v>
      </x:c>
    </x:row>
    <x:row r="1791" ht="22" customHeight="1">
      <x:c r="A1791" s="11" t="n">
        <x:v>1787</x:v>
      </x:c>
      <x:c r="B1791" s="11" t="n">
        <x:v>908</x:v>
      </x:c>
      <x:c r="C1791" s="18" t="n">
        <x:v>45899</x:v>
      </x:c>
      <x:c r="D1791" s="11" t="str">
        <x:v>2025-08</x:v>
      </x:c>
      <x:c r="E1791" s="11" t="str">
        <x:v>South</x:v>
      </x:c>
      <x:c r="F1791" s="11" t="str">
        <x:v>Office Supplies</x:v>
      </x:c>
      <x:c r="G1791" s="11" t="str">
        <x:v>Storage box</x:v>
      </x:c>
      <x:c r="H1791" s="11" t="n">
        <x:v>5</x:v>
      </x:c>
      <x:c r="I1791" s="19" t="n">
        <x:v>0.1</x:v>
      </x:c>
      <x:c r="J1791" s="11" t="n">
        <x:v>1</x:v>
      </x:c>
      <x:c r="K1791" s="20" t="n">
        <x:v>130</x:v>
      </x:c>
      <x:c r="L1791" s="20" t="n">
        <x:v>13</x:v>
      </x:c>
      <x:c r="M1791" s="20" t="n">
        <x:v>0</x:v>
      </x:c>
      <x:c r="N1791" s="20" t="n">
        <x:f>IF(J1791=1,0,K1791-L1791)</x:f>
        <x:v>0</x:v>
      </x:c>
      <x:c r="O1791" s="20" t="n">
        <x:f>N1791-M1791</x:f>
        <x:v>0</x:v>
      </x:c>
    </x:row>
    <x:row r="1792" ht="22" customHeight="1">
      <x:c r="A1792" s="11" t="n">
        <x:v>1788</x:v>
      </x:c>
      <x:c r="B1792" s="11" t="n">
        <x:v>908</x:v>
      </x:c>
      <x:c r="C1792" s="18" t="n">
        <x:v>45899</x:v>
      </x:c>
      <x:c r="D1792" s="11" t="str">
        <x:v>2025-08</x:v>
      </x:c>
      <x:c r="E1792" s="11" t="str">
        <x:v>South</x:v>
      </x:c>
      <x:c r="F1792" s="11" t="str">
        <x:v>Office Supplies</x:v>
      </x:c>
      <x:c r="G1792" s="11" t="str">
        <x:v>Notebook pack</x:v>
      </x:c>
      <x:c r="H1792" s="11" t="n">
        <x:v>2</x:v>
      </x:c>
      <x:c r="I1792" s="19" t="n">
        <x:v>0.1</x:v>
      </x:c>
      <x:c r="J1792" s="11" t="n">
        <x:v>0</x:v>
      </x:c>
      <x:c r="K1792" s="20" t="n">
        <x:v>36</x:v>
      </x:c>
      <x:c r="L1792" s="20" t="n">
        <x:v>3.6</x:v>
      </x:c>
      <x:c r="M1792" s="20" t="n">
        <x:v>14</x:v>
      </x:c>
      <x:c r="N1792" s="20" t="n">
        <x:f>IF(J1792=1,0,K1792-L1792)</x:f>
        <x:v>32.4</x:v>
      </x:c>
      <x:c r="O1792" s="20" t="n">
        <x:f>N1792-M1792</x:f>
        <x:v>18.4</x:v>
      </x:c>
    </x:row>
    <x:row r="1793" ht="22" customHeight="1">
      <x:c r="A1793" s="11" t="n">
        <x:v>1789</x:v>
      </x:c>
      <x:c r="B1793" s="11" t="n">
        <x:v>908</x:v>
      </x:c>
      <x:c r="C1793" s="18" t="n">
        <x:v>45899</x:v>
      </x:c>
      <x:c r="D1793" s="11" t="str">
        <x:v>2025-08</x:v>
      </x:c>
      <x:c r="E1793" s="11" t="str">
        <x:v>South</x:v>
      </x:c>
      <x:c r="F1793" s="11" t="str">
        <x:v>Furniture</x:v>
      </x:c>
      <x:c r="G1793" s="11" t="str">
        <x:v>Desk</x:v>
      </x:c>
      <x:c r="H1793" s="11" t="n">
        <x:v>3</x:v>
      </x:c>
      <x:c r="I1793" s="19" t="n">
        <x:v>0</x:v>
      </x:c>
      <x:c r="J1793" s="11" t="n">
        <x:v>0</x:v>
      </x:c>
      <x:c r="K1793" s="20" t="n">
        <x:v>840</x:v>
      </x:c>
      <x:c r="L1793" s="20" t="n">
        <x:v>0</x:v>
      </x:c>
      <x:c r="M1793" s="20" t="n">
        <x:v>570</x:v>
      </x:c>
      <x:c r="N1793" s="20" t="n">
        <x:f>IF(J1793=1,0,K1793-L1793)</x:f>
        <x:v>840</x:v>
      </x:c>
      <x:c r="O1793" s="20" t="n">
        <x:f>N1793-M1793</x:f>
        <x:v>270</x:v>
      </x:c>
    </x:row>
    <x:row r="1794" ht="22" customHeight="1">
      <x:c r="A1794" s="11" t="n">
        <x:v>1790</x:v>
      </x:c>
      <x:c r="B1794" s="11" t="n">
        <x:v>909</x:v>
      </x:c>
      <x:c r="C1794" s="18" t="n">
        <x:v>45519</x:v>
      </x:c>
      <x:c r="D1794" s="11" t="str">
        <x:v>2024-08</x:v>
      </x:c>
      <x:c r="E1794" s="11" t="str">
        <x:v>Central</x:v>
      </x:c>
      <x:c r="F1794" s="11" t="str">
        <x:v>Furniture</x:v>
      </x:c>
      <x:c r="G1794" s="11" t="str">
        <x:v>Chair</x:v>
      </x:c>
      <x:c r="H1794" s="11" t="n">
        <x:v>1</x:v>
      </x:c>
      <x:c r="I1794" s="19" t="n">
        <x:v>0.1</x:v>
      </x:c>
      <x:c r="J1794" s="11" t="n">
        <x:v>0</x:v>
      </x:c>
      <x:c r="K1794" s="20" t="n">
        <x:v>170</x:v>
      </x:c>
      <x:c r="L1794" s="20" t="n">
        <x:v>17</x:v>
      </x:c>
      <x:c r="M1794" s="20" t="n">
        <x:v>110</x:v>
      </x:c>
      <x:c r="N1794" s="20" t="n">
        <x:f>IF(J1794=1,0,K1794-L1794)</x:f>
        <x:v>153</x:v>
      </x:c>
      <x:c r="O1794" s="20" t="n">
        <x:f>N1794-M1794</x:f>
        <x:v>43</x:v>
      </x:c>
    </x:row>
    <x:row r="1795" ht="22" customHeight="1">
      <x:c r="A1795" s="11" t="n">
        <x:v>1791</x:v>
      </x:c>
      <x:c r="B1795" s="11" t="n">
        <x:v>909</x:v>
      </x:c>
      <x:c r="C1795" s="18" t="n">
        <x:v>45519</x:v>
      </x:c>
      <x:c r="D1795" s="11" t="str">
        <x:v>2024-08</x:v>
      </x:c>
      <x:c r="E1795" s="11" t="str">
        <x:v>Central</x:v>
      </x:c>
      <x:c r="F1795" s="11" t="str">
        <x:v>Technology</x:v>
      </x:c>
      <x:c r="G1795" s="11" t="str">
        <x:v>Keyboard</x:v>
      </x:c>
      <x:c r="H1795" s="11" t="n">
        <x:v>2</x:v>
      </x:c>
      <x:c r="I1795" s="19" t="n">
        <x:v>0</x:v>
      </x:c>
      <x:c r="J1795" s="11" t="n">
        <x:v>0</x:v>
      </x:c>
      <x:c r="K1795" s="20" t="n">
        <x:v>130</x:v>
      </x:c>
      <x:c r="L1795" s="20" t="n">
        <x:v>0</x:v>
      </x:c>
      <x:c r="M1795" s="20" t="n">
        <x:v>64</x:v>
      </x:c>
      <x:c r="N1795" s="20" t="n">
        <x:f>IF(J1795=1,0,K1795-L1795)</x:f>
        <x:v>130</x:v>
      </x:c>
      <x:c r="O1795" s="20" t="n">
        <x:f>N1795-M1795</x:f>
        <x:v>66</x:v>
      </x:c>
    </x:row>
    <x:row r="1796" ht="22" customHeight="1">
      <x:c r="A1796" s="11" t="n">
        <x:v>1792</x:v>
      </x:c>
      <x:c r="B1796" s="11" t="n">
        <x:v>909</x:v>
      </x:c>
      <x:c r="C1796" s="18" t="n">
        <x:v>45519</x:v>
      </x:c>
      <x:c r="D1796" s="11" t="str">
        <x:v>2024-08</x:v>
      </x:c>
      <x:c r="E1796" s="11" t="str">
        <x:v>Central</x:v>
      </x:c>
      <x:c r="F1796" s="11" t="str">
        <x:v>Technology</x:v>
      </x:c>
      <x:c r="G1796" s="11" t="str">
        <x:v>Monitor</x:v>
      </x:c>
      <x:c r="H1796" s="11" t="n">
        <x:v>5</x:v>
      </x:c>
      <x:c r="I1796" s="19" t="n">
        <x:v>0</x:v>
      </x:c>
      <x:c r="J1796" s="11" t="n">
        <x:v>0</x:v>
      </x:c>
      <x:c r="K1796" s="20" t="n">
        <x:v>1200</x:v>
      </x:c>
      <x:c r="L1796" s="20" t="n">
        <x:v>0</x:v>
      </x:c>
      <x:c r="M1796" s="20" t="n">
        <x:v>800</x:v>
      </x:c>
      <x:c r="N1796" s="20" t="n">
        <x:f>IF(J1796=1,0,K1796-L1796)</x:f>
        <x:v>1200</x:v>
      </x:c>
      <x:c r="O1796" s="20" t="n">
        <x:f>N1796-M1796</x:f>
        <x:v>400</x:v>
      </x:c>
    </x:row>
    <x:row r="1797" ht="22" customHeight="1">
      <x:c r="A1797" s="11" t="n">
        <x:v>1793</x:v>
      </x:c>
      <x:c r="B1797" s="11" t="n">
        <x:v>910</x:v>
      </x:c>
      <x:c r="C1797" s="18" t="n">
        <x:v>45902</x:v>
      </x:c>
      <x:c r="D1797" s="11" t="str">
        <x:v>2025-09</x:v>
      </x:c>
      <x:c r="E1797" s="11" t="str">
        <x:v>West</x:v>
      </x:c>
      <x:c r="F1797" s="11" t="str">
        <x:v>Technology</x:v>
      </x:c>
      <x:c r="G1797" s="11" t="str">
        <x:v>Monitor</x:v>
      </x:c>
      <x:c r="H1797" s="11" t="n">
        <x:v>3</x:v>
      </x:c>
      <x:c r="I1797" s="19" t="n">
        <x:v>0</x:v>
      </x:c>
      <x:c r="J1797" s="11" t="n">
        <x:v>0</x:v>
      </x:c>
      <x:c r="K1797" s="20" t="n">
        <x:v>720</x:v>
      </x:c>
      <x:c r="L1797" s="20" t="n">
        <x:v>0</x:v>
      </x:c>
      <x:c r="M1797" s="20" t="n">
        <x:v>480</x:v>
      </x:c>
      <x:c r="N1797" s="20" t="n">
        <x:f>IF(J1797=1,0,K1797-L1797)</x:f>
        <x:v>720</x:v>
      </x:c>
      <x:c r="O1797" s="20" t="n">
        <x:f>N1797-M1797</x:f>
        <x:v>240</x:v>
      </x:c>
    </x:row>
    <x:row r="1798" ht="22" customHeight="1">
      <x:c r="A1798" s="11" t="n">
        <x:v>1794</x:v>
      </x:c>
      <x:c r="B1798" s="11" t="n">
        <x:v>911</x:v>
      </x:c>
      <x:c r="C1798" s="18" t="n">
        <x:v>45798</x:v>
      </x:c>
      <x:c r="D1798" s="11" t="str">
        <x:v>2025-05</x:v>
      </x:c>
      <x:c r="E1798" s="11" t="str">
        <x:v>South</x:v>
      </x:c>
      <x:c r="F1798" s="11" t="str">
        <x:v>Furniture</x:v>
      </x:c>
      <x:c r="G1798" s="11" t="str">
        <x:v>Desk</x:v>
      </x:c>
      <x:c r="H1798" s="11" t="n">
        <x:v>1</x:v>
      </x:c>
      <x:c r="I1798" s="19" t="n">
        <x:v>0.25</x:v>
      </x:c>
      <x:c r="J1798" s="11" t="n">
        <x:v>0</x:v>
      </x:c>
      <x:c r="K1798" s="20" t="n">
        <x:v>280</x:v>
      </x:c>
      <x:c r="L1798" s="20" t="n">
        <x:v>70</x:v>
      </x:c>
      <x:c r="M1798" s="20" t="n">
        <x:v>190</x:v>
      </x:c>
      <x:c r="N1798" s="20" t="n">
        <x:f>IF(J1798=1,0,K1798-L1798)</x:f>
        <x:v>210</x:v>
      </x:c>
      <x:c r="O1798" s="20" t="n">
        <x:f>N1798-M1798</x:f>
        <x:v>20</x:v>
      </x:c>
    </x:row>
    <x:row r="1799" ht="22" customHeight="1">
      <x:c r="A1799" s="11" t="n">
        <x:v>1795</x:v>
      </x:c>
      <x:c r="B1799" s="11" t="n">
        <x:v>911</x:v>
      </x:c>
      <x:c r="C1799" s="18" t="n">
        <x:v>45798</x:v>
      </x:c>
      <x:c r="D1799" s="11" t="str">
        <x:v>2025-05</x:v>
      </x:c>
      <x:c r="E1799" s="11" t="str">
        <x:v>South</x:v>
      </x:c>
      <x:c r="F1799" s="11" t="str">
        <x:v>Technology</x:v>
      </x:c>
      <x:c r="G1799" s="11" t="str">
        <x:v>Keyboard</x:v>
      </x:c>
      <x:c r="H1799" s="11" t="n">
        <x:v>1</x:v>
      </x:c>
      <x:c r="I1799" s="19" t="n">
        <x:v>0</x:v>
      </x:c>
      <x:c r="J1799" s="11" t="n">
        <x:v>0</x:v>
      </x:c>
      <x:c r="K1799" s="20" t="n">
        <x:v>65</x:v>
      </x:c>
      <x:c r="L1799" s="20" t="n">
        <x:v>0</x:v>
      </x:c>
      <x:c r="M1799" s="20" t="n">
        <x:v>32</x:v>
      </x:c>
      <x:c r="N1799" s="20" t="n">
        <x:f>IF(J1799=1,0,K1799-L1799)</x:f>
        <x:v>65</x:v>
      </x:c>
      <x:c r="O1799" s="20" t="n">
        <x:f>N1799-M1799</x:f>
        <x:v>33</x:v>
      </x:c>
    </x:row>
    <x:row r="1800" ht="22" customHeight="1">
      <x:c r="A1800" s="11" t="n">
        <x:v>1796</x:v>
      </x:c>
      <x:c r="B1800" s="11" t="n">
        <x:v>912</x:v>
      </x:c>
      <x:c r="C1800" s="18" t="n">
        <x:v>45676</x:v>
      </x:c>
      <x:c r="D1800" s="11" t="str">
        <x:v>2025-01</x:v>
      </x:c>
      <x:c r="E1800" s="11" t="str">
        <x:v>East</x:v>
      </x:c>
      <x:c r="F1800" s="11" t="str">
        <x:v>Furniture</x:v>
      </x:c>
      <x:c r="G1800" s="11" t="str">
        <x:v>Chair</x:v>
      </x:c>
      <x:c r="H1800" s="11" t="n">
        <x:v>3</x:v>
      </x:c>
      <x:c r="I1800" s="19" t="n">
        <x:v>0</x:v>
      </x:c>
      <x:c r="J1800" s="11" t="n">
        <x:v>0</x:v>
      </x:c>
      <x:c r="K1800" s="20" t="n">
        <x:v>510</x:v>
      </x:c>
      <x:c r="L1800" s="20" t="n">
        <x:v>0</x:v>
      </x:c>
      <x:c r="M1800" s="20" t="n">
        <x:v>330</x:v>
      </x:c>
      <x:c r="N1800" s="20" t="n">
        <x:f>IF(J1800=1,0,K1800-L1800)</x:f>
        <x:v>510</x:v>
      </x:c>
      <x:c r="O1800" s="20" t="n">
        <x:f>N1800-M1800</x:f>
        <x:v>180</x:v>
      </x:c>
    </x:row>
    <x:row r="1801" ht="22" customHeight="1">
      <x:c r="A1801" s="11" t="n">
        <x:v>1797</x:v>
      </x:c>
      <x:c r="B1801" s="11" t="n">
        <x:v>913</x:v>
      </x:c>
      <x:c r="C1801" s="18" t="n">
        <x:v>45967</x:v>
      </x:c>
      <x:c r="D1801" s="11" t="str">
        <x:v>2025-11</x:v>
      </x:c>
      <x:c r="E1801" s="11" t="str">
        <x:v>East</x:v>
      </x:c>
      <x:c r="F1801" s="11" t="str">
        <x:v>Technology</x:v>
      </x:c>
      <x:c r="G1801" s="11" t="str">
        <x:v>Monitor</x:v>
      </x:c>
      <x:c r="H1801" s="11" t="n">
        <x:v>3</x:v>
      </x:c>
      <x:c r="I1801" s="19" t="n">
        <x:v>0.1</x:v>
      </x:c>
      <x:c r="J1801" s="11" t="n">
        <x:v>0</x:v>
      </x:c>
      <x:c r="K1801" s="20" t="n">
        <x:v>720</x:v>
      </x:c>
      <x:c r="L1801" s="20" t="n">
        <x:v>72</x:v>
      </x:c>
      <x:c r="M1801" s="20" t="n">
        <x:v>480</x:v>
      </x:c>
      <x:c r="N1801" s="20" t="n">
        <x:f>IF(J1801=1,0,K1801-L1801)</x:f>
        <x:v>648</x:v>
      </x:c>
      <x:c r="O1801" s="20" t="n">
        <x:f>N1801-M1801</x:f>
        <x:v>168</x:v>
      </x:c>
    </x:row>
    <x:row r="1802" ht="22" customHeight="1">
      <x:c r="A1802" s="11" t="n">
        <x:v>1798</x:v>
      </x:c>
      <x:c r="B1802" s="11" t="n">
        <x:v>914</x:v>
      </x:c>
      <x:c r="C1802" s="18" t="n">
        <x:v>45906</x:v>
      </x:c>
      <x:c r="D1802" s="11" t="str">
        <x:v>2025-09</x:v>
      </x:c>
      <x:c r="E1802" s="11" t="str">
        <x:v>Central</x:v>
      </x:c>
      <x:c r="F1802" s="11" t="str">
        <x:v>Office Supplies</x:v>
      </x:c>
      <x:c r="G1802" s="11" t="str">
        <x:v>Notebook pack</x:v>
      </x:c>
      <x:c r="H1802" s="11" t="n">
        <x:v>3</x:v>
      </x:c>
      <x:c r="I1802" s="19" t="n">
        <x:v>0</x:v>
      </x:c>
      <x:c r="J1802" s="11" t="n">
        <x:v>0</x:v>
      </x:c>
      <x:c r="K1802" s="20" t="n">
        <x:v>54</x:v>
      </x:c>
      <x:c r="L1802" s="20" t="n">
        <x:v>0</x:v>
      </x:c>
      <x:c r="M1802" s="20" t="n">
        <x:v>21</x:v>
      </x:c>
      <x:c r="N1802" s="20" t="n">
        <x:f>IF(J1802=1,0,K1802-L1802)</x:f>
        <x:v>54</x:v>
      </x:c>
      <x:c r="O1802" s="20" t="n">
        <x:f>N1802-M1802</x:f>
        <x:v>33</x:v>
      </x:c>
    </x:row>
    <x:row r="1803" ht="22" customHeight="1">
      <x:c r="A1803" s="11" t="n">
        <x:v>1799</x:v>
      </x:c>
      <x:c r="B1803" s="11" t="n">
        <x:v>915</x:v>
      </x:c>
      <x:c r="C1803" s="18" t="n">
        <x:v>45322</x:v>
      </x:c>
      <x:c r="D1803" s="11" t="str">
        <x:v>2024-01</x:v>
      </x:c>
      <x:c r="E1803" s="11" t="str">
        <x:v>Central</x:v>
      </x:c>
      <x:c r="F1803" s="11" t="str">
        <x:v>Office Supplies</x:v>
      </x:c>
      <x:c r="G1803" s="11" t="str">
        <x:v>Notebook pack</x:v>
      </x:c>
      <x:c r="H1803" s="11" t="n">
        <x:v>3</x:v>
      </x:c>
      <x:c r="I1803" s="19" t="n">
        <x:v>0</x:v>
      </x:c>
      <x:c r="J1803" s="11" t="n">
        <x:v>0</x:v>
      </x:c>
      <x:c r="K1803" s="20" t="n">
        <x:v>54</x:v>
      </x:c>
      <x:c r="L1803" s="20" t="n">
        <x:v>0</x:v>
      </x:c>
      <x:c r="M1803" s="20" t="n">
        <x:v>21</x:v>
      </x:c>
      <x:c r="N1803" s="20" t="n">
        <x:f>IF(J1803=1,0,K1803-L1803)</x:f>
        <x:v>54</x:v>
      </x:c>
      <x:c r="O1803" s="20" t="n">
        <x:f>N1803-M1803</x:f>
        <x:v>33</x:v>
      </x:c>
    </x:row>
    <x:row r="1804" ht="22" customHeight="1">
      <x:c r="A1804" s="11" t="n">
        <x:v>1800</x:v>
      </x:c>
      <x:c r="B1804" s="11" t="n">
        <x:v>915</x:v>
      </x:c>
      <x:c r="C1804" s="18" t="n">
        <x:v>45322</x:v>
      </x:c>
      <x:c r="D1804" s="11" t="str">
        <x:v>2024-01</x:v>
      </x:c>
      <x:c r="E1804" s="11" t="str">
        <x:v>Central</x:v>
      </x:c>
      <x:c r="F1804" s="11" t="str">
        <x:v>Furniture</x:v>
      </x:c>
      <x:c r="G1804" s="11" t="str">
        <x:v>Chair</x:v>
      </x:c>
      <x:c r="H1804" s="11" t="n">
        <x:v>1</x:v>
      </x:c>
      <x:c r="I1804" s="19" t="n">
        <x:v>0.15</x:v>
      </x:c>
      <x:c r="J1804" s="11" t="n">
        <x:v>0</x:v>
      </x:c>
      <x:c r="K1804" s="20" t="n">
        <x:v>170</x:v>
      </x:c>
      <x:c r="L1804" s="20" t="n">
        <x:v>25.5</x:v>
      </x:c>
      <x:c r="M1804" s="20" t="n">
        <x:v>110</x:v>
      </x:c>
      <x:c r="N1804" s="20" t="n">
        <x:f>IF(J1804=1,0,K1804-L1804)</x:f>
        <x:v>144.5</x:v>
      </x:c>
      <x:c r="O1804" s="20" t="n">
        <x:f>N1804-M1804</x:f>
        <x:v>34.5</x:v>
      </x:c>
    </x:row>
    <x:row r="1805" ht="22" customHeight="1">
      <x:c r="A1805" s="11" t="n">
        <x:v>1801</x:v>
      </x:c>
      <x:c r="B1805" s="11" t="n">
        <x:v>915</x:v>
      </x:c>
      <x:c r="C1805" s="18" t="n">
        <x:v>45322</x:v>
      </x:c>
      <x:c r="D1805" s="11" t="str">
        <x:v>2024-01</x:v>
      </x:c>
      <x:c r="E1805" s="11" t="str">
        <x:v>Central</x:v>
      </x:c>
      <x:c r="F1805" s="11" t="str">
        <x:v>Office Supplies</x:v>
      </x:c>
      <x:c r="G1805" s="11" t="str">
        <x:v>Storage box</x:v>
      </x:c>
      <x:c r="H1805" s="11" t="n">
        <x:v>1</x:v>
      </x:c>
      <x:c r="I1805" s="19" t="n">
        <x:v>0</x:v>
      </x:c>
      <x:c r="J1805" s="11" t="n">
        <x:v>0</x:v>
      </x:c>
      <x:c r="K1805" s="20" t="n">
        <x:v>26</x:v>
      </x:c>
      <x:c r="L1805" s="20" t="n">
        <x:v>0</x:v>
      </x:c>
      <x:c r="M1805" s="20" t="n">
        <x:v>12</x:v>
      </x:c>
      <x:c r="N1805" s="20" t="n">
        <x:f>IF(J1805=1,0,K1805-L1805)</x:f>
        <x:v>26</x:v>
      </x:c>
      <x:c r="O1805" s="20" t="n">
        <x:f>N1805-M1805</x:f>
        <x:v>14</x:v>
      </x:c>
    </x:row>
    <x:row r="1806" ht="22" customHeight="1">
      <x:c r="A1806" s="11" t="n">
        <x:v>1802</x:v>
      </x:c>
      <x:c r="B1806" s="11" t="n">
        <x:v>916</x:v>
      </x:c>
      <x:c r="C1806" s="18" t="n">
        <x:v>45785</x:v>
      </x:c>
      <x:c r="D1806" s="11" t="str">
        <x:v>2025-05</x:v>
      </x:c>
      <x:c r="E1806" s="11" t="str">
        <x:v>Central</x:v>
      </x:c>
      <x:c r="F1806" s="11" t="str">
        <x:v>Office Supplies</x:v>
      </x:c>
      <x:c r="G1806" s="11" t="str">
        <x:v>Storage box</x:v>
      </x:c>
      <x:c r="H1806" s="11" t="n">
        <x:v>3</x:v>
      </x:c>
      <x:c r="I1806" s="19" t="n">
        <x:v>0.1</x:v>
      </x:c>
      <x:c r="J1806" s="11" t="n">
        <x:v>0</x:v>
      </x:c>
      <x:c r="K1806" s="20" t="n">
        <x:v>78</x:v>
      </x:c>
      <x:c r="L1806" s="20" t="n">
        <x:v>7.8</x:v>
      </x:c>
      <x:c r="M1806" s="20" t="n">
        <x:v>36</x:v>
      </x:c>
      <x:c r="N1806" s="20" t="n">
        <x:f>IF(J1806=1,0,K1806-L1806)</x:f>
        <x:v>70.2</x:v>
      </x:c>
      <x:c r="O1806" s="20" t="n">
        <x:f>N1806-M1806</x:f>
        <x:v>34.2</x:v>
      </x:c>
    </x:row>
    <x:row r="1807" ht="22" customHeight="1">
      <x:c r="A1807" s="11" t="n">
        <x:v>1803</x:v>
      </x:c>
      <x:c r="B1807" s="11" t="n">
        <x:v>916</x:v>
      </x:c>
      <x:c r="C1807" s="18" t="n">
        <x:v>45785</x:v>
      </x:c>
      <x:c r="D1807" s="11" t="str">
        <x:v>2025-05</x:v>
      </x:c>
      <x:c r="E1807" s="11" t="str">
        <x:v>Central</x:v>
      </x:c>
      <x:c r="F1807" s="11" t="str">
        <x:v>Office Supplies</x:v>
      </x:c>
      <x:c r="G1807" s="11" t="str">
        <x:v>Notebook pack</x:v>
      </x:c>
      <x:c r="H1807" s="11" t="n">
        <x:v>4</x:v>
      </x:c>
      <x:c r="I1807" s="19" t="n">
        <x:v>0.1</x:v>
      </x:c>
      <x:c r="J1807" s="11" t="n">
        <x:v>0</x:v>
      </x:c>
      <x:c r="K1807" s="20" t="n">
        <x:v>72</x:v>
      </x:c>
      <x:c r="L1807" s="20" t="n">
        <x:v>7.2</x:v>
      </x:c>
      <x:c r="M1807" s="20" t="n">
        <x:v>28</x:v>
      </x:c>
      <x:c r="N1807" s="20" t="n">
        <x:f>IF(J1807=1,0,K1807-L1807)</x:f>
        <x:v>64.8</x:v>
      </x:c>
      <x:c r="O1807" s="20" t="n">
        <x:f>N1807-M1807</x:f>
        <x:v>36.8</x:v>
      </x:c>
    </x:row>
    <x:row r="1808" ht="22" customHeight="1">
      <x:c r="A1808" s="11" t="n">
        <x:v>1804</x:v>
      </x:c>
      <x:c r="B1808" s="11" t="n">
        <x:v>917</x:v>
      </x:c>
      <x:c r="C1808" s="18" t="n">
        <x:v>45701</x:v>
      </x:c>
      <x:c r="D1808" s="11" t="str">
        <x:v>2025-02</x:v>
      </x:c>
      <x:c r="E1808" s="11" t="str">
        <x:v>East</x:v>
      </x:c>
      <x:c r="F1808" s="11" t="str">
        <x:v>Furniture</x:v>
      </x:c>
      <x:c r="G1808" s="11" t="str">
        <x:v>Chair</x:v>
      </x:c>
      <x:c r="H1808" s="11" t="n">
        <x:v>3</x:v>
      </x:c>
      <x:c r="I1808" s="19" t="n">
        <x:v>0.25</x:v>
      </x:c>
      <x:c r="J1808" s="11" t="n">
        <x:v>0</x:v>
      </x:c>
      <x:c r="K1808" s="20" t="n">
        <x:v>510</x:v>
      </x:c>
      <x:c r="L1808" s="20" t="n">
        <x:v>127.5</x:v>
      </x:c>
      <x:c r="M1808" s="20" t="n">
        <x:v>330</x:v>
      </x:c>
      <x:c r="N1808" s="20" t="n">
        <x:f>IF(J1808=1,0,K1808-L1808)</x:f>
        <x:v>382.5</x:v>
      </x:c>
      <x:c r="O1808" s="20" t="n">
        <x:f>N1808-M1808</x:f>
        <x:v>52.5</x:v>
      </x:c>
    </x:row>
    <x:row r="1809" ht="22" customHeight="1">
      <x:c r="A1809" s="11" t="n">
        <x:v>1805</x:v>
      </x:c>
      <x:c r="B1809" s="11" t="n">
        <x:v>918</x:v>
      </x:c>
      <x:c r="C1809" s="18" t="n">
        <x:v>45893</x:v>
      </x:c>
      <x:c r="D1809" s="11" t="str">
        <x:v>2025-08</x:v>
      </x:c>
      <x:c r="E1809" s="11" t="str">
        <x:v>East</x:v>
      </x:c>
      <x:c r="F1809" s="11" t="str">
        <x:v>Office Supplies</x:v>
      </x:c>
      <x:c r="G1809" s="11" t="str">
        <x:v>Storage box</x:v>
      </x:c>
      <x:c r="H1809" s="11" t="n">
        <x:v>4</x:v>
      </x:c>
      <x:c r="I1809" s="19" t="n">
        <x:v>0.1</x:v>
      </x:c>
      <x:c r="J1809" s="11" t="n">
        <x:v>0</x:v>
      </x:c>
      <x:c r="K1809" s="20" t="n">
        <x:v>104</x:v>
      </x:c>
      <x:c r="L1809" s="20" t="n">
        <x:v>10.4</x:v>
      </x:c>
      <x:c r="M1809" s="20" t="n">
        <x:v>48</x:v>
      </x:c>
      <x:c r="N1809" s="20" t="n">
        <x:f>IF(J1809=1,0,K1809-L1809)</x:f>
        <x:v>93.6</x:v>
      </x:c>
      <x:c r="O1809" s="20" t="n">
        <x:f>N1809-M1809</x:f>
        <x:v>45.599999999999994</x:v>
      </x:c>
    </x:row>
    <x:row r="1810" ht="22" customHeight="1">
      <x:c r="A1810" s="11" t="n">
        <x:v>1806</x:v>
      </x:c>
      <x:c r="B1810" s="11" t="n">
        <x:v>919</x:v>
      </x:c>
      <x:c r="C1810" s="18" t="n">
        <x:v>45725</x:v>
      </x:c>
      <x:c r="D1810" s="11" t="str">
        <x:v>2025-03</x:v>
      </x:c>
      <x:c r="E1810" s="11" t="str">
        <x:v>West</x:v>
      </x:c>
      <x:c r="F1810" s="11" t="str">
        <x:v>Office Supplies</x:v>
      </x:c>
      <x:c r="G1810" s="11" t="str">
        <x:v>Notebook pack</x:v>
      </x:c>
      <x:c r="H1810" s="11" t="n">
        <x:v>5</x:v>
      </x:c>
      <x:c r="I1810" s="19" t="n">
        <x:v>0.1</x:v>
      </x:c>
      <x:c r="J1810" s="11" t="n">
        <x:v>0</x:v>
      </x:c>
      <x:c r="K1810" s="20" t="n">
        <x:v>90</x:v>
      </x:c>
      <x:c r="L1810" s="20" t="n">
        <x:v>9</x:v>
      </x:c>
      <x:c r="M1810" s="20" t="n">
        <x:v>35</x:v>
      </x:c>
      <x:c r="N1810" s="20" t="n">
        <x:f>IF(J1810=1,0,K1810-L1810)</x:f>
        <x:v>81</x:v>
      </x:c>
      <x:c r="O1810" s="20" t="n">
        <x:f>N1810-M1810</x:f>
        <x:v>46</x:v>
      </x:c>
    </x:row>
    <x:row r="1811" ht="22" customHeight="1">
      <x:c r="A1811" s="11" t="n">
        <x:v>1807</x:v>
      </x:c>
      <x:c r="B1811" s="11" t="n">
        <x:v>919</x:v>
      </x:c>
      <x:c r="C1811" s="18" t="n">
        <x:v>45725</x:v>
      </x:c>
      <x:c r="D1811" s="11" t="str">
        <x:v>2025-03</x:v>
      </x:c>
      <x:c r="E1811" s="11" t="str">
        <x:v>West</x:v>
      </x:c>
      <x:c r="F1811" s="11" t="str">
        <x:v>Furniture</x:v>
      </x:c>
      <x:c r="G1811" s="11" t="str">
        <x:v>Desk</x:v>
      </x:c>
      <x:c r="H1811" s="11" t="n">
        <x:v>5</x:v>
      </x:c>
      <x:c r="I1811" s="19" t="n">
        <x:v>0.15</x:v>
      </x:c>
      <x:c r="J1811" s="11" t="n">
        <x:v>0</x:v>
      </x:c>
      <x:c r="K1811" s="20" t="n">
        <x:v>1400</x:v>
      </x:c>
      <x:c r="L1811" s="20" t="n">
        <x:v>210</x:v>
      </x:c>
      <x:c r="M1811" s="20" t="n">
        <x:v>950</x:v>
      </x:c>
      <x:c r="N1811" s="20" t="n">
        <x:f>IF(J1811=1,0,K1811-L1811)</x:f>
        <x:v>1190</x:v>
      </x:c>
      <x:c r="O1811" s="20" t="n">
        <x:f>N1811-M1811</x:f>
        <x:v>240</x:v>
      </x:c>
    </x:row>
    <x:row r="1812" ht="22" customHeight="1">
      <x:c r="A1812" s="11" t="n">
        <x:v>1808</x:v>
      </x:c>
      <x:c r="B1812" s="11" t="n">
        <x:v>920</x:v>
      </x:c>
      <x:c r="C1812" s="18" t="n">
        <x:v>45939</x:v>
      </x:c>
      <x:c r="D1812" s="11" t="str">
        <x:v>2025-10</x:v>
      </x:c>
      <x:c r="E1812" s="11" t="str">
        <x:v>Central</x:v>
      </x:c>
      <x:c r="F1812" s="11" t="str">
        <x:v>Furniture</x:v>
      </x:c>
      <x:c r="G1812" s="11" t="str">
        <x:v>Desk</x:v>
      </x:c>
      <x:c r="H1812" s="11" t="n">
        <x:v>5</x:v>
      </x:c>
      <x:c r="I1812" s="19" t="n">
        <x:v>0.1</x:v>
      </x:c>
      <x:c r="J1812" s="11" t="n">
        <x:v>0</x:v>
      </x:c>
      <x:c r="K1812" s="20" t="n">
        <x:v>1400</x:v>
      </x:c>
      <x:c r="L1812" s="20" t="n">
        <x:v>140</x:v>
      </x:c>
      <x:c r="M1812" s="20" t="n">
        <x:v>950</x:v>
      </x:c>
      <x:c r="N1812" s="20" t="n">
        <x:f>IF(J1812=1,0,K1812-L1812)</x:f>
        <x:v>1260</x:v>
      </x:c>
      <x:c r="O1812" s="20" t="n">
        <x:f>N1812-M1812</x:f>
        <x:v>310</x:v>
      </x:c>
    </x:row>
    <x:row r="1813" ht="22" customHeight="1">
      <x:c r="A1813" s="11" t="n">
        <x:v>1809</x:v>
      </x:c>
      <x:c r="B1813" s="11" t="n">
        <x:v>921</x:v>
      </x:c>
      <x:c r="C1813" s="18" t="n">
        <x:v>45592</x:v>
      </x:c>
      <x:c r="D1813" s="11" t="str">
        <x:v>2024-10</x:v>
      </x:c>
      <x:c r="E1813" s="11" t="str">
        <x:v>Central</x:v>
      </x:c>
      <x:c r="F1813" s="11" t="str">
        <x:v>Furniture</x:v>
      </x:c>
      <x:c r="G1813" s="11" t="str">
        <x:v>Desk</x:v>
      </x:c>
      <x:c r="H1813" s="11" t="n">
        <x:v>2</x:v>
      </x:c>
      <x:c r="I1813" s="19" t="n">
        <x:v>0.15</x:v>
      </x:c>
      <x:c r="J1813" s="11" t="n">
        <x:v>0</x:v>
      </x:c>
      <x:c r="K1813" s="20" t="n">
        <x:v>560</x:v>
      </x:c>
      <x:c r="L1813" s="20" t="n">
        <x:v>84</x:v>
      </x:c>
      <x:c r="M1813" s="20" t="n">
        <x:v>380</x:v>
      </x:c>
      <x:c r="N1813" s="20" t="n">
        <x:f>IF(J1813=1,0,K1813-L1813)</x:f>
        <x:v>476</x:v>
      </x:c>
      <x:c r="O1813" s="20" t="n">
        <x:f>N1813-M1813</x:f>
        <x:v>96</x:v>
      </x:c>
    </x:row>
    <x:row r="1814" ht="22" customHeight="1">
      <x:c r="A1814" s="11" t="n">
        <x:v>1810</x:v>
      </x:c>
      <x:c r="B1814" s="11" t="n">
        <x:v>921</x:v>
      </x:c>
      <x:c r="C1814" s="18" t="n">
        <x:v>45592</x:v>
      </x:c>
      <x:c r="D1814" s="11" t="str">
        <x:v>2024-10</x:v>
      </x:c>
      <x:c r="E1814" s="11" t="str">
        <x:v>Central</x:v>
      </x:c>
      <x:c r="F1814" s="11" t="str">
        <x:v>Office Supplies</x:v>
      </x:c>
      <x:c r="G1814" s="11" t="str">
        <x:v>Storage box</x:v>
      </x:c>
      <x:c r="H1814" s="11" t="n">
        <x:v>2</x:v>
      </x:c>
      <x:c r="I1814" s="19" t="n">
        <x:v>0.05</x:v>
      </x:c>
      <x:c r="J1814" s="11" t="n">
        <x:v>0</x:v>
      </x:c>
      <x:c r="K1814" s="20" t="n">
        <x:v>52</x:v>
      </x:c>
      <x:c r="L1814" s="20" t="n">
        <x:v>2.6</x:v>
      </x:c>
      <x:c r="M1814" s="20" t="n">
        <x:v>24</x:v>
      </x:c>
      <x:c r="N1814" s="20" t="n">
        <x:f>IF(J1814=1,0,K1814-L1814)</x:f>
        <x:v>49.4</x:v>
      </x:c>
      <x:c r="O1814" s="20" t="n">
        <x:f>N1814-M1814</x:f>
        <x:v>25.4</x:v>
      </x:c>
    </x:row>
    <x:row r="1815" ht="22" customHeight="1">
      <x:c r="A1815" s="11" t="n">
        <x:v>1811</x:v>
      </x:c>
      <x:c r="B1815" s="11" t="n">
        <x:v>922</x:v>
      </x:c>
      <x:c r="C1815" s="18" t="n">
        <x:v>45512</x:v>
      </x:c>
      <x:c r="D1815" s="11" t="str">
        <x:v>2024-08</x:v>
      </x:c>
      <x:c r="E1815" s="11" t="str">
        <x:v>Central</x:v>
      </x:c>
      <x:c r="F1815" s="11" t="str">
        <x:v>Furniture</x:v>
      </x:c>
      <x:c r="G1815" s="11" t="str">
        <x:v>Chair</x:v>
      </x:c>
      <x:c r="H1815" s="11" t="n">
        <x:v>1</x:v>
      </x:c>
      <x:c r="I1815" s="19" t="n">
        <x:v>0</x:v>
      </x:c>
      <x:c r="J1815" s="11" t="n">
        <x:v>0</x:v>
      </x:c>
      <x:c r="K1815" s="20" t="n">
        <x:v>170</x:v>
      </x:c>
      <x:c r="L1815" s="20" t="n">
        <x:v>0</x:v>
      </x:c>
      <x:c r="M1815" s="20" t="n">
        <x:v>110</x:v>
      </x:c>
      <x:c r="N1815" s="20" t="n">
        <x:f>IF(J1815=1,0,K1815-L1815)</x:f>
        <x:v>170</x:v>
      </x:c>
      <x:c r="O1815" s="20" t="n">
        <x:f>N1815-M1815</x:f>
        <x:v>60</x:v>
      </x:c>
    </x:row>
    <x:row r="1816" ht="22" customHeight="1">
      <x:c r="A1816" s="11" t="n">
        <x:v>1812</x:v>
      </x:c>
      <x:c r="B1816" s="11" t="n">
        <x:v>922</x:v>
      </x:c>
      <x:c r="C1816" s="18" t="n">
        <x:v>45512</x:v>
      </x:c>
      <x:c r="D1816" s="11" t="str">
        <x:v>2024-08</x:v>
      </x:c>
      <x:c r="E1816" s="11" t="str">
        <x:v>Central</x:v>
      </x:c>
      <x:c r="F1816" s="11" t="str">
        <x:v>Technology</x:v>
      </x:c>
      <x:c r="G1816" s="11" t="str">
        <x:v>Monitor</x:v>
      </x:c>
      <x:c r="H1816" s="11" t="n">
        <x:v>1</x:v>
      </x:c>
      <x:c r="I1816" s="19" t="n">
        <x:v>0.05</x:v>
      </x:c>
      <x:c r="J1816" s="11" t="n">
        <x:v>0</x:v>
      </x:c>
      <x:c r="K1816" s="20" t="n">
        <x:v>240</x:v>
      </x:c>
      <x:c r="L1816" s="20" t="n">
        <x:v>12</x:v>
      </x:c>
      <x:c r="M1816" s="20" t="n">
        <x:v>160</x:v>
      </x:c>
      <x:c r="N1816" s="20" t="n">
        <x:f>IF(J1816=1,0,K1816-L1816)</x:f>
        <x:v>228</x:v>
      </x:c>
      <x:c r="O1816" s="20" t="n">
        <x:f>N1816-M1816</x:f>
        <x:v>68</x:v>
      </x:c>
    </x:row>
    <x:row r="1817" ht="22" customHeight="1">
      <x:c r="A1817" s="11" t="n">
        <x:v>1813</x:v>
      </x:c>
      <x:c r="B1817" s="11" t="n">
        <x:v>923</x:v>
      </x:c>
      <x:c r="C1817" s="18" t="n">
        <x:v>45873</x:v>
      </x:c>
      <x:c r="D1817" s="11" t="str">
        <x:v>2025-08</x:v>
      </x:c>
      <x:c r="E1817" s="11" t="str">
        <x:v>West</x:v>
      </x:c>
      <x:c r="F1817" s="11" t="str">
        <x:v>Furniture</x:v>
      </x:c>
      <x:c r="G1817" s="11" t="str">
        <x:v>Desk</x:v>
      </x:c>
      <x:c r="H1817" s="11" t="n">
        <x:v>5</x:v>
      </x:c>
      <x:c r="I1817" s="19" t="n">
        <x:v>0.05</x:v>
      </x:c>
      <x:c r="J1817" s="11" t="n">
        <x:v>0</x:v>
      </x:c>
      <x:c r="K1817" s="20" t="n">
        <x:v>1400</x:v>
      </x:c>
      <x:c r="L1817" s="20" t="n">
        <x:v>70</x:v>
      </x:c>
      <x:c r="M1817" s="20" t="n">
        <x:v>950</x:v>
      </x:c>
      <x:c r="N1817" s="20" t="n">
        <x:f>IF(J1817=1,0,K1817-L1817)</x:f>
        <x:v>1330</x:v>
      </x:c>
      <x:c r="O1817" s="20" t="n">
        <x:f>N1817-M1817</x:f>
        <x:v>380</x:v>
      </x:c>
    </x:row>
    <x:row r="1818" ht="22" customHeight="1">
      <x:c r="A1818" s="11" t="n">
        <x:v>1814</x:v>
      </x:c>
      <x:c r="B1818" s="11" t="n">
        <x:v>923</x:v>
      </x:c>
      <x:c r="C1818" s="18" t="n">
        <x:v>45873</x:v>
      </x:c>
      <x:c r="D1818" s="11" t="str">
        <x:v>2025-08</x:v>
      </x:c>
      <x:c r="E1818" s="11" t="str">
        <x:v>West</x:v>
      </x:c>
      <x:c r="F1818" s="11" t="str">
        <x:v>Technology</x:v>
      </x:c>
      <x:c r="G1818" s="11" t="str">
        <x:v>Keyboard</x:v>
      </x:c>
      <x:c r="H1818" s="11" t="n">
        <x:v>1</x:v>
      </x:c>
      <x:c r="I1818" s="19" t="n">
        <x:v>0.15</x:v>
      </x:c>
      <x:c r="J1818" s="11" t="n">
        <x:v>0</x:v>
      </x:c>
      <x:c r="K1818" s="20" t="n">
        <x:v>65</x:v>
      </x:c>
      <x:c r="L1818" s="20" t="n">
        <x:v>9.75</x:v>
      </x:c>
      <x:c r="M1818" s="20" t="n">
        <x:v>32</x:v>
      </x:c>
      <x:c r="N1818" s="20" t="n">
        <x:f>IF(J1818=1,0,K1818-L1818)</x:f>
        <x:v>55.25</x:v>
      </x:c>
      <x:c r="O1818" s="20" t="n">
        <x:f>N1818-M1818</x:f>
        <x:v>23.25</x:v>
      </x:c>
    </x:row>
    <x:row r="1819" ht="22" customHeight="1">
      <x:c r="A1819" s="11" t="n">
        <x:v>1815</x:v>
      </x:c>
      <x:c r="B1819" s="11" t="n">
        <x:v>923</x:v>
      </x:c>
      <x:c r="C1819" s="18" t="n">
        <x:v>45873</x:v>
      </x:c>
      <x:c r="D1819" s="11" t="str">
        <x:v>2025-08</x:v>
      </x:c>
      <x:c r="E1819" s="11" t="str">
        <x:v>West</x:v>
      </x:c>
      <x:c r="F1819" s="11" t="str">
        <x:v>Technology</x:v>
      </x:c>
      <x:c r="G1819" s="11" t="str">
        <x:v>Monitor</x:v>
      </x:c>
      <x:c r="H1819" s="11" t="n">
        <x:v>5</x:v>
      </x:c>
      <x:c r="I1819" s="19" t="n">
        <x:v>0</x:v>
      </x:c>
      <x:c r="J1819" s="11" t="n">
        <x:v>0</x:v>
      </x:c>
      <x:c r="K1819" s="20" t="n">
        <x:v>1200</x:v>
      </x:c>
      <x:c r="L1819" s="20" t="n">
        <x:v>0</x:v>
      </x:c>
      <x:c r="M1819" s="20" t="n">
        <x:v>800</x:v>
      </x:c>
      <x:c r="N1819" s="20" t="n">
        <x:f>IF(J1819=1,0,K1819-L1819)</x:f>
        <x:v>1200</x:v>
      </x:c>
      <x:c r="O1819" s="20" t="n">
        <x:f>N1819-M1819</x:f>
        <x:v>400</x:v>
      </x:c>
    </x:row>
    <x:row r="1820" ht="22" customHeight="1">
      <x:c r="A1820" s="11" t="n">
        <x:v>1816</x:v>
      </x:c>
      <x:c r="B1820" s="11" t="n">
        <x:v>924</x:v>
      </x:c>
      <x:c r="C1820" s="18" t="n">
        <x:v>45953</x:v>
      </x:c>
      <x:c r="D1820" s="11" t="str">
        <x:v>2025-10</x:v>
      </x:c>
      <x:c r="E1820" s="11" t="str">
        <x:v>South</x:v>
      </x:c>
      <x:c r="F1820" s="11" t="str">
        <x:v>Technology</x:v>
      </x:c>
      <x:c r="G1820" s="11" t="str">
        <x:v>Monitor</x:v>
      </x:c>
      <x:c r="H1820" s="11" t="n">
        <x:v>2</x:v>
      </x:c>
      <x:c r="I1820" s="19" t="n">
        <x:v>0</x:v>
      </x:c>
      <x:c r="J1820" s="11" t="n">
        <x:v>0</x:v>
      </x:c>
      <x:c r="K1820" s="20" t="n">
        <x:v>480</x:v>
      </x:c>
      <x:c r="L1820" s="20" t="n">
        <x:v>0</x:v>
      </x:c>
      <x:c r="M1820" s="20" t="n">
        <x:v>320</x:v>
      </x:c>
      <x:c r="N1820" s="20" t="n">
        <x:f>IF(J1820=1,0,K1820-L1820)</x:f>
        <x:v>480</x:v>
      </x:c>
      <x:c r="O1820" s="20" t="n">
        <x:f>N1820-M1820</x:f>
        <x:v>160</x:v>
      </x:c>
    </x:row>
    <x:row r="1821" ht="22" customHeight="1">
      <x:c r="A1821" s="11" t="n">
        <x:v>1817</x:v>
      </x:c>
      <x:c r="B1821" s="11" t="n">
        <x:v>924</x:v>
      </x:c>
      <x:c r="C1821" s="18" t="n">
        <x:v>45953</x:v>
      </x:c>
      <x:c r="D1821" s="11" t="str">
        <x:v>2025-10</x:v>
      </x:c>
      <x:c r="E1821" s="11" t="str">
        <x:v>South</x:v>
      </x:c>
      <x:c r="F1821" s="11" t="str">
        <x:v>Furniture</x:v>
      </x:c>
      <x:c r="G1821" s="11" t="str">
        <x:v>Chair</x:v>
      </x:c>
      <x:c r="H1821" s="11" t="n">
        <x:v>4</x:v>
      </x:c>
      <x:c r="I1821" s="19" t="n">
        <x:v>0</x:v>
      </x:c>
      <x:c r="J1821" s="11" t="n">
        <x:v>0</x:v>
      </x:c>
      <x:c r="K1821" s="20" t="n">
        <x:v>680</x:v>
      </x:c>
      <x:c r="L1821" s="20" t="n">
        <x:v>0</x:v>
      </x:c>
      <x:c r="M1821" s="20" t="n">
        <x:v>440</x:v>
      </x:c>
      <x:c r="N1821" s="20" t="n">
        <x:f>IF(J1821=1,0,K1821-L1821)</x:f>
        <x:v>680</x:v>
      </x:c>
      <x:c r="O1821" s="20" t="n">
        <x:f>N1821-M1821</x:f>
        <x:v>240</x:v>
      </x:c>
    </x:row>
    <x:row r="1822" ht="22" customHeight="1">
      <x:c r="A1822" s="11" t="n">
        <x:v>1818</x:v>
      </x:c>
      <x:c r="B1822" s="11" t="n">
        <x:v>925</x:v>
      </x:c>
      <x:c r="C1822" s="18" t="n">
        <x:v>45723</x:v>
      </x:c>
      <x:c r="D1822" s="11" t="str">
        <x:v>2025-03</x:v>
      </x:c>
      <x:c r="E1822" s="11" t="str">
        <x:v>West</x:v>
      </x:c>
      <x:c r="F1822" s="11" t="str">
        <x:v>Furniture</x:v>
      </x:c>
      <x:c r="G1822" s="11" t="str">
        <x:v>Chair</x:v>
      </x:c>
      <x:c r="H1822" s="11" t="n">
        <x:v>3</x:v>
      </x:c>
      <x:c r="I1822" s="19" t="n">
        <x:v>0.25</x:v>
      </x:c>
      <x:c r="J1822" s="11" t="n">
        <x:v>0</x:v>
      </x:c>
      <x:c r="K1822" s="20" t="n">
        <x:v>510</x:v>
      </x:c>
      <x:c r="L1822" s="20" t="n">
        <x:v>127.5</x:v>
      </x:c>
      <x:c r="M1822" s="20" t="n">
        <x:v>330</x:v>
      </x:c>
      <x:c r="N1822" s="20" t="n">
        <x:f>IF(J1822=1,0,K1822-L1822)</x:f>
        <x:v>382.5</x:v>
      </x:c>
      <x:c r="O1822" s="20" t="n">
        <x:f>N1822-M1822</x:f>
        <x:v>52.5</x:v>
      </x:c>
    </x:row>
    <x:row r="1823" ht="22" customHeight="1">
      <x:c r="A1823" s="11" t="n">
        <x:v>1819</x:v>
      </x:c>
      <x:c r="B1823" s="11" t="n">
        <x:v>925</x:v>
      </x:c>
      <x:c r="C1823" s="18" t="n">
        <x:v>45723</x:v>
      </x:c>
      <x:c r="D1823" s="11" t="str">
        <x:v>2025-03</x:v>
      </x:c>
      <x:c r="E1823" s="11" t="str">
        <x:v>West</x:v>
      </x:c>
      <x:c r="F1823" s="11" t="str">
        <x:v>Office Supplies</x:v>
      </x:c>
      <x:c r="G1823" s="11" t="str">
        <x:v>Notebook pack</x:v>
      </x:c>
      <x:c r="H1823" s="11" t="n">
        <x:v>1</x:v>
      </x:c>
      <x:c r="I1823" s="19" t="n">
        <x:v>0.05</x:v>
      </x:c>
      <x:c r="J1823" s="11" t="n">
        <x:v>1</x:v>
      </x:c>
      <x:c r="K1823" s="20" t="n">
        <x:v>18</x:v>
      </x:c>
      <x:c r="L1823" s="20" t="n">
        <x:v>0.9</x:v>
      </x:c>
      <x:c r="M1823" s="20" t="n">
        <x:v>0</x:v>
      </x:c>
      <x:c r="N1823" s="20" t="n">
        <x:f>IF(J1823=1,0,K1823-L1823)</x:f>
        <x:v>0</x:v>
      </x:c>
      <x:c r="O1823" s="20" t="n">
        <x:f>N1823-M1823</x:f>
        <x:v>0</x:v>
      </x:c>
    </x:row>
    <x:row r="1824" ht="22" customHeight="1">
      <x:c r="A1824" s="11" t="n">
        <x:v>1820</x:v>
      </x:c>
      <x:c r="B1824" s="11" t="n">
        <x:v>926</x:v>
      </x:c>
      <x:c r="C1824" s="18" t="n">
        <x:v>45881</x:v>
      </x:c>
      <x:c r="D1824" s="11" t="str">
        <x:v>2025-08</x:v>
      </x:c>
      <x:c r="E1824" s="11" t="str">
        <x:v>Central</x:v>
      </x:c>
      <x:c r="F1824" s="11" t="str">
        <x:v>Furniture</x:v>
      </x:c>
      <x:c r="G1824" s="11" t="str">
        <x:v>Chair</x:v>
      </x:c>
      <x:c r="H1824" s="11" t="n">
        <x:v>1</x:v>
      </x:c>
      <x:c r="I1824" s="19" t="n">
        <x:v>0</x:v>
      </x:c>
      <x:c r="J1824" s="11" t="n">
        <x:v>0</x:v>
      </x:c>
      <x:c r="K1824" s="20" t="n">
        <x:v>170</x:v>
      </x:c>
      <x:c r="L1824" s="20" t="n">
        <x:v>0</x:v>
      </x:c>
      <x:c r="M1824" s="20" t="n">
        <x:v>110</x:v>
      </x:c>
      <x:c r="N1824" s="20" t="n">
        <x:f>IF(J1824=1,0,K1824-L1824)</x:f>
        <x:v>170</x:v>
      </x:c>
      <x:c r="O1824" s="20" t="n">
        <x:f>N1824-M1824</x:f>
        <x:v>60</x:v>
      </x:c>
    </x:row>
    <x:row r="1825" ht="22" customHeight="1">
      <x:c r="A1825" s="11" t="n">
        <x:v>1821</x:v>
      </x:c>
      <x:c r="B1825" s="11" t="n">
        <x:v>926</x:v>
      </x:c>
      <x:c r="C1825" s="18" t="n">
        <x:v>45881</x:v>
      </x:c>
      <x:c r="D1825" s="11" t="str">
        <x:v>2025-08</x:v>
      </x:c>
      <x:c r="E1825" s="11" t="str">
        <x:v>Central</x:v>
      </x:c>
      <x:c r="F1825" s="11" t="str">
        <x:v>Technology</x:v>
      </x:c>
      <x:c r="G1825" s="11" t="str">
        <x:v>Keyboard</x:v>
      </x:c>
      <x:c r="H1825" s="11" t="n">
        <x:v>1</x:v>
      </x:c>
      <x:c r="I1825" s="19" t="n">
        <x:v>0</x:v>
      </x:c>
      <x:c r="J1825" s="11" t="n">
        <x:v>0</x:v>
      </x:c>
      <x:c r="K1825" s="20" t="n">
        <x:v>65</x:v>
      </x:c>
      <x:c r="L1825" s="20" t="n">
        <x:v>0</x:v>
      </x:c>
      <x:c r="M1825" s="20" t="n">
        <x:v>32</x:v>
      </x:c>
      <x:c r="N1825" s="20" t="n">
        <x:f>IF(J1825=1,0,K1825-L1825)</x:f>
        <x:v>65</x:v>
      </x:c>
      <x:c r="O1825" s="20" t="n">
        <x:f>N1825-M1825</x:f>
        <x:v>33</x:v>
      </x:c>
    </x:row>
    <x:row r="1826" ht="22" customHeight="1">
      <x:c r="A1826" s="11" t="n">
        <x:v>1822</x:v>
      </x:c>
      <x:c r="B1826" s="11" t="n">
        <x:v>927</x:v>
      </x:c>
      <x:c r="C1826" s="18" t="n">
        <x:v>45717</x:v>
      </x:c>
      <x:c r="D1826" s="11" t="str">
        <x:v>2025-03</x:v>
      </x:c>
      <x:c r="E1826" s="11" t="str">
        <x:v>South</x:v>
      </x:c>
      <x:c r="F1826" s="11" t="str">
        <x:v>Technology</x:v>
      </x:c>
      <x:c r="G1826" s="11" t="str">
        <x:v>Monitor</x:v>
      </x:c>
      <x:c r="H1826" s="11" t="n">
        <x:v>4</x:v>
      </x:c>
      <x:c r="I1826" s="19" t="n">
        <x:v>0</x:v>
      </x:c>
      <x:c r="J1826" s="11" t="n">
        <x:v>0</x:v>
      </x:c>
      <x:c r="K1826" s="20" t="n">
        <x:v>960</x:v>
      </x:c>
      <x:c r="L1826" s="20" t="n">
        <x:v>0</x:v>
      </x:c>
      <x:c r="M1826" s="20" t="n">
        <x:v>640</x:v>
      </x:c>
      <x:c r="N1826" s="20" t="n">
        <x:f>IF(J1826=1,0,K1826-L1826)</x:f>
        <x:v>960</x:v>
      </x:c>
      <x:c r="O1826" s="20" t="n">
        <x:f>N1826-M1826</x:f>
        <x:v>320</x:v>
      </x:c>
    </x:row>
    <x:row r="1827" ht="22" customHeight="1">
      <x:c r="A1827" s="11" t="n">
        <x:v>1823</x:v>
      </x:c>
      <x:c r="B1827" s="11" t="n">
        <x:v>927</x:v>
      </x:c>
      <x:c r="C1827" s="18" t="n">
        <x:v>45717</x:v>
      </x:c>
      <x:c r="D1827" s="11" t="str">
        <x:v>2025-03</x:v>
      </x:c>
      <x:c r="E1827" s="11" t="str">
        <x:v>South</x:v>
      </x:c>
      <x:c r="F1827" s="11" t="str">
        <x:v>Office Supplies</x:v>
      </x:c>
      <x:c r="G1827" s="11" t="str">
        <x:v>Storage box</x:v>
      </x:c>
      <x:c r="H1827" s="11" t="n">
        <x:v>3</x:v>
      </x:c>
      <x:c r="I1827" s="19" t="n">
        <x:v>0.1</x:v>
      </x:c>
      <x:c r="J1827" s="11" t="n">
        <x:v>0</x:v>
      </x:c>
      <x:c r="K1827" s="20" t="n">
        <x:v>78</x:v>
      </x:c>
      <x:c r="L1827" s="20" t="n">
        <x:v>7.8</x:v>
      </x:c>
      <x:c r="M1827" s="20" t="n">
        <x:v>36</x:v>
      </x:c>
      <x:c r="N1827" s="20" t="n">
        <x:f>IF(J1827=1,0,K1827-L1827)</x:f>
        <x:v>70.2</x:v>
      </x:c>
      <x:c r="O1827" s="20" t="n">
        <x:f>N1827-M1827</x:f>
        <x:v>34.2</x:v>
      </x:c>
    </x:row>
    <x:row r="1828" ht="22" customHeight="1">
      <x:c r="A1828" s="11" t="n">
        <x:v>1824</x:v>
      </x:c>
      <x:c r="B1828" s="11" t="n">
        <x:v>928</x:v>
      </x:c>
      <x:c r="C1828" s="18" t="n">
        <x:v>45694</x:v>
      </x:c>
      <x:c r="D1828" s="11" t="str">
        <x:v>2025-02</x:v>
      </x:c>
      <x:c r="E1828" s="11" t="str">
        <x:v>Central</x:v>
      </x:c>
      <x:c r="F1828" s="11" t="str">
        <x:v>Office Supplies</x:v>
      </x:c>
      <x:c r="G1828" s="11" t="str">
        <x:v>Storage box</x:v>
      </x:c>
      <x:c r="H1828" s="11" t="n">
        <x:v>3</x:v>
      </x:c>
      <x:c r="I1828" s="19" t="n">
        <x:v>0.15</x:v>
      </x:c>
      <x:c r="J1828" s="11" t="n">
        <x:v>0</x:v>
      </x:c>
      <x:c r="K1828" s="20" t="n">
        <x:v>78</x:v>
      </x:c>
      <x:c r="L1828" s="20" t="n">
        <x:v>11.7</x:v>
      </x:c>
      <x:c r="M1828" s="20" t="n">
        <x:v>36</x:v>
      </x:c>
      <x:c r="N1828" s="20" t="n">
        <x:f>IF(J1828=1,0,K1828-L1828)</x:f>
        <x:v>66.3</x:v>
      </x:c>
      <x:c r="O1828" s="20" t="n">
        <x:f>N1828-M1828</x:f>
        <x:v>30.299999999999997</x:v>
      </x:c>
    </x:row>
    <x:row r="1829" ht="22" customHeight="1">
      <x:c r="A1829" s="11" t="n">
        <x:v>1825</x:v>
      </x:c>
      <x:c r="B1829" s="11" t="n">
        <x:v>928</x:v>
      </x:c>
      <x:c r="C1829" s="18" t="n">
        <x:v>45694</x:v>
      </x:c>
      <x:c r="D1829" s="11" t="str">
        <x:v>2025-02</x:v>
      </x:c>
      <x:c r="E1829" s="11" t="str">
        <x:v>Central</x:v>
      </x:c>
      <x:c r="F1829" s="11" t="str">
        <x:v>Furniture</x:v>
      </x:c>
      <x:c r="G1829" s="11" t="str">
        <x:v>Desk</x:v>
      </x:c>
      <x:c r="H1829" s="11" t="n">
        <x:v>2</x:v>
      </x:c>
      <x:c r="I1829" s="19" t="n">
        <x:v>0</x:v>
      </x:c>
      <x:c r="J1829" s="11" t="n">
        <x:v>0</x:v>
      </x:c>
      <x:c r="K1829" s="20" t="n">
        <x:v>560</x:v>
      </x:c>
      <x:c r="L1829" s="20" t="n">
        <x:v>0</x:v>
      </x:c>
      <x:c r="M1829" s="20" t="n">
        <x:v>380</x:v>
      </x:c>
      <x:c r="N1829" s="20" t="n">
        <x:f>IF(J1829=1,0,K1829-L1829)</x:f>
        <x:v>560</x:v>
      </x:c>
      <x:c r="O1829" s="20" t="n">
        <x:f>N1829-M1829</x:f>
        <x:v>180</x:v>
      </x:c>
    </x:row>
    <x:row r="1830" ht="22" customHeight="1">
      <x:c r="A1830" s="11" t="n">
        <x:v>1826</x:v>
      </x:c>
      <x:c r="B1830" s="11" t="n">
        <x:v>929</x:v>
      </x:c>
      <x:c r="C1830" s="18" t="n">
        <x:v>45434</x:v>
      </x:c>
      <x:c r="D1830" s="11" t="str">
        <x:v>2024-05</x:v>
      </x:c>
      <x:c r="E1830" s="11" t="str">
        <x:v>South</x:v>
      </x:c>
      <x:c r="F1830" s="11" t="str">
        <x:v>Office Supplies</x:v>
      </x:c>
      <x:c r="G1830" s="11" t="str">
        <x:v>Storage box</x:v>
      </x:c>
      <x:c r="H1830" s="11" t="n">
        <x:v>2</x:v>
      </x:c>
      <x:c r="I1830" s="19" t="n">
        <x:v>0</x:v>
      </x:c>
      <x:c r="J1830" s="11" t="n">
        <x:v>0</x:v>
      </x:c>
      <x:c r="K1830" s="20" t="n">
        <x:v>52</x:v>
      </x:c>
      <x:c r="L1830" s="20" t="n">
        <x:v>0</x:v>
      </x:c>
      <x:c r="M1830" s="20" t="n">
        <x:v>24</x:v>
      </x:c>
      <x:c r="N1830" s="20" t="n">
        <x:f>IF(J1830=1,0,K1830-L1830)</x:f>
        <x:v>52</x:v>
      </x:c>
      <x:c r="O1830" s="20" t="n">
        <x:f>N1830-M1830</x:f>
        <x:v>28</x:v>
      </x:c>
    </x:row>
    <x:row r="1831" ht="22" customHeight="1">
      <x:c r="A1831" s="11" t="n">
        <x:v>1827</x:v>
      </x:c>
      <x:c r="B1831" s="11" t="n">
        <x:v>929</x:v>
      </x:c>
      <x:c r="C1831" s="18" t="n">
        <x:v>45434</x:v>
      </x:c>
      <x:c r="D1831" s="11" t="str">
        <x:v>2024-05</x:v>
      </x:c>
      <x:c r="E1831" s="11" t="str">
        <x:v>South</x:v>
      </x:c>
      <x:c r="F1831" s="11" t="str">
        <x:v>Technology</x:v>
      </x:c>
      <x:c r="G1831" s="11" t="str">
        <x:v>Keyboard</x:v>
      </x:c>
      <x:c r="H1831" s="11" t="n">
        <x:v>3</x:v>
      </x:c>
      <x:c r="I1831" s="19" t="n">
        <x:v>0.15</x:v>
      </x:c>
      <x:c r="J1831" s="11" t="n">
        <x:v>0</x:v>
      </x:c>
      <x:c r="K1831" s="20" t="n">
        <x:v>195</x:v>
      </x:c>
      <x:c r="L1831" s="20" t="n">
        <x:v>29.25</x:v>
      </x:c>
      <x:c r="M1831" s="20" t="n">
        <x:v>96</x:v>
      </x:c>
      <x:c r="N1831" s="20" t="n">
        <x:f>IF(J1831=1,0,K1831-L1831)</x:f>
        <x:v>165.75</x:v>
      </x:c>
      <x:c r="O1831" s="20" t="n">
        <x:f>N1831-M1831</x:f>
        <x:v>69.75</x:v>
      </x:c>
    </x:row>
    <x:row r="1832" ht="22" customHeight="1">
      <x:c r="A1832" s="11" t="n">
        <x:v>1828</x:v>
      </x:c>
      <x:c r="B1832" s="11" t="n">
        <x:v>929</x:v>
      </x:c>
      <x:c r="C1832" s="18" t="n">
        <x:v>45434</x:v>
      </x:c>
      <x:c r="D1832" s="11" t="str">
        <x:v>2024-05</x:v>
      </x:c>
      <x:c r="E1832" s="11" t="str">
        <x:v>South</x:v>
      </x:c>
      <x:c r="F1832" s="11" t="str">
        <x:v>Furniture</x:v>
      </x:c>
      <x:c r="G1832" s="11" t="str">
        <x:v>Chair</x:v>
      </x:c>
      <x:c r="H1832" s="11" t="n">
        <x:v>1</x:v>
      </x:c>
      <x:c r="I1832" s="19" t="n">
        <x:v>0.1</x:v>
      </x:c>
      <x:c r="J1832" s="11" t="n">
        <x:v>0</x:v>
      </x:c>
      <x:c r="K1832" s="20" t="n">
        <x:v>170</x:v>
      </x:c>
      <x:c r="L1832" s="20" t="n">
        <x:v>17</x:v>
      </x:c>
      <x:c r="M1832" s="20" t="n">
        <x:v>110</x:v>
      </x:c>
      <x:c r="N1832" s="20" t="n">
        <x:f>IF(J1832=1,0,K1832-L1832)</x:f>
        <x:v>153</x:v>
      </x:c>
      <x:c r="O1832" s="20" t="n">
        <x:f>N1832-M1832</x:f>
        <x:v>43</x:v>
      </x:c>
    </x:row>
    <x:row r="1833" ht="22" customHeight="1">
      <x:c r="A1833" s="11" t="n">
        <x:v>1829</x:v>
      </x:c>
      <x:c r="B1833" s="11" t="n">
        <x:v>930</x:v>
      </x:c>
      <x:c r="C1833" s="18" t="n">
        <x:v>45336</x:v>
      </x:c>
      <x:c r="D1833" s="11" t="str">
        <x:v>2024-02</x:v>
      </x:c>
      <x:c r="E1833" s="11" t="str">
        <x:v>Central</x:v>
      </x:c>
      <x:c r="F1833" s="11" t="str">
        <x:v>Furniture</x:v>
      </x:c>
      <x:c r="G1833" s="11" t="str">
        <x:v>Desk</x:v>
      </x:c>
      <x:c r="H1833" s="11" t="n">
        <x:v>3</x:v>
      </x:c>
      <x:c r="I1833" s="19" t="n">
        <x:v>0.25</x:v>
      </x:c>
      <x:c r="J1833" s="11" t="n">
        <x:v>0</x:v>
      </x:c>
      <x:c r="K1833" s="20" t="n">
        <x:v>840</x:v>
      </x:c>
      <x:c r="L1833" s="20" t="n">
        <x:v>210</x:v>
      </x:c>
      <x:c r="M1833" s="20" t="n">
        <x:v>570</x:v>
      </x:c>
      <x:c r="N1833" s="20" t="n">
        <x:f>IF(J1833=1,0,K1833-L1833)</x:f>
        <x:v>630</x:v>
      </x:c>
      <x:c r="O1833" s="20" t="n">
        <x:f>N1833-M1833</x:f>
        <x:v>60</x:v>
      </x:c>
    </x:row>
    <x:row r="1834" ht="22" customHeight="1">
      <x:c r="A1834" s="11" t="n">
        <x:v>1830</x:v>
      </x:c>
      <x:c r="B1834" s="11" t="n">
        <x:v>930</x:v>
      </x:c>
      <x:c r="C1834" s="18" t="n">
        <x:v>45336</x:v>
      </x:c>
      <x:c r="D1834" s="11" t="str">
        <x:v>2024-02</x:v>
      </x:c>
      <x:c r="E1834" s="11" t="str">
        <x:v>Central</x:v>
      </x:c>
      <x:c r="F1834" s="11" t="str">
        <x:v>Technology</x:v>
      </x:c>
      <x:c r="G1834" s="11" t="str">
        <x:v>Monitor</x:v>
      </x:c>
      <x:c r="H1834" s="11" t="n">
        <x:v>2</x:v>
      </x:c>
      <x:c r="I1834" s="19" t="n">
        <x:v>0</x:v>
      </x:c>
      <x:c r="J1834" s="11" t="n">
        <x:v>0</x:v>
      </x:c>
      <x:c r="K1834" s="20" t="n">
        <x:v>480</x:v>
      </x:c>
      <x:c r="L1834" s="20" t="n">
        <x:v>0</x:v>
      </x:c>
      <x:c r="M1834" s="20" t="n">
        <x:v>320</x:v>
      </x:c>
      <x:c r="N1834" s="20" t="n">
        <x:f>IF(J1834=1,0,K1834-L1834)</x:f>
        <x:v>480</x:v>
      </x:c>
      <x:c r="O1834" s="20" t="n">
        <x:f>N1834-M1834</x:f>
        <x:v>160</x:v>
      </x:c>
    </x:row>
    <x:row r="1835" ht="22" customHeight="1">
      <x:c r="A1835" s="11" t="n">
        <x:v>1831</x:v>
      </x:c>
      <x:c r="B1835" s="11" t="n">
        <x:v>931</x:v>
      </x:c>
      <x:c r="C1835" s="18" t="n">
        <x:v>45414</x:v>
      </x:c>
      <x:c r="D1835" s="11" t="str">
        <x:v>2024-05</x:v>
      </x:c>
      <x:c r="E1835" s="11" t="str">
        <x:v>South</x:v>
      </x:c>
      <x:c r="F1835" s="11" t="str">
        <x:v>Office Supplies</x:v>
      </x:c>
      <x:c r="G1835" s="11" t="str">
        <x:v>Notebook pack</x:v>
      </x:c>
      <x:c r="H1835" s="11" t="n">
        <x:v>4</x:v>
      </x:c>
      <x:c r="I1835" s="19" t="n">
        <x:v>0.1</x:v>
      </x:c>
      <x:c r="J1835" s="11" t="n">
        <x:v>0</x:v>
      </x:c>
      <x:c r="K1835" s="20" t="n">
        <x:v>72</x:v>
      </x:c>
      <x:c r="L1835" s="20" t="n">
        <x:v>7.2</x:v>
      </x:c>
      <x:c r="M1835" s="20" t="n">
        <x:v>28</x:v>
      </x:c>
      <x:c r="N1835" s="20" t="n">
        <x:f>IF(J1835=1,0,K1835-L1835)</x:f>
        <x:v>64.8</x:v>
      </x:c>
      <x:c r="O1835" s="20" t="n">
        <x:f>N1835-M1835</x:f>
        <x:v>36.8</x:v>
      </x:c>
    </x:row>
    <x:row r="1836" ht="22" customHeight="1">
      <x:c r="A1836" s="11" t="n">
        <x:v>1832</x:v>
      </x:c>
      <x:c r="B1836" s="11" t="n">
        <x:v>932</x:v>
      </x:c>
      <x:c r="C1836" s="18" t="n">
        <x:v>45826</x:v>
      </x:c>
      <x:c r="D1836" s="11" t="str">
        <x:v>2025-06</x:v>
      </x:c>
      <x:c r="E1836" s="11" t="str">
        <x:v>East</x:v>
      </x:c>
      <x:c r="F1836" s="11" t="str">
        <x:v>Technology</x:v>
      </x:c>
      <x:c r="G1836" s="11" t="str">
        <x:v>Keyboard</x:v>
      </x:c>
      <x:c r="H1836" s="11" t="n">
        <x:v>3</x:v>
      </x:c>
      <x:c r="I1836" s="19" t="n">
        <x:v>0.1</x:v>
      </x:c>
      <x:c r="J1836" s="11" t="n">
        <x:v>0</x:v>
      </x:c>
      <x:c r="K1836" s="20" t="n">
        <x:v>195</x:v>
      </x:c>
      <x:c r="L1836" s="20" t="n">
        <x:v>19.5</x:v>
      </x:c>
      <x:c r="M1836" s="20" t="n">
        <x:v>96</x:v>
      </x:c>
      <x:c r="N1836" s="20" t="n">
        <x:f>IF(J1836=1,0,K1836-L1836)</x:f>
        <x:v>175.5</x:v>
      </x:c>
      <x:c r="O1836" s="20" t="n">
        <x:f>N1836-M1836</x:f>
        <x:v>79.5</x:v>
      </x:c>
    </x:row>
    <x:row r="1837" ht="22" customHeight="1">
      <x:c r="A1837" s="11" t="n">
        <x:v>1833</x:v>
      </x:c>
      <x:c r="B1837" s="11" t="n">
        <x:v>932</x:v>
      </x:c>
      <x:c r="C1837" s="18" t="n">
        <x:v>45826</x:v>
      </x:c>
      <x:c r="D1837" s="11" t="str">
        <x:v>2025-06</x:v>
      </x:c>
      <x:c r="E1837" s="11" t="str">
        <x:v>East</x:v>
      </x:c>
      <x:c r="F1837" s="11" t="str">
        <x:v>Office Supplies</x:v>
      </x:c>
      <x:c r="G1837" s="11" t="str">
        <x:v>Storage box</x:v>
      </x:c>
      <x:c r="H1837" s="11" t="n">
        <x:v>3</x:v>
      </x:c>
      <x:c r="I1837" s="19" t="n">
        <x:v>0.05</x:v>
      </x:c>
      <x:c r="J1837" s="11" t="n">
        <x:v>0</x:v>
      </x:c>
      <x:c r="K1837" s="20" t="n">
        <x:v>78</x:v>
      </x:c>
      <x:c r="L1837" s="20" t="n">
        <x:v>3.9</x:v>
      </x:c>
      <x:c r="M1837" s="20" t="n">
        <x:v>36</x:v>
      </x:c>
      <x:c r="N1837" s="20" t="n">
        <x:f>IF(J1837=1,0,K1837-L1837)</x:f>
        <x:v>74.1</x:v>
      </x:c>
      <x:c r="O1837" s="20" t="n">
        <x:f>N1837-M1837</x:f>
        <x:v>38.099999999999994</x:v>
      </x:c>
    </x:row>
    <x:row r="1838" ht="22" customHeight="1">
      <x:c r="A1838" s="11" t="n">
        <x:v>1834</x:v>
      </x:c>
      <x:c r="B1838" s="11" t="n">
        <x:v>932</x:v>
      </x:c>
      <x:c r="C1838" s="18" t="n">
        <x:v>45826</x:v>
      </x:c>
      <x:c r="D1838" s="11" t="str">
        <x:v>2025-06</x:v>
      </x:c>
      <x:c r="E1838" s="11" t="str">
        <x:v>East</x:v>
      </x:c>
      <x:c r="F1838" s="11" t="str">
        <x:v>Technology</x:v>
      </x:c>
      <x:c r="G1838" s="11" t="str">
        <x:v>Monitor</x:v>
      </x:c>
      <x:c r="H1838" s="11" t="n">
        <x:v>3</x:v>
      </x:c>
      <x:c r="I1838" s="19" t="n">
        <x:v>0.15</x:v>
      </x:c>
      <x:c r="J1838" s="11" t="n">
        <x:v>0</x:v>
      </x:c>
      <x:c r="K1838" s="20" t="n">
        <x:v>720</x:v>
      </x:c>
      <x:c r="L1838" s="20" t="n">
        <x:v>108</x:v>
      </x:c>
      <x:c r="M1838" s="20" t="n">
        <x:v>480</x:v>
      </x:c>
      <x:c r="N1838" s="20" t="n">
        <x:f>IF(J1838=1,0,K1838-L1838)</x:f>
        <x:v>612</x:v>
      </x:c>
      <x:c r="O1838" s="20" t="n">
        <x:f>N1838-M1838</x:f>
        <x:v>132</x:v>
      </x:c>
    </x:row>
    <x:row r="1839" ht="22" customHeight="1">
      <x:c r="A1839" s="11" t="n">
        <x:v>1835</x:v>
      </x:c>
      <x:c r="B1839" s="11" t="n">
        <x:v>933</x:v>
      </x:c>
      <x:c r="C1839" s="18" t="n">
        <x:v>45540</x:v>
      </x:c>
      <x:c r="D1839" s="11" t="str">
        <x:v>2024-09</x:v>
      </x:c>
      <x:c r="E1839" s="11" t="str">
        <x:v>Central</x:v>
      </x:c>
      <x:c r="F1839" s="11" t="str">
        <x:v>Furniture</x:v>
      </x:c>
      <x:c r="G1839" s="11" t="str">
        <x:v>Desk</x:v>
      </x:c>
      <x:c r="H1839" s="11" t="n">
        <x:v>1</x:v>
      </x:c>
      <x:c r="I1839" s="19" t="n">
        <x:v>0.05</x:v>
      </x:c>
      <x:c r="J1839" s="11" t="n">
        <x:v>1</x:v>
      </x:c>
      <x:c r="K1839" s="20" t="n">
        <x:v>280</x:v>
      </x:c>
      <x:c r="L1839" s="20" t="n">
        <x:v>14</x:v>
      </x:c>
      <x:c r="M1839" s="20" t="n">
        <x:v>0</x:v>
      </x:c>
      <x:c r="N1839" s="20" t="n">
        <x:f>IF(J1839=1,0,K1839-L1839)</x:f>
        <x:v>0</x:v>
      </x:c>
      <x:c r="O1839" s="20" t="n">
        <x:f>N1839-M1839</x:f>
        <x:v>0</x:v>
      </x:c>
    </x:row>
    <x:row r="1840" ht="22" customHeight="1">
      <x:c r="A1840" s="11" t="n">
        <x:v>1836</x:v>
      </x:c>
      <x:c r="B1840" s="11" t="n">
        <x:v>933</x:v>
      </x:c>
      <x:c r="C1840" s="18" t="n">
        <x:v>45540</x:v>
      </x:c>
      <x:c r="D1840" s="11" t="str">
        <x:v>2024-09</x:v>
      </x:c>
      <x:c r="E1840" s="11" t="str">
        <x:v>Central</x:v>
      </x:c>
      <x:c r="F1840" s="11" t="str">
        <x:v>Office Supplies</x:v>
      </x:c>
      <x:c r="G1840" s="11" t="str">
        <x:v>Storage box</x:v>
      </x:c>
      <x:c r="H1840" s="11" t="n">
        <x:v>2</x:v>
      </x:c>
      <x:c r="I1840" s="19" t="n">
        <x:v>0.1</x:v>
      </x:c>
      <x:c r="J1840" s="11" t="n">
        <x:v>0</x:v>
      </x:c>
      <x:c r="K1840" s="20" t="n">
        <x:v>52</x:v>
      </x:c>
      <x:c r="L1840" s="20" t="n">
        <x:v>5.2</x:v>
      </x:c>
      <x:c r="M1840" s="20" t="n">
        <x:v>24</x:v>
      </x:c>
      <x:c r="N1840" s="20" t="n">
        <x:f>IF(J1840=1,0,K1840-L1840)</x:f>
        <x:v>46.8</x:v>
      </x:c>
      <x:c r="O1840" s="20" t="n">
        <x:f>N1840-M1840</x:f>
        <x:v>22.799999999999997</x:v>
      </x:c>
    </x:row>
    <x:row r="1841" ht="22" customHeight="1">
      <x:c r="A1841" s="11" t="n">
        <x:v>1837</x:v>
      </x:c>
      <x:c r="B1841" s="11" t="n">
        <x:v>933</x:v>
      </x:c>
      <x:c r="C1841" s="18" t="n">
        <x:v>45540</x:v>
      </x:c>
      <x:c r="D1841" s="11" t="str">
        <x:v>2024-09</x:v>
      </x:c>
      <x:c r="E1841" s="11" t="str">
        <x:v>Central</x:v>
      </x:c>
      <x:c r="F1841" s="11" t="str">
        <x:v>Technology</x:v>
      </x:c>
      <x:c r="G1841" s="11" t="str">
        <x:v>Keyboard</x:v>
      </x:c>
      <x:c r="H1841" s="11" t="n">
        <x:v>2</x:v>
      </x:c>
      <x:c r="I1841" s="19" t="n">
        <x:v>0.1</x:v>
      </x:c>
      <x:c r="J1841" s="11" t="n">
        <x:v>0</x:v>
      </x:c>
      <x:c r="K1841" s="20" t="n">
        <x:v>130</x:v>
      </x:c>
      <x:c r="L1841" s="20" t="n">
        <x:v>13</x:v>
      </x:c>
      <x:c r="M1841" s="20" t="n">
        <x:v>64</x:v>
      </x:c>
      <x:c r="N1841" s="20" t="n">
        <x:f>IF(J1841=1,0,K1841-L1841)</x:f>
        <x:v>117</x:v>
      </x:c>
      <x:c r="O1841" s="20" t="n">
        <x:f>N1841-M1841</x:f>
        <x:v>53</x:v>
      </x:c>
    </x:row>
    <x:row r="1842" ht="22" customHeight="1">
      <x:c r="A1842" s="11" t="n">
        <x:v>1838</x:v>
      </x:c>
      <x:c r="B1842" s="11" t="n">
        <x:v>934</x:v>
      </x:c>
      <x:c r="C1842" s="18" t="n">
        <x:v>45505</x:v>
      </x:c>
      <x:c r="D1842" s="11" t="str">
        <x:v>2024-08</x:v>
      </x:c>
      <x:c r="E1842" s="11" t="str">
        <x:v>East</x:v>
      </x:c>
      <x:c r="F1842" s="11" t="str">
        <x:v>Office Supplies</x:v>
      </x:c>
      <x:c r="G1842" s="11" t="str">
        <x:v>Storage box</x:v>
      </x:c>
      <x:c r="H1842" s="11" t="n">
        <x:v>2</x:v>
      </x:c>
      <x:c r="I1842" s="19" t="n">
        <x:v>0.15</x:v>
      </x:c>
      <x:c r="J1842" s="11" t="n">
        <x:v>0</x:v>
      </x:c>
      <x:c r="K1842" s="20" t="n">
        <x:v>52</x:v>
      </x:c>
      <x:c r="L1842" s="20" t="n">
        <x:v>7.8</x:v>
      </x:c>
      <x:c r="M1842" s="20" t="n">
        <x:v>24</x:v>
      </x:c>
      <x:c r="N1842" s="20" t="n">
        <x:f>IF(J1842=1,0,K1842-L1842)</x:f>
        <x:v>44.2</x:v>
      </x:c>
      <x:c r="O1842" s="20" t="n">
        <x:f>N1842-M1842</x:f>
        <x:v>20.200000000000003</x:v>
      </x:c>
    </x:row>
    <x:row r="1843" ht="22" customHeight="1">
      <x:c r="A1843" s="11" t="n">
        <x:v>1839</x:v>
      </x:c>
      <x:c r="B1843" s="11" t="n">
        <x:v>934</x:v>
      </x:c>
      <x:c r="C1843" s="18" t="n">
        <x:v>45505</x:v>
      </x:c>
      <x:c r="D1843" s="11" t="str">
        <x:v>2024-08</x:v>
      </x:c>
      <x:c r="E1843" s="11" t="str">
        <x:v>East</x:v>
      </x:c>
      <x:c r="F1843" s="11" t="str">
        <x:v>Technology</x:v>
      </x:c>
      <x:c r="G1843" s="11" t="str">
        <x:v>Keyboard</x:v>
      </x:c>
      <x:c r="H1843" s="11" t="n">
        <x:v>2</x:v>
      </x:c>
      <x:c r="I1843" s="19" t="n">
        <x:v>0</x:v>
      </x:c>
      <x:c r="J1843" s="11" t="n">
        <x:v>0</x:v>
      </x:c>
      <x:c r="K1843" s="20" t="n">
        <x:v>130</x:v>
      </x:c>
      <x:c r="L1843" s="20" t="n">
        <x:v>0</x:v>
      </x:c>
      <x:c r="M1843" s="20" t="n">
        <x:v>64</x:v>
      </x:c>
      <x:c r="N1843" s="20" t="n">
        <x:f>IF(J1843=1,0,K1843-L1843)</x:f>
        <x:v>130</x:v>
      </x:c>
      <x:c r="O1843" s="20" t="n">
        <x:f>N1843-M1843</x:f>
        <x:v>66</x:v>
      </x:c>
    </x:row>
    <x:row r="1844" ht="22" customHeight="1">
      <x:c r="A1844" s="11" t="n">
        <x:v>1840</x:v>
      </x:c>
      <x:c r="B1844" s="11" t="n">
        <x:v>935</x:v>
      </x:c>
      <x:c r="C1844" s="18" t="n">
        <x:v>45686</x:v>
      </x:c>
      <x:c r="D1844" s="11" t="str">
        <x:v>2025-01</x:v>
      </x:c>
      <x:c r="E1844" s="11" t="str">
        <x:v>West</x:v>
      </x:c>
      <x:c r="F1844" s="11" t="str">
        <x:v>Furniture</x:v>
      </x:c>
      <x:c r="G1844" s="11" t="str">
        <x:v>Chair</x:v>
      </x:c>
      <x:c r="H1844" s="11" t="n">
        <x:v>3</x:v>
      </x:c>
      <x:c r="I1844" s="19" t="n">
        <x:v>0.25</x:v>
      </x:c>
      <x:c r="J1844" s="11" t="n">
        <x:v>0</x:v>
      </x:c>
      <x:c r="K1844" s="20" t="n">
        <x:v>510</x:v>
      </x:c>
      <x:c r="L1844" s="20" t="n">
        <x:v>127.5</x:v>
      </x:c>
      <x:c r="M1844" s="20" t="n">
        <x:v>330</x:v>
      </x:c>
      <x:c r="N1844" s="20" t="n">
        <x:f>IF(J1844=1,0,K1844-L1844)</x:f>
        <x:v>382.5</x:v>
      </x:c>
      <x:c r="O1844" s="20" t="n">
        <x:f>N1844-M1844</x:f>
        <x:v>52.5</x:v>
      </x:c>
    </x:row>
    <x:row r="1845" ht="22" customHeight="1">
      <x:c r="A1845" s="11" t="n">
        <x:v>1841</x:v>
      </x:c>
      <x:c r="B1845" s="11" t="n">
        <x:v>935</x:v>
      </x:c>
      <x:c r="C1845" s="18" t="n">
        <x:v>45686</x:v>
      </x:c>
      <x:c r="D1845" s="11" t="str">
        <x:v>2025-01</x:v>
      </x:c>
      <x:c r="E1845" s="11" t="str">
        <x:v>West</x:v>
      </x:c>
      <x:c r="F1845" s="11" t="str">
        <x:v>Furniture</x:v>
      </x:c>
      <x:c r="G1845" s="11" t="str">
        <x:v>Desk</x:v>
      </x:c>
      <x:c r="H1845" s="11" t="n">
        <x:v>3</x:v>
      </x:c>
      <x:c r="I1845" s="19" t="n">
        <x:v>0</x:v>
      </x:c>
      <x:c r="J1845" s="11" t="n">
        <x:v>0</x:v>
      </x:c>
      <x:c r="K1845" s="20" t="n">
        <x:v>840</x:v>
      </x:c>
      <x:c r="L1845" s="20" t="n">
        <x:v>0</x:v>
      </x:c>
      <x:c r="M1845" s="20" t="n">
        <x:v>570</x:v>
      </x:c>
      <x:c r="N1845" s="20" t="n">
        <x:f>IF(J1845=1,0,K1845-L1845)</x:f>
        <x:v>840</x:v>
      </x:c>
      <x:c r="O1845" s="20" t="n">
        <x:f>N1845-M1845</x:f>
        <x:v>270</x:v>
      </x:c>
    </x:row>
    <x:row r="1846" ht="22" customHeight="1">
      <x:c r="A1846" s="11" t="n">
        <x:v>1842</x:v>
      </x:c>
      <x:c r="B1846" s="11" t="n">
        <x:v>936</x:v>
      </x:c>
      <x:c r="C1846" s="18" t="n">
        <x:v>45401</x:v>
      </x:c>
      <x:c r="D1846" s="11" t="str">
        <x:v>2024-04</x:v>
      </x:c>
      <x:c r="E1846" s="11" t="str">
        <x:v>Central</x:v>
      </x:c>
      <x:c r="F1846" s="11" t="str">
        <x:v>Furniture</x:v>
      </x:c>
      <x:c r="G1846" s="11" t="str">
        <x:v>Desk</x:v>
      </x:c>
      <x:c r="H1846" s="11" t="n">
        <x:v>4</x:v>
      </x:c>
      <x:c r="I1846" s="19" t="n">
        <x:v>0</x:v>
      </x:c>
      <x:c r="J1846" s="11" t="n">
        <x:v>0</x:v>
      </x:c>
      <x:c r="K1846" s="20" t="n">
        <x:v>1120</x:v>
      </x:c>
      <x:c r="L1846" s="20" t="n">
        <x:v>0</x:v>
      </x:c>
      <x:c r="M1846" s="20" t="n">
        <x:v>760</x:v>
      </x:c>
      <x:c r="N1846" s="20" t="n">
        <x:f>IF(J1846=1,0,K1846-L1846)</x:f>
        <x:v>1120</x:v>
      </x:c>
      <x:c r="O1846" s="20" t="n">
        <x:f>N1846-M1846</x:f>
        <x:v>360</x:v>
      </x:c>
    </x:row>
    <x:row r="1847" ht="22" customHeight="1">
      <x:c r="A1847" s="11" t="n">
        <x:v>1843</x:v>
      </x:c>
      <x:c r="B1847" s="11" t="n">
        <x:v>937</x:v>
      </x:c>
      <x:c r="C1847" s="18" t="n">
        <x:v>45779</x:v>
      </x:c>
      <x:c r="D1847" s="11" t="str">
        <x:v>2025-05</x:v>
      </x:c>
      <x:c r="E1847" s="11" t="str">
        <x:v>West</x:v>
      </x:c>
      <x:c r="F1847" s="11" t="str">
        <x:v>Technology</x:v>
      </x:c>
      <x:c r="G1847" s="11" t="str">
        <x:v>Monitor</x:v>
      </x:c>
      <x:c r="H1847" s="11" t="n">
        <x:v>5</x:v>
      </x:c>
      <x:c r="I1847" s="19" t="n">
        <x:v>0</x:v>
      </x:c>
      <x:c r="J1847" s="11" t="n">
        <x:v>0</x:v>
      </x:c>
      <x:c r="K1847" s="20" t="n">
        <x:v>1200</x:v>
      </x:c>
      <x:c r="L1847" s="20" t="n">
        <x:v>0</x:v>
      </x:c>
      <x:c r="M1847" s="20" t="n">
        <x:v>800</x:v>
      </x:c>
      <x:c r="N1847" s="20" t="n">
        <x:f>IF(J1847=1,0,K1847-L1847)</x:f>
        <x:v>1200</x:v>
      </x:c>
      <x:c r="O1847" s="20" t="n">
        <x:f>N1847-M1847</x:f>
        <x:v>400</x:v>
      </x:c>
    </x:row>
    <x:row r="1848" ht="22" customHeight="1">
      <x:c r="A1848" s="11" t="n">
        <x:v>1844</x:v>
      </x:c>
      <x:c r="B1848" s="11" t="n">
        <x:v>937</x:v>
      </x:c>
      <x:c r="C1848" s="18" t="n">
        <x:v>45779</x:v>
      </x:c>
      <x:c r="D1848" s="11" t="str">
        <x:v>2025-05</x:v>
      </x:c>
      <x:c r="E1848" s="11" t="str">
        <x:v>West</x:v>
      </x:c>
      <x:c r="F1848" s="11" t="str">
        <x:v>Furniture</x:v>
      </x:c>
      <x:c r="G1848" s="11" t="str">
        <x:v>Desk</x:v>
      </x:c>
      <x:c r="H1848" s="11" t="n">
        <x:v>2</x:v>
      </x:c>
      <x:c r="I1848" s="19" t="n">
        <x:v>0</x:v>
      </x:c>
      <x:c r="J1848" s="11" t="n">
        <x:v>0</x:v>
      </x:c>
      <x:c r="K1848" s="20" t="n">
        <x:v>560</x:v>
      </x:c>
      <x:c r="L1848" s="20" t="n">
        <x:v>0</x:v>
      </x:c>
      <x:c r="M1848" s="20" t="n">
        <x:v>380</x:v>
      </x:c>
      <x:c r="N1848" s="20" t="n">
        <x:f>IF(J1848=1,0,K1848-L1848)</x:f>
        <x:v>560</x:v>
      </x:c>
      <x:c r="O1848" s="20" t="n">
        <x:f>N1848-M1848</x:f>
        <x:v>180</x:v>
      </x:c>
    </x:row>
    <x:row r="1849" ht="22" customHeight="1">
      <x:c r="A1849" s="11" t="n">
        <x:v>1845</x:v>
      </x:c>
      <x:c r="B1849" s="11" t="n">
        <x:v>938</x:v>
      </x:c>
      <x:c r="C1849" s="18" t="n">
        <x:v>45733</x:v>
      </x:c>
      <x:c r="D1849" s="11" t="str">
        <x:v>2025-03</x:v>
      </x:c>
      <x:c r="E1849" s="11" t="str">
        <x:v>Central</x:v>
      </x:c>
      <x:c r="F1849" s="11" t="str">
        <x:v>Technology</x:v>
      </x:c>
      <x:c r="G1849" s="11" t="str">
        <x:v>Keyboard</x:v>
      </x:c>
      <x:c r="H1849" s="11" t="n">
        <x:v>3</x:v>
      </x:c>
      <x:c r="I1849" s="19" t="n">
        <x:v>0.05</x:v>
      </x:c>
      <x:c r="J1849" s="11" t="n">
        <x:v>0</x:v>
      </x:c>
      <x:c r="K1849" s="20" t="n">
        <x:v>195</x:v>
      </x:c>
      <x:c r="L1849" s="20" t="n">
        <x:v>9.75</x:v>
      </x:c>
      <x:c r="M1849" s="20" t="n">
        <x:v>96</x:v>
      </x:c>
      <x:c r="N1849" s="20" t="n">
        <x:f>IF(J1849=1,0,K1849-L1849)</x:f>
        <x:v>185.25</x:v>
      </x:c>
      <x:c r="O1849" s="20" t="n">
        <x:f>N1849-M1849</x:f>
        <x:v>89.25</x:v>
      </x:c>
    </x:row>
    <x:row r="1850" ht="22" customHeight="1">
      <x:c r="A1850" s="11" t="n">
        <x:v>1846</x:v>
      </x:c>
      <x:c r="B1850" s="11" t="n">
        <x:v>939</x:v>
      </x:c>
      <x:c r="C1850" s="18" t="n">
        <x:v>45956</x:v>
      </x:c>
      <x:c r="D1850" s="11" t="str">
        <x:v>2025-10</x:v>
      </x:c>
      <x:c r="E1850" s="11" t="str">
        <x:v>Central</x:v>
      </x:c>
      <x:c r="F1850" s="11" t="str">
        <x:v>Technology</x:v>
      </x:c>
      <x:c r="G1850" s="11" t="str">
        <x:v>Monitor</x:v>
      </x:c>
      <x:c r="H1850" s="11" t="n">
        <x:v>2</x:v>
      </x:c>
      <x:c r="I1850" s="19" t="n">
        <x:v>0.1</x:v>
      </x:c>
      <x:c r="J1850" s="11" t="n">
        <x:v>0</x:v>
      </x:c>
      <x:c r="K1850" s="20" t="n">
        <x:v>480</x:v>
      </x:c>
      <x:c r="L1850" s="20" t="n">
        <x:v>48</x:v>
      </x:c>
      <x:c r="M1850" s="20" t="n">
        <x:v>320</x:v>
      </x:c>
      <x:c r="N1850" s="20" t="n">
        <x:f>IF(J1850=1,0,K1850-L1850)</x:f>
        <x:v>432</x:v>
      </x:c>
      <x:c r="O1850" s="20" t="n">
        <x:f>N1850-M1850</x:f>
        <x:v>112</x:v>
      </x:c>
    </x:row>
    <x:row r="1851" ht="22" customHeight="1">
      <x:c r="A1851" s="11" t="n">
        <x:v>1847</x:v>
      </x:c>
      <x:c r="B1851" s="11" t="n">
        <x:v>940</x:v>
      </x:c>
      <x:c r="C1851" s="18" t="n">
        <x:v>45574</x:v>
      </x:c>
      <x:c r="D1851" s="11" t="str">
        <x:v>2024-10</x:v>
      </x:c>
      <x:c r="E1851" s="11" t="str">
        <x:v>East</x:v>
      </x:c>
      <x:c r="F1851" s="11" t="str">
        <x:v>Technology</x:v>
      </x:c>
      <x:c r="G1851" s="11" t="str">
        <x:v>Keyboard</x:v>
      </x:c>
      <x:c r="H1851" s="11" t="n">
        <x:v>2</x:v>
      </x:c>
      <x:c r="I1851" s="19" t="n">
        <x:v>0</x:v>
      </x:c>
      <x:c r="J1851" s="11" t="n">
        <x:v>0</x:v>
      </x:c>
      <x:c r="K1851" s="20" t="n">
        <x:v>130</x:v>
      </x:c>
      <x:c r="L1851" s="20" t="n">
        <x:v>0</x:v>
      </x:c>
      <x:c r="M1851" s="20" t="n">
        <x:v>64</x:v>
      </x:c>
      <x:c r="N1851" s="20" t="n">
        <x:f>IF(J1851=1,0,K1851-L1851)</x:f>
        <x:v>130</x:v>
      </x:c>
      <x:c r="O1851" s="20" t="n">
        <x:f>N1851-M1851</x:f>
        <x:v>66</x:v>
      </x:c>
    </x:row>
    <x:row r="1852" ht="22" customHeight="1">
      <x:c r="A1852" s="11" t="n">
        <x:v>1848</x:v>
      </x:c>
      <x:c r="B1852" s="11" t="n">
        <x:v>940</x:v>
      </x:c>
      <x:c r="C1852" s="18" t="n">
        <x:v>45574</x:v>
      </x:c>
      <x:c r="D1852" s="11" t="str">
        <x:v>2024-10</x:v>
      </x:c>
      <x:c r="E1852" s="11" t="str">
        <x:v>East</x:v>
      </x:c>
      <x:c r="F1852" s="11" t="str">
        <x:v>Furniture</x:v>
      </x:c>
      <x:c r="G1852" s="11" t="str">
        <x:v>Desk</x:v>
      </x:c>
      <x:c r="H1852" s="11" t="n">
        <x:v>1</x:v>
      </x:c>
      <x:c r="I1852" s="19" t="n">
        <x:v>0</x:v>
      </x:c>
      <x:c r="J1852" s="11" t="n">
        <x:v>0</x:v>
      </x:c>
      <x:c r="K1852" s="20" t="n">
        <x:v>280</x:v>
      </x:c>
      <x:c r="L1852" s="20" t="n">
        <x:v>0</x:v>
      </x:c>
      <x:c r="M1852" s="20" t="n">
        <x:v>190</x:v>
      </x:c>
      <x:c r="N1852" s="20" t="n">
        <x:f>IF(J1852=1,0,K1852-L1852)</x:f>
        <x:v>280</x:v>
      </x:c>
      <x:c r="O1852" s="20" t="n">
        <x:f>N1852-M1852</x:f>
        <x:v>90</x:v>
      </x:c>
    </x:row>
    <x:row r="1853" ht="22" customHeight="1">
      <x:c r="A1853" s="11" t="n">
        <x:v>1849</x:v>
      </x:c>
      <x:c r="B1853" s="11" t="n">
        <x:v>940</x:v>
      </x:c>
      <x:c r="C1853" s="18" t="n">
        <x:v>45574</x:v>
      </x:c>
      <x:c r="D1853" s="11" t="str">
        <x:v>2024-10</x:v>
      </x:c>
      <x:c r="E1853" s="11" t="str">
        <x:v>East</x:v>
      </x:c>
      <x:c r="F1853" s="11" t="str">
        <x:v>Office Supplies</x:v>
      </x:c>
      <x:c r="G1853" s="11" t="str">
        <x:v>Notebook pack</x:v>
      </x:c>
      <x:c r="H1853" s="11" t="n">
        <x:v>2</x:v>
      </x:c>
      <x:c r="I1853" s="19" t="n">
        <x:v>0</x:v>
      </x:c>
      <x:c r="J1853" s="11" t="n">
        <x:v>0</x:v>
      </x:c>
      <x:c r="K1853" s="20" t="n">
        <x:v>36</x:v>
      </x:c>
      <x:c r="L1853" s="20" t="n">
        <x:v>0</x:v>
      </x:c>
      <x:c r="M1853" s="20" t="n">
        <x:v>14</x:v>
      </x:c>
      <x:c r="N1853" s="20" t="n">
        <x:f>IF(J1853=1,0,K1853-L1853)</x:f>
        <x:v>36</x:v>
      </x:c>
      <x:c r="O1853" s="20" t="n">
        <x:f>N1853-M1853</x:f>
        <x:v>22</x:v>
      </x:c>
    </x:row>
    <x:row r="1854" ht="22" customHeight="1">
      <x:c r="A1854" s="11" t="n">
        <x:v>1850</x:v>
      </x:c>
      <x:c r="B1854" s="11" t="n">
        <x:v>941</x:v>
      </x:c>
      <x:c r="C1854" s="18" t="n">
        <x:v>45574</x:v>
      </x:c>
      <x:c r="D1854" s="11" t="str">
        <x:v>2024-10</x:v>
      </x:c>
      <x:c r="E1854" s="11" t="str">
        <x:v>West</x:v>
      </x:c>
      <x:c r="F1854" s="11" t="str">
        <x:v>Technology</x:v>
      </x:c>
      <x:c r="G1854" s="11" t="str">
        <x:v>Keyboard</x:v>
      </x:c>
      <x:c r="H1854" s="11" t="n">
        <x:v>2</x:v>
      </x:c>
      <x:c r="I1854" s="19" t="n">
        <x:v>0.05</x:v>
      </x:c>
      <x:c r="J1854" s="11" t="n">
        <x:v>0</x:v>
      </x:c>
      <x:c r="K1854" s="20" t="n">
        <x:v>130</x:v>
      </x:c>
      <x:c r="L1854" s="20" t="n">
        <x:v>6.5</x:v>
      </x:c>
      <x:c r="M1854" s="20" t="n">
        <x:v>64</x:v>
      </x:c>
      <x:c r="N1854" s="20" t="n">
        <x:f>IF(J1854=1,0,K1854-L1854)</x:f>
        <x:v>123.5</x:v>
      </x:c>
      <x:c r="O1854" s="20" t="n">
        <x:f>N1854-M1854</x:f>
        <x:v>59.5</x:v>
      </x:c>
    </x:row>
    <x:row r="1855" ht="22" customHeight="1">
      <x:c r="A1855" s="11" t="n">
        <x:v>1851</x:v>
      </x:c>
      <x:c r="B1855" s="11" t="n">
        <x:v>941</x:v>
      </x:c>
      <x:c r="C1855" s="18" t="n">
        <x:v>45574</x:v>
      </x:c>
      <x:c r="D1855" s="11" t="str">
        <x:v>2024-10</x:v>
      </x:c>
      <x:c r="E1855" s="11" t="str">
        <x:v>West</x:v>
      </x:c>
      <x:c r="F1855" s="11" t="str">
        <x:v>Furniture</x:v>
      </x:c>
      <x:c r="G1855" s="11" t="str">
        <x:v>Desk</x:v>
      </x:c>
      <x:c r="H1855" s="11" t="n">
        <x:v>2</x:v>
      </x:c>
      <x:c r="I1855" s="19" t="n">
        <x:v>0.05</x:v>
      </x:c>
      <x:c r="J1855" s="11" t="n">
        <x:v>0</x:v>
      </x:c>
      <x:c r="K1855" s="20" t="n">
        <x:v>560</x:v>
      </x:c>
      <x:c r="L1855" s="20" t="n">
        <x:v>28</x:v>
      </x:c>
      <x:c r="M1855" s="20" t="n">
        <x:v>380</x:v>
      </x:c>
      <x:c r="N1855" s="20" t="n">
        <x:f>IF(J1855=1,0,K1855-L1855)</x:f>
        <x:v>532</x:v>
      </x:c>
      <x:c r="O1855" s="20" t="n">
        <x:f>N1855-M1855</x:f>
        <x:v>152</x:v>
      </x:c>
    </x:row>
    <x:row r="1856" ht="22" customHeight="1">
      <x:c r="A1856" s="11" t="n">
        <x:v>1852</x:v>
      </x:c>
      <x:c r="B1856" s="11" t="n">
        <x:v>942</x:v>
      </x:c>
      <x:c r="C1856" s="18" t="n">
        <x:v>45586</x:v>
      </x:c>
      <x:c r="D1856" s="11" t="str">
        <x:v>2024-10</x:v>
      </x:c>
      <x:c r="E1856" s="11" t="str">
        <x:v>South</x:v>
      </x:c>
      <x:c r="F1856" s="11" t="str">
        <x:v>Furniture</x:v>
      </x:c>
      <x:c r="G1856" s="11" t="str">
        <x:v>Desk</x:v>
      </x:c>
      <x:c r="H1856" s="11" t="n">
        <x:v>5</x:v>
      </x:c>
      <x:c r="I1856" s="19" t="n">
        <x:v>0.35</x:v>
      </x:c>
      <x:c r="J1856" s="11" t="n">
        <x:v>0</x:v>
      </x:c>
      <x:c r="K1856" s="20" t="n">
        <x:v>1400</x:v>
      </x:c>
      <x:c r="L1856" s="20" t="n">
        <x:v>490</x:v>
      </x:c>
      <x:c r="M1856" s="20" t="n">
        <x:v>950</x:v>
      </x:c>
      <x:c r="N1856" s="20" t="n">
        <x:f>IF(J1856=1,0,K1856-L1856)</x:f>
        <x:v>910</x:v>
      </x:c>
      <x:c r="O1856" s="20" t="n">
        <x:f>N1856-M1856</x:f>
        <x:v>-40</x:v>
      </x:c>
    </x:row>
    <x:row r="1857" ht="22" customHeight="1">
      <x:c r="A1857" s="11" t="n">
        <x:v>1853</x:v>
      </x:c>
      <x:c r="B1857" s="11" t="n">
        <x:v>942</x:v>
      </x:c>
      <x:c r="C1857" s="18" t="n">
        <x:v>45586</x:v>
      </x:c>
      <x:c r="D1857" s="11" t="str">
        <x:v>2024-10</x:v>
      </x:c>
      <x:c r="E1857" s="11" t="str">
        <x:v>South</x:v>
      </x:c>
      <x:c r="F1857" s="11" t="str">
        <x:v>Office Supplies</x:v>
      </x:c>
      <x:c r="G1857" s="11" t="str">
        <x:v>Storage box</x:v>
      </x:c>
      <x:c r="H1857" s="11" t="n">
        <x:v>2</x:v>
      </x:c>
      <x:c r="I1857" s="19" t="n">
        <x:v>0</x:v>
      </x:c>
      <x:c r="J1857" s="11" t="n">
        <x:v>0</x:v>
      </x:c>
      <x:c r="K1857" s="20" t="n">
        <x:v>52</x:v>
      </x:c>
      <x:c r="L1857" s="20" t="n">
        <x:v>0</x:v>
      </x:c>
      <x:c r="M1857" s="20" t="n">
        <x:v>24</x:v>
      </x:c>
      <x:c r="N1857" s="20" t="n">
        <x:f>IF(J1857=1,0,K1857-L1857)</x:f>
        <x:v>52</x:v>
      </x:c>
      <x:c r="O1857" s="20" t="n">
        <x:f>N1857-M1857</x:f>
        <x:v>28</x:v>
      </x:c>
    </x:row>
    <x:row r="1858" ht="22" customHeight="1">
      <x:c r="A1858" s="11" t="n">
        <x:v>1854</x:v>
      </x:c>
      <x:c r="B1858" s="11" t="n">
        <x:v>942</x:v>
      </x:c>
      <x:c r="C1858" s="18" t="n">
        <x:v>45586</x:v>
      </x:c>
      <x:c r="D1858" s="11" t="str">
        <x:v>2024-10</x:v>
      </x:c>
      <x:c r="E1858" s="11" t="str">
        <x:v>South</x:v>
      </x:c>
      <x:c r="F1858" s="11" t="str">
        <x:v>Furniture</x:v>
      </x:c>
      <x:c r="G1858" s="11" t="str">
        <x:v>Chair</x:v>
      </x:c>
      <x:c r="H1858" s="11" t="n">
        <x:v>1</x:v>
      </x:c>
      <x:c r="I1858" s="19" t="n">
        <x:v>0</x:v>
      </x:c>
      <x:c r="J1858" s="11" t="n">
        <x:v>0</x:v>
      </x:c>
      <x:c r="K1858" s="20" t="n">
        <x:v>170</x:v>
      </x:c>
      <x:c r="L1858" s="20" t="n">
        <x:v>0</x:v>
      </x:c>
      <x:c r="M1858" s="20" t="n">
        <x:v>110</x:v>
      </x:c>
      <x:c r="N1858" s="20" t="n">
        <x:f>IF(J1858=1,0,K1858-L1858)</x:f>
        <x:v>170</x:v>
      </x:c>
      <x:c r="O1858" s="20" t="n">
        <x:f>N1858-M1858</x:f>
        <x:v>60</x:v>
      </x:c>
    </x:row>
    <x:row r="1859" ht="22" customHeight="1">
      <x:c r="A1859" s="11" t="n">
        <x:v>1855</x:v>
      </x:c>
      <x:c r="B1859" s="11" t="n">
        <x:v>943</x:v>
      </x:c>
      <x:c r="C1859" s="18" t="n">
        <x:v>45758</x:v>
      </x:c>
      <x:c r="D1859" s="11" t="str">
        <x:v>2025-04</x:v>
      </x:c>
      <x:c r="E1859" s="11" t="str">
        <x:v>South</x:v>
      </x:c>
      <x:c r="F1859" s="11" t="str">
        <x:v>Technology</x:v>
      </x:c>
      <x:c r="G1859" s="11" t="str">
        <x:v>Keyboard</x:v>
      </x:c>
      <x:c r="H1859" s="11" t="n">
        <x:v>1</x:v>
      </x:c>
      <x:c r="I1859" s="19" t="n">
        <x:v>0</x:v>
      </x:c>
      <x:c r="J1859" s="11" t="n">
        <x:v>0</x:v>
      </x:c>
      <x:c r="K1859" s="20" t="n">
        <x:v>65</x:v>
      </x:c>
      <x:c r="L1859" s="20" t="n">
        <x:v>0</x:v>
      </x:c>
      <x:c r="M1859" s="20" t="n">
        <x:v>32</x:v>
      </x:c>
      <x:c r="N1859" s="20" t="n">
        <x:f>IF(J1859=1,0,K1859-L1859)</x:f>
        <x:v>65</x:v>
      </x:c>
      <x:c r="O1859" s="20" t="n">
        <x:f>N1859-M1859</x:f>
        <x:v>33</x:v>
      </x:c>
    </x:row>
    <x:row r="1860" ht="22" customHeight="1">
      <x:c r="A1860" s="11" t="n">
        <x:v>1856</x:v>
      </x:c>
      <x:c r="B1860" s="11" t="n">
        <x:v>943</x:v>
      </x:c>
      <x:c r="C1860" s="18" t="n">
        <x:v>45758</x:v>
      </x:c>
      <x:c r="D1860" s="11" t="str">
        <x:v>2025-04</x:v>
      </x:c>
      <x:c r="E1860" s="11" t="str">
        <x:v>South</x:v>
      </x:c>
      <x:c r="F1860" s="11" t="str">
        <x:v>Office Supplies</x:v>
      </x:c>
      <x:c r="G1860" s="11" t="str">
        <x:v>Storage box</x:v>
      </x:c>
      <x:c r="H1860" s="11" t="n">
        <x:v>1</x:v>
      </x:c>
      <x:c r="I1860" s="19" t="n">
        <x:v>0</x:v>
      </x:c>
      <x:c r="J1860" s="11" t="n">
        <x:v>0</x:v>
      </x:c>
      <x:c r="K1860" s="20" t="n">
        <x:v>26</x:v>
      </x:c>
      <x:c r="L1860" s="20" t="n">
        <x:v>0</x:v>
      </x:c>
      <x:c r="M1860" s="20" t="n">
        <x:v>12</x:v>
      </x:c>
      <x:c r="N1860" s="20" t="n">
        <x:f>IF(J1860=1,0,K1860-L1860)</x:f>
        <x:v>26</x:v>
      </x:c>
      <x:c r="O1860" s="20" t="n">
        <x:f>N1860-M1860</x:f>
        <x:v>14</x:v>
      </x:c>
    </x:row>
    <x:row r="1861" ht="22" customHeight="1">
      <x:c r="A1861" s="11" t="n">
        <x:v>1857</x:v>
      </x:c>
      <x:c r="B1861" s="11" t="n">
        <x:v>943</x:v>
      </x:c>
      <x:c r="C1861" s="18" t="n">
        <x:v>45758</x:v>
      </x:c>
      <x:c r="D1861" s="11" t="str">
        <x:v>2025-04</x:v>
      </x:c>
      <x:c r="E1861" s="11" t="str">
        <x:v>South</x:v>
      </x:c>
      <x:c r="F1861" s="11" t="str">
        <x:v>Technology</x:v>
      </x:c>
      <x:c r="G1861" s="11" t="str">
        <x:v>Monitor</x:v>
      </x:c>
      <x:c r="H1861" s="11" t="n">
        <x:v>1</x:v>
      </x:c>
      <x:c r="I1861" s="19" t="n">
        <x:v>0.15</x:v>
      </x:c>
      <x:c r="J1861" s="11" t="n">
        <x:v>0</x:v>
      </x:c>
      <x:c r="K1861" s="20" t="n">
        <x:v>240</x:v>
      </x:c>
      <x:c r="L1861" s="20" t="n">
        <x:v>36</x:v>
      </x:c>
      <x:c r="M1861" s="20" t="n">
        <x:v>160</x:v>
      </x:c>
      <x:c r="N1861" s="20" t="n">
        <x:f>IF(J1861=1,0,K1861-L1861)</x:f>
        <x:v>204</x:v>
      </x:c>
      <x:c r="O1861" s="20" t="n">
        <x:f>N1861-M1861</x:f>
        <x:v>44</x:v>
      </x:c>
    </x:row>
    <x:row r="1862" ht="22" customHeight="1">
      <x:c r="A1862" s="11" t="n">
        <x:v>1858</x:v>
      </x:c>
      <x:c r="B1862" s="11" t="n">
        <x:v>944</x:v>
      </x:c>
      <x:c r="C1862" s="18" t="n">
        <x:v>45777</x:v>
      </x:c>
      <x:c r="D1862" s="11" t="str">
        <x:v>2025-04</x:v>
      </x:c>
      <x:c r="E1862" s="11" t="str">
        <x:v>East</x:v>
      </x:c>
      <x:c r="F1862" s="11" t="str">
        <x:v>Furniture</x:v>
      </x:c>
      <x:c r="G1862" s="11" t="str">
        <x:v>Chair</x:v>
      </x:c>
      <x:c r="H1862" s="11" t="n">
        <x:v>1</x:v>
      </x:c>
      <x:c r="I1862" s="19" t="n">
        <x:v>0</x:v>
      </x:c>
      <x:c r="J1862" s="11" t="n">
        <x:v>0</x:v>
      </x:c>
      <x:c r="K1862" s="20" t="n">
        <x:v>170</x:v>
      </x:c>
      <x:c r="L1862" s="20" t="n">
        <x:v>0</x:v>
      </x:c>
      <x:c r="M1862" s="20" t="n">
        <x:v>110</x:v>
      </x:c>
      <x:c r="N1862" s="20" t="n">
        <x:f>IF(J1862=1,0,K1862-L1862)</x:f>
        <x:v>170</x:v>
      </x:c>
      <x:c r="O1862" s="20" t="n">
        <x:f>N1862-M1862</x:f>
        <x:v>60</x:v>
      </x:c>
    </x:row>
    <x:row r="1863" ht="22" customHeight="1">
      <x:c r="A1863" s="11" t="n">
        <x:v>1859</x:v>
      </x:c>
      <x:c r="B1863" s="11" t="n">
        <x:v>944</x:v>
      </x:c>
      <x:c r="C1863" s="18" t="n">
        <x:v>45777</x:v>
      </x:c>
      <x:c r="D1863" s="11" t="str">
        <x:v>2025-04</x:v>
      </x:c>
      <x:c r="E1863" s="11" t="str">
        <x:v>East</x:v>
      </x:c>
      <x:c r="F1863" s="11" t="str">
        <x:v>Technology</x:v>
      </x:c>
      <x:c r="G1863" s="11" t="str">
        <x:v>Keyboard</x:v>
      </x:c>
      <x:c r="H1863" s="11" t="n">
        <x:v>5</x:v>
      </x:c>
      <x:c r="I1863" s="19" t="n">
        <x:v>0.05</x:v>
      </x:c>
      <x:c r="J1863" s="11" t="n">
        <x:v>0</x:v>
      </x:c>
      <x:c r="K1863" s="20" t="n">
        <x:v>325</x:v>
      </x:c>
      <x:c r="L1863" s="20" t="n">
        <x:v>16.25</x:v>
      </x:c>
      <x:c r="M1863" s="20" t="n">
        <x:v>160</x:v>
      </x:c>
      <x:c r="N1863" s="20" t="n">
        <x:f>IF(J1863=1,0,K1863-L1863)</x:f>
        <x:v>308.75</x:v>
      </x:c>
      <x:c r="O1863" s="20" t="n">
        <x:f>N1863-M1863</x:f>
        <x:v>148.75</x:v>
      </x:c>
    </x:row>
    <x:row r="1864" ht="22" customHeight="1">
      <x:c r="A1864" s="11" t="n">
        <x:v>1860</x:v>
      </x:c>
      <x:c r="B1864" s="11" t="n">
        <x:v>945</x:v>
      </x:c>
      <x:c r="C1864" s="18" t="n">
        <x:v>45829</x:v>
      </x:c>
      <x:c r="D1864" s="11" t="str">
        <x:v>2025-06</x:v>
      </x:c>
      <x:c r="E1864" s="11" t="str">
        <x:v>South</x:v>
      </x:c>
      <x:c r="F1864" s="11" t="str">
        <x:v>Furniture</x:v>
      </x:c>
      <x:c r="G1864" s="11" t="str">
        <x:v>Desk</x:v>
      </x:c>
      <x:c r="H1864" s="11" t="n">
        <x:v>1</x:v>
      </x:c>
      <x:c r="I1864" s="19" t="n">
        <x:v>0.1</x:v>
      </x:c>
      <x:c r="J1864" s="11" t="n">
        <x:v>0</x:v>
      </x:c>
      <x:c r="K1864" s="20" t="n">
        <x:v>280</x:v>
      </x:c>
      <x:c r="L1864" s="20" t="n">
        <x:v>28</x:v>
      </x:c>
      <x:c r="M1864" s="20" t="n">
        <x:v>190</x:v>
      </x:c>
      <x:c r="N1864" s="20" t="n">
        <x:f>IF(J1864=1,0,K1864-L1864)</x:f>
        <x:v>252</x:v>
      </x:c>
      <x:c r="O1864" s="20" t="n">
        <x:f>N1864-M1864</x:f>
        <x:v>62</x:v>
      </x:c>
    </x:row>
    <x:row r="1865" ht="22" customHeight="1">
      <x:c r="A1865" s="11" t="n">
        <x:v>1861</x:v>
      </x:c>
      <x:c r="B1865" s="11" t="n">
        <x:v>946</x:v>
      </x:c>
      <x:c r="C1865" s="18" t="n">
        <x:v>45635</x:v>
      </x:c>
      <x:c r="D1865" s="11" t="str">
        <x:v>2024-12</x:v>
      </x:c>
      <x:c r="E1865" s="11" t="str">
        <x:v>West</x:v>
      </x:c>
      <x:c r="F1865" s="11" t="str">
        <x:v>Technology</x:v>
      </x:c>
      <x:c r="G1865" s="11" t="str">
        <x:v>Monitor</x:v>
      </x:c>
      <x:c r="H1865" s="11" t="n">
        <x:v>4</x:v>
      </x:c>
      <x:c r="I1865" s="19" t="n">
        <x:v>0.05</x:v>
      </x:c>
      <x:c r="J1865" s="11" t="n">
        <x:v>0</x:v>
      </x:c>
      <x:c r="K1865" s="20" t="n">
        <x:v>960</x:v>
      </x:c>
      <x:c r="L1865" s="20" t="n">
        <x:v>48</x:v>
      </x:c>
      <x:c r="M1865" s="20" t="n">
        <x:v>640</x:v>
      </x:c>
      <x:c r="N1865" s="20" t="n">
        <x:f>IF(J1865=1,0,K1865-L1865)</x:f>
        <x:v>912</x:v>
      </x:c>
      <x:c r="O1865" s="20" t="n">
        <x:f>N1865-M1865</x:f>
        <x:v>272</x:v>
      </x:c>
    </x:row>
    <x:row r="1866" ht="22" customHeight="1">
      <x:c r="A1866" s="11" t="n">
        <x:v>1862</x:v>
      </x:c>
      <x:c r="B1866" s="11" t="n">
        <x:v>946</x:v>
      </x:c>
      <x:c r="C1866" s="18" t="n">
        <x:v>45635</x:v>
      </x:c>
      <x:c r="D1866" s="11" t="str">
        <x:v>2024-12</x:v>
      </x:c>
      <x:c r="E1866" s="11" t="str">
        <x:v>West</x:v>
      </x:c>
      <x:c r="F1866" s="11" t="str">
        <x:v>Office Supplies</x:v>
      </x:c>
      <x:c r="G1866" s="11" t="str">
        <x:v>Notebook pack</x:v>
      </x:c>
      <x:c r="H1866" s="11" t="n">
        <x:v>1</x:v>
      </x:c>
      <x:c r="I1866" s="19" t="n">
        <x:v>0.05</x:v>
      </x:c>
      <x:c r="J1866" s="11" t="n">
        <x:v>0</x:v>
      </x:c>
      <x:c r="K1866" s="20" t="n">
        <x:v>18</x:v>
      </x:c>
      <x:c r="L1866" s="20" t="n">
        <x:v>0.9</x:v>
      </x:c>
      <x:c r="M1866" s="20" t="n">
        <x:v>7</x:v>
      </x:c>
      <x:c r="N1866" s="20" t="n">
        <x:f>IF(J1866=1,0,K1866-L1866)</x:f>
        <x:v>17.1</x:v>
      </x:c>
      <x:c r="O1866" s="20" t="n">
        <x:f>N1866-M1866</x:f>
        <x:v>10.100000000000001</x:v>
      </x:c>
    </x:row>
    <x:row r="1867" ht="22" customHeight="1">
      <x:c r="A1867" s="11" t="n">
        <x:v>1863</x:v>
      </x:c>
      <x:c r="B1867" s="11" t="n">
        <x:v>946</x:v>
      </x:c>
      <x:c r="C1867" s="18" t="n">
        <x:v>45635</x:v>
      </x:c>
      <x:c r="D1867" s="11" t="str">
        <x:v>2024-12</x:v>
      </x:c>
      <x:c r="E1867" s="11" t="str">
        <x:v>West</x:v>
      </x:c>
      <x:c r="F1867" s="11" t="str">
        <x:v>Office Supplies</x:v>
      </x:c>
      <x:c r="G1867" s="11" t="str">
        <x:v>Storage box</x:v>
      </x:c>
      <x:c r="H1867" s="11" t="n">
        <x:v>3</x:v>
      </x:c>
      <x:c r="I1867" s="19" t="n">
        <x:v>0.15</x:v>
      </x:c>
      <x:c r="J1867" s="11" t="n">
        <x:v>0</x:v>
      </x:c>
      <x:c r="K1867" s="20" t="n">
        <x:v>78</x:v>
      </x:c>
      <x:c r="L1867" s="20" t="n">
        <x:v>11.7</x:v>
      </x:c>
      <x:c r="M1867" s="20" t="n">
        <x:v>36</x:v>
      </x:c>
      <x:c r="N1867" s="20" t="n">
        <x:f>IF(J1867=1,0,K1867-L1867)</x:f>
        <x:v>66.3</x:v>
      </x:c>
      <x:c r="O1867" s="20" t="n">
        <x:f>N1867-M1867</x:f>
        <x:v>30.299999999999997</x:v>
      </x:c>
    </x:row>
    <x:row r="1868" ht="22" customHeight="1">
      <x:c r="A1868" s="11" t="n">
        <x:v>1864</x:v>
      </x:c>
      <x:c r="B1868" s="11" t="n">
        <x:v>947</x:v>
      </x:c>
      <x:c r="C1868" s="18" t="n">
        <x:v>45902</x:v>
      </x:c>
      <x:c r="D1868" s="11" t="str">
        <x:v>2025-09</x:v>
      </x:c>
      <x:c r="E1868" s="11" t="str">
        <x:v>Central</x:v>
      </x:c>
      <x:c r="F1868" s="11" t="str">
        <x:v>Office Supplies</x:v>
      </x:c>
      <x:c r="G1868" s="11" t="str">
        <x:v>Storage box</x:v>
      </x:c>
      <x:c r="H1868" s="11" t="n">
        <x:v>1</x:v>
      </x:c>
      <x:c r="I1868" s="19" t="n">
        <x:v>0</x:v>
      </x:c>
      <x:c r="J1868" s="11" t="n">
        <x:v>0</x:v>
      </x:c>
      <x:c r="K1868" s="20" t="n">
        <x:v>26</x:v>
      </x:c>
      <x:c r="L1868" s="20" t="n">
        <x:v>0</x:v>
      </x:c>
      <x:c r="M1868" s="20" t="n">
        <x:v>12</x:v>
      </x:c>
      <x:c r="N1868" s="20" t="n">
        <x:f>IF(J1868=1,0,K1868-L1868)</x:f>
        <x:v>26</x:v>
      </x:c>
      <x:c r="O1868" s="20" t="n">
        <x:f>N1868-M1868</x:f>
        <x:v>14</x:v>
      </x:c>
    </x:row>
    <x:row r="1869" ht="22" customHeight="1">
      <x:c r="A1869" s="11" t="n">
        <x:v>1865</x:v>
      </x:c>
      <x:c r="B1869" s="11" t="n">
        <x:v>947</x:v>
      </x:c>
      <x:c r="C1869" s="18" t="n">
        <x:v>45902</x:v>
      </x:c>
      <x:c r="D1869" s="11" t="str">
        <x:v>2025-09</x:v>
      </x:c>
      <x:c r="E1869" s="11" t="str">
        <x:v>Central</x:v>
      </x:c>
      <x:c r="F1869" s="11" t="str">
        <x:v>Office Supplies</x:v>
      </x:c>
      <x:c r="G1869" s="11" t="str">
        <x:v>Notebook pack</x:v>
      </x:c>
      <x:c r="H1869" s="11" t="n">
        <x:v>2</x:v>
      </x:c>
      <x:c r="I1869" s="19" t="n">
        <x:v>0</x:v>
      </x:c>
      <x:c r="J1869" s="11" t="n">
        <x:v>0</x:v>
      </x:c>
      <x:c r="K1869" s="20" t="n">
        <x:v>36</x:v>
      </x:c>
      <x:c r="L1869" s="20" t="n">
        <x:v>0</x:v>
      </x:c>
      <x:c r="M1869" s="20" t="n">
        <x:v>14</x:v>
      </x:c>
      <x:c r="N1869" s="20" t="n">
        <x:f>IF(J1869=1,0,K1869-L1869)</x:f>
        <x:v>36</x:v>
      </x:c>
      <x:c r="O1869" s="20" t="n">
        <x:f>N1869-M1869</x:f>
        <x:v>22</x:v>
      </x:c>
    </x:row>
    <x:row r="1870" ht="22" customHeight="1">
      <x:c r="A1870" s="11" t="n">
        <x:v>1866</x:v>
      </x:c>
      <x:c r="B1870" s="11" t="n">
        <x:v>948</x:v>
      </x:c>
      <x:c r="C1870" s="18" t="n">
        <x:v>45323</x:v>
      </x:c>
      <x:c r="D1870" s="11" t="str">
        <x:v>2024-02</x:v>
      </x:c>
      <x:c r="E1870" s="11" t="str">
        <x:v>East</x:v>
      </x:c>
      <x:c r="F1870" s="11" t="str">
        <x:v>Furniture</x:v>
      </x:c>
      <x:c r="G1870" s="11" t="str">
        <x:v>Chair</x:v>
      </x:c>
      <x:c r="H1870" s="11" t="n">
        <x:v>2</x:v>
      </x:c>
      <x:c r="I1870" s="19" t="n">
        <x:v>0.25</x:v>
      </x:c>
      <x:c r="J1870" s="11" t="n">
        <x:v>0</x:v>
      </x:c>
      <x:c r="K1870" s="20" t="n">
        <x:v>340</x:v>
      </x:c>
      <x:c r="L1870" s="20" t="n">
        <x:v>85</x:v>
      </x:c>
      <x:c r="M1870" s="20" t="n">
        <x:v>220</x:v>
      </x:c>
      <x:c r="N1870" s="20" t="n">
        <x:f>IF(J1870=1,0,K1870-L1870)</x:f>
        <x:v>255</x:v>
      </x:c>
      <x:c r="O1870" s="20" t="n">
        <x:f>N1870-M1870</x:f>
        <x:v>35</x:v>
      </x:c>
    </x:row>
    <x:row r="1871" ht="22" customHeight="1">
      <x:c r="A1871" s="11" t="n">
        <x:v>1867</x:v>
      </x:c>
      <x:c r="B1871" s="11" t="n">
        <x:v>948</x:v>
      </x:c>
      <x:c r="C1871" s="18" t="n">
        <x:v>45323</x:v>
      </x:c>
      <x:c r="D1871" s="11" t="str">
        <x:v>2024-02</x:v>
      </x:c>
      <x:c r="E1871" s="11" t="str">
        <x:v>East</x:v>
      </x:c>
      <x:c r="F1871" s="11" t="str">
        <x:v>Furniture</x:v>
      </x:c>
      <x:c r="G1871" s="11" t="str">
        <x:v>Desk</x:v>
      </x:c>
      <x:c r="H1871" s="11" t="n">
        <x:v>3</x:v>
      </x:c>
      <x:c r="I1871" s="19" t="n">
        <x:v>0.35</x:v>
      </x:c>
      <x:c r="J1871" s="11" t="n">
        <x:v>0</x:v>
      </x:c>
      <x:c r="K1871" s="20" t="n">
        <x:v>840</x:v>
      </x:c>
      <x:c r="L1871" s="20" t="n">
        <x:v>294</x:v>
      </x:c>
      <x:c r="M1871" s="20" t="n">
        <x:v>570</x:v>
      </x:c>
      <x:c r="N1871" s="20" t="n">
        <x:f>IF(J1871=1,0,K1871-L1871)</x:f>
        <x:v>546</x:v>
      </x:c>
      <x:c r="O1871" s="20" t="n">
        <x:f>N1871-M1871</x:f>
        <x:v>-24</x:v>
      </x:c>
    </x:row>
    <x:row r="1872" ht="22" customHeight="1">
      <x:c r="A1872" s="11" t="n">
        <x:v>1868</x:v>
      </x:c>
      <x:c r="B1872" s="11" t="n">
        <x:v>949</x:v>
      </x:c>
      <x:c r="C1872" s="18" t="n">
        <x:v>45831</x:v>
      </x:c>
      <x:c r="D1872" s="11" t="str">
        <x:v>2025-06</x:v>
      </x:c>
      <x:c r="E1872" s="11" t="str">
        <x:v>Central</x:v>
      </x:c>
      <x:c r="F1872" s="11" t="str">
        <x:v>Technology</x:v>
      </x:c>
      <x:c r="G1872" s="11" t="str">
        <x:v>Monitor</x:v>
      </x:c>
      <x:c r="H1872" s="11" t="n">
        <x:v>5</x:v>
      </x:c>
      <x:c r="I1872" s="19" t="n">
        <x:v>0.1</x:v>
      </x:c>
      <x:c r="J1872" s="11" t="n">
        <x:v>0</x:v>
      </x:c>
      <x:c r="K1872" s="20" t="n">
        <x:v>1200</x:v>
      </x:c>
      <x:c r="L1872" s="20" t="n">
        <x:v>120</x:v>
      </x:c>
      <x:c r="M1872" s="20" t="n">
        <x:v>800</x:v>
      </x:c>
      <x:c r="N1872" s="20" t="n">
        <x:f>IF(J1872=1,0,K1872-L1872)</x:f>
        <x:v>1080</x:v>
      </x:c>
      <x:c r="O1872" s="20" t="n">
        <x:f>N1872-M1872</x:f>
        <x:v>280</x:v>
      </x:c>
    </x:row>
    <x:row r="1873" ht="22" customHeight="1">
      <x:c r="A1873" s="11" t="n">
        <x:v>1869</x:v>
      </x:c>
      <x:c r="B1873" s="11" t="n">
        <x:v>949</x:v>
      </x:c>
      <x:c r="C1873" s="18" t="n">
        <x:v>45831</x:v>
      </x:c>
      <x:c r="D1873" s="11" t="str">
        <x:v>2025-06</x:v>
      </x:c>
      <x:c r="E1873" s="11" t="str">
        <x:v>Central</x:v>
      </x:c>
      <x:c r="F1873" s="11" t="str">
        <x:v>Office Supplies</x:v>
      </x:c>
      <x:c r="G1873" s="11" t="str">
        <x:v>Storage box</x:v>
      </x:c>
      <x:c r="H1873" s="11" t="n">
        <x:v>3</x:v>
      </x:c>
      <x:c r="I1873" s="19" t="n">
        <x:v>0.05</x:v>
      </x:c>
      <x:c r="J1873" s="11" t="n">
        <x:v>0</x:v>
      </x:c>
      <x:c r="K1873" s="20" t="n">
        <x:v>78</x:v>
      </x:c>
      <x:c r="L1873" s="20" t="n">
        <x:v>3.9</x:v>
      </x:c>
      <x:c r="M1873" s="20" t="n">
        <x:v>36</x:v>
      </x:c>
      <x:c r="N1873" s="20" t="n">
        <x:f>IF(J1873=1,0,K1873-L1873)</x:f>
        <x:v>74.1</x:v>
      </x:c>
      <x:c r="O1873" s="20" t="n">
        <x:f>N1873-M1873</x:f>
        <x:v>38.099999999999994</x:v>
      </x:c>
    </x:row>
    <x:row r="1874" ht="22" customHeight="1">
      <x:c r="A1874" s="11" t="n">
        <x:v>1870</x:v>
      </x:c>
      <x:c r="B1874" s="11" t="n">
        <x:v>949</x:v>
      </x:c>
      <x:c r="C1874" s="18" t="n">
        <x:v>45831</x:v>
      </x:c>
      <x:c r="D1874" s="11" t="str">
        <x:v>2025-06</x:v>
      </x:c>
      <x:c r="E1874" s="11" t="str">
        <x:v>Central</x:v>
      </x:c>
      <x:c r="F1874" s="11" t="str">
        <x:v>Technology</x:v>
      </x:c>
      <x:c r="G1874" s="11" t="str">
        <x:v>Keyboard</x:v>
      </x:c>
      <x:c r="H1874" s="11" t="n">
        <x:v>5</x:v>
      </x:c>
      <x:c r="I1874" s="19" t="n">
        <x:v>0.15</x:v>
      </x:c>
      <x:c r="J1874" s="11" t="n">
        <x:v>0</x:v>
      </x:c>
      <x:c r="K1874" s="20" t="n">
        <x:v>325</x:v>
      </x:c>
      <x:c r="L1874" s="20" t="n">
        <x:v>48.75</x:v>
      </x:c>
      <x:c r="M1874" s="20" t="n">
        <x:v>160</x:v>
      </x:c>
      <x:c r="N1874" s="20" t="n">
        <x:f>IF(J1874=1,0,K1874-L1874)</x:f>
        <x:v>276.25</x:v>
      </x:c>
      <x:c r="O1874" s="20" t="n">
        <x:f>N1874-M1874</x:f>
        <x:v>116.25</x:v>
      </x:c>
    </x:row>
    <x:row r="1875" ht="22" customHeight="1">
      <x:c r="A1875" s="11" t="n">
        <x:v>1871</x:v>
      </x:c>
      <x:c r="B1875" s="11" t="n">
        <x:v>950</x:v>
      </x:c>
      <x:c r="C1875" s="18" t="n">
        <x:v>45919</x:v>
      </x:c>
      <x:c r="D1875" s="11" t="str">
        <x:v>2025-09</x:v>
      </x:c>
      <x:c r="E1875" s="11" t="str">
        <x:v>West</x:v>
      </x:c>
      <x:c r="F1875" s="11" t="str">
        <x:v>Office Supplies</x:v>
      </x:c>
      <x:c r="G1875" s="11" t="str">
        <x:v>Notebook pack</x:v>
      </x:c>
      <x:c r="H1875" s="11" t="n">
        <x:v>3</x:v>
      </x:c>
      <x:c r="I1875" s="19" t="n">
        <x:v>0</x:v>
      </x:c>
      <x:c r="J1875" s="11" t="n">
        <x:v>0</x:v>
      </x:c>
      <x:c r="K1875" s="20" t="n">
        <x:v>54</x:v>
      </x:c>
      <x:c r="L1875" s="20" t="n">
        <x:v>0</x:v>
      </x:c>
      <x:c r="M1875" s="20" t="n">
        <x:v>21</x:v>
      </x:c>
      <x:c r="N1875" s="20" t="n">
        <x:f>IF(J1875=1,0,K1875-L1875)</x:f>
        <x:v>54</x:v>
      </x:c>
      <x:c r="O1875" s="20" t="n">
        <x:f>N1875-M1875</x:f>
        <x:v>33</x:v>
      </x:c>
    </x:row>
    <x:row r="1876" ht="22" customHeight="1">
      <x:c r="A1876" s="11" t="n">
        <x:v>1872</x:v>
      </x:c>
      <x:c r="B1876" s="11" t="n">
        <x:v>950</x:v>
      </x:c>
      <x:c r="C1876" s="18" t="n">
        <x:v>45919</x:v>
      </x:c>
      <x:c r="D1876" s="11" t="str">
        <x:v>2025-09</x:v>
      </x:c>
      <x:c r="E1876" s="11" t="str">
        <x:v>West</x:v>
      </x:c>
      <x:c r="F1876" s="11" t="str">
        <x:v>Technology</x:v>
      </x:c>
      <x:c r="G1876" s="11" t="str">
        <x:v>Monitor</x:v>
      </x:c>
      <x:c r="H1876" s="11" t="n">
        <x:v>4</x:v>
      </x:c>
      <x:c r="I1876" s="19" t="n">
        <x:v>0</x:v>
      </x:c>
      <x:c r="J1876" s="11" t="n">
        <x:v>0</x:v>
      </x:c>
      <x:c r="K1876" s="20" t="n">
        <x:v>960</x:v>
      </x:c>
      <x:c r="L1876" s="20" t="n">
        <x:v>0</x:v>
      </x:c>
      <x:c r="M1876" s="20" t="n">
        <x:v>640</x:v>
      </x:c>
      <x:c r="N1876" s="20" t="n">
        <x:f>IF(J1876=1,0,K1876-L1876)</x:f>
        <x:v>960</x:v>
      </x:c>
      <x:c r="O1876" s="20" t="n">
        <x:f>N1876-M1876</x:f>
        <x:v>320</x:v>
      </x:c>
    </x:row>
    <x:row r="1877" ht="22" customHeight="1">
      <x:c r="A1877" s="11" t="n">
        <x:v>1873</x:v>
      </x:c>
      <x:c r="B1877" s="11" t="n">
        <x:v>951</x:v>
      </x:c>
      <x:c r="C1877" s="18" t="n">
        <x:v>45445</x:v>
      </x:c>
      <x:c r="D1877" s="11" t="str">
        <x:v>2024-06</x:v>
      </x:c>
      <x:c r="E1877" s="11" t="str">
        <x:v>Central</x:v>
      </x:c>
      <x:c r="F1877" s="11" t="str">
        <x:v>Office Supplies</x:v>
      </x:c>
      <x:c r="G1877" s="11" t="str">
        <x:v>Notebook pack</x:v>
      </x:c>
      <x:c r="H1877" s="11" t="n">
        <x:v>4</x:v>
      </x:c>
      <x:c r="I1877" s="19" t="n">
        <x:v>0.05</x:v>
      </x:c>
      <x:c r="J1877" s="11" t="n">
        <x:v>0</x:v>
      </x:c>
      <x:c r="K1877" s="20" t="n">
        <x:v>72</x:v>
      </x:c>
      <x:c r="L1877" s="20" t="n">
        <x:v>3.6</x:v>
      </x:c>
      <x:c r="M1877" s="20" t="n">
        <x:v>28</x:v>
      </x:c>
      <x:c r="N1877" s="20" t="n">
        <x:f>IF(J1877=1,0,K1877-L1877)</x:f>
        <x:v>68.4</x:v>
      </x:c>
      <x:c r="O1877" s="20" t="n">
        <x:f>N1877-M1877</x:f>
        <x:v>40.400000000000006</x:v>
      </x:c>
    </x:row>
    <x:row r="1878" ht="22" customHeight="1">
      <x:c r="A1878" s="11" t="n">
        <x:v>1874</x:v>
      </x:c>
      <x:c r="B1878" s="11" t="n">
        <x:v>951</x:v>
      </x:c>
      <x:c r="C1878" s="18" t="n">
        <x:v>45445</x:v>
      </x:c>
      <x:c r="D1878" s="11" t="str">
        <x:v>2024-06</x:v>
      </x:c>
      <x:c r="E1878" s="11" t="str">
        <x:v>Central</x:v>
      </x:c>
      <x:c r="F1878" s="11" t="str">
        <x:v>Furniture</x:v>
      </x:c>
      <x:c r="G1878" s="11" t="str">
        <x:v>Chair</x:v>
      </x:c>
      <x:c r="H1878" s="11" t="n">
        <x:v>3</x:v>
      </x:c>
      <x:c r="I1878" s="19" t="n">
        <x:v>0</x:v>
      </x:c>
      <x:c r="J1878" s="11" t="n">
        <x:v>0</x:v>
      </x:c>
      <x:c r="K1878" s="20" t="n">
        <x:v>510</x:v>
      </x:c>
      <x:c r="L1878" s="20" t="n">
        <x:v>0</x:v>
      </x:c>
      <x:c r="M1878" s="20" t="n">
        <x:v>330</x:v>
      </x:c>
      <x:c r="N1878" s="20" t="n">
        <x:f>IF(J1878=1,0,K1878-L1878)</x:f>
        <x:v>510</x:v>
      </x:c>
      <x:c r="O1878" s="20" t="n">
        <x:f>N1878-M1878</x:f>
        <x:v>180</x:v>
      </x:c>
    </x:row>
    <x:row r="1879" ht="22" customHeight="1">
      <x:c r="A1879" s="11" t="n">
        <x:v>1875</x:v>
      </x:c>
      <x:c r="B1879" s="11" t="n">
        <x:v>951</x:v>
      </x:c>
      <x:c r="C1879" s="18" t="n">
        <x:v>45445</x:v>
      </x:c>
      <x:c r="D1879" s="11" t="str">
        <x:v>2024-06</x:v>
      </x:c>
      <x:c r="E1879" s="11" t="str">
        <x:v>Central</x:v>
      </x:c>
      <x:c r="F1879" s="11" t="str">
        <x:v>Technology</x:v>
      </x:c>
      <x:c r="G1879" s="11" t="str">
        <x:v>Monitor</x:v>
      </x:c>
      <x:c r="H1879" s="11" t="n">
        <x:v>2</x:v>
      </x:c>
      <x:c r="I1879" s="19" t="n">
        <x:v>0.05</x:v>
      </x:c>
      <x:c r="J1879" s="11" t="n">
        <x:v>0</x:v>
      </x:c>
      <x:c r="K1879" s="20" t="n">
        <x:v>480</x:v>
      </x:c>
      <x:c r="L1879" s="20" t="n">
        <x:v>24</x:v>
      </x:c>
      <x:c r="M1879" s="20" t="n">
        <x:v>320</x:v>
      </x:c>
      <x:c r="N1879" s="20" t="n">
        <x:f>IF(J1879=1,0,K1879-L1879)</x:f>
        <x:v>456</x:v>
      </x:c>
      <x:c r="O1879" s="20" t="n">
        <x:f>N1879-M1879</x:f>
        <x:v>136</x:v>
      </x:c>
    </x:row>
    <x:row r="1880" ht="22" customHeight="1">
      <x:c r="A1880" s="11" t="n">
        <x:v>1876</x:v>
      </x:c>
      <x:c r="B1880" s="11" t="n">
        <x:v>952</x:v>
      </x:c>
      <x:c r="C1880" s="18" t="n">
        <x:v>45418</x:v>
      </x:c>
      <x:c r="D1880" s="11" t="str">
        <x:v>2024-05</x:v>
      </x:c>
      <x:c r="E1880" s="11" t="str">
        <x:v>West</x:v>
      </x:c>
      <x:c r="F1880" s="11" t="str">
        <x:v>Furniture</x:v>
      </x:c>
      <x:c r="G1880" s="11" t="str">
        <x:v>Desk</x:v>
      </x:c>
      <x:c r="H1880" s="11" t="n">
        <x:v>3</x:v>
      </x:c>
      <x:c r="I1880" s="19" t="n">
        <x:v>0</x:v>
      </x:c>
      <x:c r="J1880" s="11" t="n">
        <x:v>1</x:v>
      </x:c>
      <x:c r="K1880" s="20" t="n">
        <x:v>840</x:v>
      </x:c>
      <x:c r="L1880" s="20" t="n">
        <x:v>0</x:v>
      </x:c>
      <x:c r="M1880" s="20" t="n">
        <x:v>0</x:v>
      </x:c>
      <x:c r="N1880" s="20" t="n">
        <x:f>IF(J1880=1,0,K1880-L1880)</x:f>
        <x:v>0</x:v>
      </x:c>
      <x:c r="O1880" s="20" t="n">
        <x:f>N1880-M1880</x:f>
        <x:v>0</x:v>
      </x:c>
    </x:row>
    <x:row r="1881" ht="22" customHeight="1">
      <x:c r="A1881" s="11" t="n">
        <x:v>1877</x:v>
      </x:c>
      <x:c r="B1881" s="11" t="n">
        <x:v>952</x:v>
      </x:c>
      <x:c r="C1881" s="18" t="n">
        <x:v>45418</x:v>
      </x:c>
      <x:c r="D1881" s="11" t="str">
        <x:v>2024-05</x:v>
      </x:c>
      <x:c r="E1881" s="11" t="str">
        <x:v>West</x:v>
      </x:c>
      <x:c r="F1881" s="11" t="str">
        <x:v>Technology</x:v>
      </x:c>
      <x:c r="G1881" s="11" t="str">
        <x:v>Keyboard</x:v>
      </x:c>
      <x:c r="H1881" s="11" t="n">
        <x:v>2</x:v>
      </x:c>
      <x:c r="I1881" s="19" t="n">
        <x:v>0.05</x:v>
      </x:c>
      <x:c r="J1881" s="11" t="n">
        <x:v>0</x:v>
      </x:c>
      <x:c r="K1881" s="20" t="n">
        <x:v>130</x:v>
      </x:c>
      <x:c r="L1881" s="20" t="n">
        <x:v>6.5</x:v>
      </x:c>
      <x:c r="M1881" s="20" t="n">
        <x:v>64</x:v>
      </x:c>
      <x:c r="N1881" s="20" t="n">
        <x:f>IF(J1881=1,0,K1881-L1881)</x:f>
        <x:v>123.5</x:v>
      </x:c>
      <x:c r="O1881" s="20" t="n">
        <x:f>N1881-M1881</x:f>
        <x:v>59.5</x:v>
      </x:c>
    </x:row>
    <x:row r="1882" ht="22" customHeight="1">
      <x:c r="A1882" s="11" t="n">
        <x:v>1878</x:v>
      </x:c>
      <x:c r="B1882" s="11" t="n">
        <x:v>953</x:v>
      </x:c>
      <x:c r="C1882" s="18" t="n">
        <x:v>45806</x:v>
      </x:c>
      <x:c r="D1882" s="11" t="str">
        <x:v>2025-05</x:v>
      </x:c>
      <x:c r="E1882" s="11" t="str">
        <x:v>East</x:v>
      </x:c>
      <x:c r="F1882" s="11" t="str">
        <x:v>Office Supplies</x:v>
      </x:c>
      <x:c r="G1882" s="11" t="str">
        <x:v>Storage box</x:v>
      </x:c>
      <x:c r="H1882" s="11" t="n">
        <x:v>3</x:v>
      </x:c>
      <x:c r="I1882" s="19" t="n">
        <x:v>0</x:v>
      </x:c>
      <x:c r="J1882" s="11" t="n">
        <x:v>0</x:v>
      </x:c>
      <x:c r="K1882" s="20" t="n">
        <x:v>78</x:v>
      </x:c>
      <x:c r="L1882" s="20" t="n">
        <x:v>0</x:v>
      </x:c>
      <x:c r="M1882" s="20" t="n">
        <x:v>36</x:v>
      </x:c>
      <x:c r="N1882" s="20" t="n">
        <x:f>IF(J1882=1,0,K1882-L1882)</x:f>
        <x:v>78</x:v>
      </x:c>
      <x:c r="O1882" s="20" t="n">
        <x:f>N1882-M1882</x:f>
        <x:v>42</x:v>
      </x:c>
    </x:row>
    <x:row r="1883" ht="22" customHeight="1">
      <x:c r="A1883" s="11" t="n">
        <x:v>1879</x:v>
      </x:c>
      <x:c r="B1883" s="11" t="n">
        <x:v>954</x:v>
      </x:c>
      <x:c r="C1883" s="18" t="n">
        <x:v>45493</x:v>
      </x:c>
      <x:c r="D1883" s="11" t="str">
        <x:v>2024-07</x:v>
      </x:c>
      <x:c r="E1883" s="11" t="str">
        <x:v>West</x:v>
      </x:c>
      <x:c r="F1883" s="11" t="str">
        <x:v>Furniture</x:v>
      </x:c>
      <x:c r="G1883" s="11" t="str">
        <x:v>Chair</x:v>
      </x:c>
      <x:c r="H1883" s="11" t="n">
        <x:v>4</x:v>
      </x:c>
      <x:c r="I1883" s="19" t="n">
        <x:v>0.15</x:v>
      </x:c>
      <x:c r="J1883" s="11" t="n">
        <x:v>0</x:v>
      </x:c>
      <x:c r="K1883" s="20" t="n">
        <x:v>680</x:v>
      </x:c>
      <x:c r="L1883" s="20" t="n">
        <x:v>102</x:v>
      </x:c>
      <x:c r="M1883" s="20" t="n">
        <x:v>440</x:v>
      </x:c>
      <x:c r="N1883" s="20" t="n">
        <x:f>IF(J1883=1,0,K1883-L1883)</x:f>
        <x:v>578</x:v>
      </x:c>
      <x:c r="O1883" s="20" t="n">
        <x:f>N1883-M1883</x:f>
        <x:v>138</x:v>
      </x:c>
    </x:row>
    <x:row r="1884" ht="22" customHeight="1">
      <x:c r="A1884" s="11" t="n">
        <x:v>1880</x:v>
      </x:c>
      <x:c r="B1884" s="11" t="n">
        <x:v>954</x:v>
      </x:c>
      <x:c r="C1884" s="18" t="n">
        <x:v>45493</x:v>
      </x:c>
      <x:c r="D1884" s="11" t="str">
        <x:v>2024-07</x:v>
      </x:c>
      <x:c r="E1884" s="11" t="str">
        <x:v>West</x:v>
      </x:c>
      <x:c r="F1884" s="11" t="str">
        <x:v>Furniture</x:v>
      </x:c>
      <x:c r="G1884" s="11" t="str">
        <x:v>Desk</x:v>
      </x:c>
      <x:c r="H1884" s="11" t="n">
        <x:v>4</x:v>
      </x:c>
      <x:c r="I1884" s="19" t="n">
        <x:v>0.25</x:v>
      </x:c>
      <x:c r="J1884" s="11" t="n">
        <x:v>0</x:v>
      </x:c>
      <x:c r="K1884" s="20" t="n">
        <x:v>1120</x:v>
      </x:c>
      <x:c r="L1884" s="20" t="n">
        <x:v>280</x:v>
      </x:c>
      <x:c r="M1884" s="20" t="n">
        <x:v>760</x:v>
      </x:c>
      <x:c r="N1884" s="20" t="n">
        <x:f>IF(J1884=1,0,K1884-L1884)</x:f>
        <x:v>840</x:v>
      </x:c>
      <x:c r="O1884" s="20" t="n">
        <x:f>N1884-M1884</x:f>
        <x:v>80</x:v>
      </x:c>
    </x:row>
    <x:row r="1885" ht="22" customHeight="1">
      <x:c r="A1885" s="11" t="n">
        <x:v>1881</x:v>
      </x:c>
      <x:c r="B1885" s="11" t="n">
        <x:v>955</x:v>
      </x:c>
      <x:c r="C1885" s="18" t="n">
        <x:v>45392</x:v>
      </x:c>
      <x:c r="D1885" s="11" t="str">
        <x:v>2024-04</x:v>
      </x:c>
      <x:c r="E1885" s="11" t="str">
        <x:v>East</x:v>
      </x:c>
      <x:c r="F1885" s="11" t="str">
        <x:v>Technology</x:v>
      </x:c>
      <x:c r="G1885" s="11" t="str">
        <x:v>Monitor</x:v>
      </x:c>
      <x:c r="H1885" s="11" t="n">
        <x:v>3</x:v>
      </x:c>
      <x:c r="I1885" s="19" t="n">
        <x:v>0.15</x:v>
      </x:c>
      <x:c r="J1885" s="11" t="n">
        <x:v>0</x:v>
      </x:c>
      <x:c r="K1885" s="20" t="n">
        <x:v>720</x:v>
      </x:c>
      <x:c r="L1885" s="20" t="n">
        <x:v>108</x:v>
      </x:c>
      <x:c r="M1885" s="20" t="n">
        <x:v>480</x:v>
      </x:c>
      <x:c r="N1885" s="20" t="n">
        <x:f>IF(J1885=1,0,K1885-L1885)</x:f>
        <x:v>612</x:v>
      </x:c>
      <x:c r="O1885" s="20" t="n">
        <x:f>N1885-M1885</x:f>
        <x:v>132</x:v>
      </x:c>
    </x:row>
    <x:row r="1886" ht="22" customHeight="1">
      <x:c r="A1886" s="11" t="n">
        <x:v>1882</x:v>
      </x:c>
      <x:c r="B1886" s="11" t="n">
        <x:v>955</x:v>
      </x:c>
      <x:c r="C1886" s="18" t="n">
        <x:v>45392</x:v>
      </x:c>
      <x:c r="D1886" s="11" t="str">
        <x:v>2024-04</x:v>
      </x:c>
      <x:c r="E1886" s="11" t="str">
        <x:v>East</x:v>
      </x:c>
      <x:c r="F1886" s="11" t="str">
        <x:v>Furniture</x:v>
      </x:c>
      <x:c r="G1886" s="11" t="str">
        <x:v>Chair</x:v>
      </x:c>
      <x:c r="H1886" s="11" t="n">
        <x:v>2</x:v>
      </x:c>
      <x:c r="I1886" s="19" t="n">
        <x:v>0.1</x:v>
      </x:c>
      <x:c r="J1886" s="11" t="n">
        <x:v>0</x:v>
      </x:c>
      <x:c r="K1886" s="20" t="n">
        <x:v>340</x:v>
      </x:c>
      <x:c r="L1886" s="20" t="n">
        <x:v>34</x:v>
      </x:c>
      <x:c r="M1886" s="20" t="n">
        <x:v>220</x:v>
      </x:c>
      <x:c r="N1886" s="20" t="n">
        <x:f>IF(J1886=1,0,K1886-L1886)</x:f>
        <x:v>306</x:v>
      </x:c>
      <x:c r="O1886" s="20" t="n">
        <x:f>N1886-M1886</x:f>
        <x:v>86</x:v>
      </x:c>
    </x:row>
    <x:row r="1887" ht="22" customHeight="1">
      <x:c r="A1887" s="11" t="n">
        <x:v>1883</x:v>
      </x:c>
      <x:c r="B1887" s="11" t="n">
        <x:v>955</x:v>
      </x:c>
      <x:c r="C1887" s="18" t="n">
        <x:v>45392</x:v>
      </x:c>
      <x:c r="D1887" s="11" t="str">
        <x:v>2024-04</x:v>
      </x:c>
      <x:c r="E1887" s="11" t="str">
        <x:v>East</x:v>
      </x:c>
      <x:c r="F1887" s="11" t="str">
        <x:v>Technology</x:v>
      </x:c>
      <x:c r="G1887" s="11" t="str">
        <x:v>Keyboard</x:v>
      </x:c>
      <x:c r="H1887" s="11" t="n">
        <x:v>5</x:v>
      </x:c>
      <x:c r="I1887" s="19" t="n">
        <x:v>0</x:v>
      </x:c>
      <x:c r="J1887" s="11" t="n">
        <x:v>0</x:v>
      </x:c>
      <x:c r="K1887" s="20" t="n">
        <x:v>325</x:v>
      </x:c>
      <x:c r="L1887" s="20" t="n">
        <x:v>0</x:v>
      </x:c>
      <x:c r="M1887" s="20" t="n">
        <x:v>160</x:v>
      </x:c>
      <x:c r="N1887" s="20" t="n">
        <x:f>IF(J1887=1,0,K1887-L1887)</x:f>
        <x:v>325</x:v>
      </x:c>
      <x:c r="O1887" s="20" t="n">
        <x:f>N1887-M1887</x:f>
        <x:v>165</x:v>
      </x:c>
    </x:row>
    <x:row r="1888" ht="22" customHeight="1">
      <x:c r="A1888" s="11" t="n">
        <x:v>1884</x:v>
      </x:c>
      <x:c r="B1888" s="11" t="n">
        <x:v>956</x:v>
      </x:c>
      <x:c r="C1888" s="18" t="n">
        <x:v>45379</x:v>
      </x:c>
      <x:c r="D1888" s="11" t="str">
        <x:v>2024-03</x:v>
      </x:c>
      <x:c r="E1888" s="11" t="str">
        <x:v>Central</x:v>
      </x:c>
      <x:c r="F1888" s="11" t="str">
        <x:v>Furniture</x:v>
      </x:c>
      <x:c r="G1888" s="11" t="str">
        <x:v>Chair</x:v>
      </x:c>
      <x:c r="H1888" s="11" t="n">
        <x:v>1</x:v>
      </x:c>
      <x:c r="I1888" s="19" t="n">
        <x:v>0</x:v>
      </x:c>
      <x:c r="J1888" s="11" t="n">
        <x:v>0</x:v>
      </x:c>
      <x:c r="K1888" s="20" t="n">
        <x:v>170</x:v>
      </x:c>
      <x:c r="L1888" s="20" t="n">
        <x:v>0</x:v>
      </x:c>
      <x:c r="M1888" s="20" t="n">
        <x:v>110</x:v>
      </x:c>
      <x:c r="N1888" s="20" t="n">
        <x:f>IF(J1888=1,0,K1888-L1888)</x:f>
        <x:v>170</x:v>
      </x:c>
      <x:c r="O1888" s="20" t="n">
        <x:f>N1888-M1888</x:f>
        <x:v>60</x:v>
      </x:c>
    </x:row>
    <x:row r="1889" ht="22" customHeight="1">
      <x:c r="A1889" s="11" t="n">
        <x:v>1885</x:v>
      </x:c>
      <x:c r="B1889" s="11" t="n">
        <x:v>956</x:v>
      </x:c>
      <x:c r="C1889" s="18" t="n">
        <x:v>45379</x:v>
      </x:c>
      <x:c r="D1889" s="11" t="str">
        <x:v>2024-03</x:v>
      </x:c>
      <x:c r="E1889" s="11" t="str">
        <x:v>Central</x:v>
      </x:c>
      <x:c r="F1889" s="11" t="str">
        <x:v>Technology</x:v>
      </x:c>
      <x:c r="G1889" s="11" t="str">
        <x:v>Keyboard</x:v>
      </x:c>
      <x:c r="H1889" s="11" t="n">
        <x:v>3</x:v>
      </x:c>
      <x:c r="I1889" s="19" t="n">
        <x:v>0.15</x:v>
      </x:c>
      <x:c r="J1889" s="11" t="n">
        <x:v>0</x:v>
      </x:c>
      <x:c r="K1889" s="20" t="n">
        <x:v>195</x:v>
      </x:c>
      <x:c r="L1889" s="20" t="n">
        <x:v>29.25</x:v>
      </x:c>
      <x:c r="M1889" s="20" t="n">
        <x:v>96</x:v>
      </x:c>
      <x:c r="N1889" s="20" t="n">
        <x:f>IF(J1889=1,0,K1889-L1889)</x:f>
        <x:v>165.75</x:v>
      </x:c>
      <x:c r="O1889" s="20" t="n">
        <x:f>N1889-M1889</x:f>
        <x:v>69.75</x:v>
      </x:c>
    </x:row>
    <x:row r="1890" ht="22" customHeight="1">
      <x:c r="A1890" s="11" t="n">
        <x:v>1886</x:v>
      </x:c>
      <x:c r="B1890" s="11" t="n">
        <x:v>956</x:v>
      </x:c>
      <x:c r="C1890" s="18" t="n">
        <x:v>45379</x:v>
      </x:c>
      <x:c r="D1890" s="11" t="str">
        <x:v>2024-03</x:v>
      </x:c>
      <x:c r="E1890" s="11" t="str">
        <x:v>Central</x:v>
      </x:c>
      <x:c r="F1890" s="11" t="str">
        <x:v>Office Supplies</x:v>
      </x:c>
      <x:c r="G1890" s="11" t="str">
        <x:v>Notebook pack</x:v>
      </x:c>
      <x:c r="H1890" s="11" t="n">
        <x:v>3</x:v>
      </x:c>
      <x:c r="I1890" s="19" t="n">
        <x:v>0.1</x:v>
      </x:c>
      <x:c r="J1890" s="11" t="n">
        <x:v>0</x:v>
      </x:c>
      <x:c r="K1890" s="20" t="n">
        <x:v>54</x:v>
      </x:c>
      <x:c r="L1890" s="20" t="n">
        <x:v>5.4</x:v>
      </x:c>
      <x:c r="M1890" s="20" t="n">
        <x:v>21</x:v>
      </x:c>
      <x:c r="N1890" s="20" t="n">
        <x:f>IF(J1890=1,0,K1890-L1890)</x:f>
        <x:v>48.6</x:v>
      </x:c>
      <x:c r="O1890" s="20" t="n">
        <x:f>N1890-M1890</x:f>
        <x:v>27.6</x:v>
      </x:c>
    </x:row>
    <x:row r="1891" ht="22" customHeight="1">
      <x:c r="A1891" s="11" t="n">
        <x:v>1887</x:v>
      </x:c>
      <x:c r="B1891" s="11" t="n">
        <x:v>957</x:v>
      </x:c>
      <x:c r="C1891" s="18" t="n">
        <x:v>45769</x:v>
      </x:c>
      <x:c r="D1891" s="11" t="str">
        <x:v>2025-04</x:v>
      </x:c>
      <x:c r="E1891" s="11" t="str">
        <x:v>South</x:v>
      </x:c>
      <x:c r="F1891" s="11" t="str">
        <x:v>Furniture</x:v>
      </x:c>
      <x:c r="G1891" s="11" t="str">
        <x:v>Desk</x:v>
      </x:c>
      <x:c r="H1891" s="11" t="n">
        <x:v>1</x:v>
      </x:c>
      <x:c r="I1891" s="19" t="n">
        <x:v>0.25</x:v>
      </x:c>
      <x:c r="J1891" s="11" t="n">
        <x:v>0</x:v>
      </x:c>
      <x:c r="K1891" s="20" t="n">
        <x:v>280</x:v>
      </x:c>
      <x:c r="L1891" s="20" t="n">
        <x:v>70</x:v>
      </x:c>
      <x:c r="M1891" s="20" t="n">
        <x:v>190</x:v>
      </x:c>
      <x:c r="N1891" s="20" t="n">
        <x:f>IF(J1891=1,0,K1891-L1891)</x:f>
        <x:v>210</x:v>
      </x:c>
      <x:c r="O1891" s="20" t="n">
        <x:f>N1891-M1891</x:f>
        <x:v>20</x:v>
      </x:c>
    </x:row>
    <x:row r="1892" ht="22" customHeight="1">
      <x:c r="A1892" s="11" t="n">
        <x:v>1888</x:v>
      </x:c>
      <x:c r="B1892" s="11" t="n">
        <x:v>957</x:v>
      </x:c>
      <x:c r="C1892" s="18" t="n">
        <x:v>45769</x:v>
      </x:c>
      <x:c r="D1892" s="11" t="str">
        <x:v>2025-04</x:v>
      </x:c>
      <x:c r="E1892" s="11" t="str">
        <x:v>South</x:v>
      </x:c>
      <x:c r="F1892" s="11" t="str">
        <x:v>Office Supplies</x:v>
      </x:c>
      <x:c r="G1892" s="11" t="str">
        <x:v>Notebook pack</x:v>
      </x:c>
      <x:c r="H1892" s="11" t="n">
        <x:v>2</x:v>
      </x:c>
      <x:c r="I1892" s="19" t="n">
        <x:v>0.15</x:v>
      </x:c>
      <x:c r="J1892" s="11" t="n">
        <x:v>0</x:v>
      </x:c>
      <x:c r="K1892" s="20" t="n">
        <x:v>36</x:v>
      </x:c>
      <x:c r="L1892" s="20" t="n">
        <x:v>5.4</x:v>
      </x:c>
      <x:c r="M1892" s="20" t="n">
        <x:v>14</x:v>
      </x:c>
      <x:c r="N1892" s="20" t="n">
        <x:f>IF(J1892=1,0,K1892-L1892)</x:f>
        <x:v>30.6</x:v>
      </x:c>
      <x:c r="O1892" s="20" t="n">
        <x:f>N1892-M1892</x:f>
        <x:v>16.6</x:v>
      </x:c>
    </x:row>
    <x:row r="1893" ht="22" customHeight="1">
      <x:c r="A1893" s="11" t="n">
        <x:v>1889</x:v>
      </x:c>
      <x:c r="B1893" s="11" t="n">
        <x:v>958</x:v>
      </x:c>
      <x:c r="C1893" s="18" t="n">
        <x:v>45540</x:v>
      </x:c>
      <x:c r="D1893" s="11" t="str">
        <x:v>2024-09</x:v>
      </x:c>
      <x:c r="E1893" s="11" t="str">
        <x:v>South</x:v>
      </x:c>
      <x:c r="F1893" s="11" t="str">
        <x:v>Office Supplies</x:v>
      </x:c>
      <x:c r="G1893" s="11" t="str">
        <x:v>Notebook pack</x:v>
      </x:c>
      <x:c r="H1893" s="11" t="n">
        <x:v>5</x:v>
      </x:c>
      <x:c r="I1893" s="19" t="n">
        <x:v>0.15</x:v>
      </x:c>
      <x:c r="J1893" s="11" t="n">
        <x:v>0</x:v>
      </x:c>
      <x:c r="K1893" s="20" t="n">
        <x:v>90</x:v>
      </x:c>
      <x:c r="L1893" s="20" t="n">
        <x:v>13.5</x:v>
      </x:c>
      <x:c r="M1893" s="20" t="n">
        <x:v>35</x:v>
      </x:c>
      <x:c r="N1893" s="20" t="n">
        <x:f>IF(J1893=1,0,K1893-L1893)</x:f>
        <x:v>76.5</x:v>
      </x:c>
      <x:c r="O1893" s="20" t="n">
        <x:f>N1893-M1893</x:f>
        <x:v>41.5</x:v>
      </x:c>
    </x:row>
    <x:row r="1894" ht="22" customHeight="1">
      <x:c r="A1894" s="11" t="n">
        <x:v>1890</x:v>
      </x:c>
      <x:c r="B1894" s="11" t="n">
        <x:v>959</x:v>
      </x:c>
      <x:c r="C1894" s="18" t="n">
        <x:v>45346</x:v>
      </x:c>
      <x:c r="D1894" s="11" t="str">
        <x:v>2024-02</x:v>
      </x:c>
      <x:c r="E1894" s="11" t="str">
        <x:v>Central</x:v>
      </x:c>
      <x:c r="F1894" s="11" t="str">
        <x:v>Technology</x:v>
      </x:c>
      <x:c r="G1894" s="11" t="str">
        <x:v>Keyboard</x:v>
      </x:c>
      <x:c r="H1894" s="11" t="n">
        <x:v>1</x:v>
      </x:c>
      <x:c r="I1894" s="19" t="n">
        <x:v>0.1</x:v>
      </x:c>
      <x:c r="J1894" s="11" t="n">
        <x:v>0</x:v>
      </x:c>
      <x:c r="K1894" s="20" t="n">
        <x:v>65</x:v>
      </x:c>
      <x:c r="L1894" s="20" t="n">
        <x:v>6.5</x:v>
      </x:c>
      <x:c r="M1894" s="20" t="n">
        <x:v>32</x:v>
      </x:c>
      <x:c r="N1894" s="20" t="n">
        <x:f>IF(J1894=1,0,K1894-L1894)</x:f>
        <x:v>58.5</x:v>
      </x:c>
      <x:c r="O1894" s="20" t="n">
        <x:f>N1894-M1894</x:f>
        <x:v>26.5</x:v>
      </x:c>
    </x:row>
    <x:row r="1895" ht="22" customHeight="1">
      <x:c r="A1895" s="11" t="n">
        <x:v>1891</x:v>
      </x:c>
      <x:c r="B1895" s="11" t="n">
        <x:v>960</x:v>
      </x:c>
      <x:c r="C1895" s="18" t="n">
        <x:v>45822</x:v>
      </x:c>
      <x:c r="D1895" s="11" t="str">
        <x:v>2025-06</x:v>
      </x:c>
      <x:c r="E1895" s="11" t="str">
        <x:v>East</x:v>
      </x:c>
      <x:c r="F1895" s="11" t="str">
        <x:v>Furniture</x:v>
      </x:c>
      <x:c r="G1895" s="11" t="str">
        <x:v>Desk</x:v>
      </x:c>
      <x:c r="H1895" s="11" t="n">
        <x:v>3</x:v>
      </x:c>
      <x:c r="I1895" s="19" t="n">
        <x:v>0</x:v>
      </x:c>
      <x:c r="J1895" s="11" t="n">
        <x:v>0</x:v>
      </x:c>
      <x:c r="K1895" s="20" t="n">
        <x:v>840</x:v>
      </x:c>
      <x:c r="L1895" s="20" t="n">
        <x:v>0</x:v>
      </x:c>
      <x:c r="M1895" s="20" t="n">
        <x:v>570</x:v>
      </x:c>
      <x:c r="N1895" s="20" t="n">
        <x:f>IF(J1895=1,0,K1895-L1895)</x:f>
        <x:v>840</x:v>
      </x:c>
      <x:c r="O1895" s="20" t="n">
        <x:f>N1895-M1895</x:f>
        <x:v>270</x:v>
      </x:c>
    </x:row>
    <x:row r="1896" ht="22" customHeight="1">
      <x:c r="A1896" s="11" t="n">
        <x:v>1892</x:v>
      </x:c>
      <x:c r="B1896" s="11" t="n">
        <x:v>961</x:v>
      </x:c>
      <x:c r="C1896" s="18" t="n">
        <x:v>45391</x:v>
      </x:c>
      <x:c r="D1896" s="11" t="str">
        <x:v>2024-04</x:v>
      </x:c>
      <x:c r="E1896" s="11" t="str">
        <x:v>East</x:v>
      </x:c>
      <x:c r="F1896" s="11" t="str">
        <x:v>Technology</x:v>
      </x:c>
      <x:c r="G1896" s="11" t="str">
        <x:v>Monitor</x:v>
      </x:c>
      <x:c r="H1896" s="11" t="n">
        <x:v>5</x:v>
      </x:c>
      <x:c r="I1896" s="19" t="n">
        <x:v>0.15</x:v>
      </x:c>
      <x:c r="J1896" s="11" t="n">
        <x:v>0</x:v>
      </x:c>
      <x:c r="K1896" s="20" t="n">
        <x:v>1200</x:v>
      </x:c>
      <x:c r="L1896" s="20" t="n">
        <x:v>180</x:v>
      </x:c>
      <x:c r="M1896" s="20" t="n">
        <x:v>800</x:v>
      </x:c>
      <x:c r="N1896" s="20" t="n">
        <x:f>IF(J1896=1,0,K1896-L1896)</x:f>
        <x:v>1020</x:v>
      </x:c>
      <x:c r="O1896" s="20" t="n">
        <x:f>N1896-M1896</x:f>
        <x:v>220</x:v>
      </x:c>
    </x:row>
    <x:row r="1897" ht="22" customHeight="1">
      <x:c r="A1897" s="11" t="n">
        <x:v>1893</x:v>
      </x:c>
      <x:c r="B1897" s="11" t="n">
        <x:v>961</x:v>
      </x:c>
      <x:c r="C1897" s="18" t="n">
        <x:v>45391</x:v>
      </x:c>
      <x:c r="D1897" s="11" t="str">
        <x:v>2024-04</x:v>
      </x:c>
      <x:c r="E1897" s="11" t="str">
        <x:v>East</x:v>
      </x:c>
      <x:c r="F1897" s="11" t="str">
        <x:v>Furniture</x:v>
      </x:c>
      <x:c r="G1897" s="11" t="str">
        <x:v>Desk</x:v>
      </x:c>
      <x:c r="H1897" s="11" t="n">
        <x:v>1</x:v>
      </x:c>
      <x:c r="I1897" s="19" t="n">
        <x:v>0.05</x:v>
      </x:c>
      <x:c r="J1897" s="11" t="n">
        <x:v>0</x:v>
      </x:c>
      <x:c r="K1897" s="20" t="n">
        <x:v>280</x:v>
      </x:c>
      <x:c r="L1897" s="20" t="n">
        <x:v>14</x:v>
      </x:c>
      <x:c r="M1897" s="20" t="n">
        <x:v>190</x:v>
      </x:c>
      <x:c r="N1897" s="20" t="n">
        <x:f>IF(J1897=1,0,K1897-L1897)</x:f>
        <x:v>266</x:v>
      </x:c>
      <x:c r="O1897" s="20" t="n">
        <x:f>N1897-M1897</x:f>
        <x:v>76</x:v>
      </x:c>
    </x:row>
    <x:row r="1898" ht="22" customHeight="1">
      <x:c r="A1898" s="11" t="n">
        <x:v>1894</x:v>
      </x:c>
      <x:c r="B1898" s="11" t="n">
        <x:v>961</x:v>
      </x:c>
      <x:c r="C1898" s="18" t="n">
        <x:v>45391</x:v>
      </x:c>
      <x:c r="D1898" s="11" t="str">
        <x:v>2024-04</x:v>
      </x:c>
      <x:c r="E1898" s="11" t="str">
        <x:v>East</x:v>
      </x:c>
      <x:c r="F1898" s="11" t="str">
        <x:v>Office Supplies</x:v>
      </x:c>
      <x:c r="G1898" s="11" t="str">
        <x:v>Notebook pack</x:v>
      </x:c>
      <x:c r="H1898" s="11" t="n">
        <x:v>5</x:v>
      </x:c>
      <x:c r="I1898" s="19" t="n">
        <x:v>0.1</x:v>
      </x:c>
      <x:c r="J1898" s="11" t="n">
        <x:v>0</x:v>
      </x:c>
      <x:c r="K1898" s="20" t="n">
        <x:v>90</x:v>
      </x:c>
      <x:c r="L1898" s="20" t="n">
        <x:v>9</x:v>
      </x:c>
      <x:c r="M1898" s="20" t="n">
        <x:v>35</x:v>
      </x:c>
      <x:c r="N1898" s="20" t="n">
        <x:f>IF(J1898=1,0,K1898-L1898)</x:f>
        <x:v>81</x:v>
      </x:c>
      <x:c r="O1898" s="20" t="n">
        <x:f>N1898-M1898</x:f>
        <x:v>46</x:v>
      </x:c>
    </x:row>
    <x:row r="1899" ht="22" customHeight="1">
      <x:c r="A1899" s="11" t="n">
        <x:v>1895</x:v>
      </x:c>
      <x:c r="B1899" s="11" t="n">
        <x:v>962</x:v>
      </x:c>
      <x:c r="C1899" s="18" t="n">
        <x:v>45983</x:v>
      </x:c>
      <x:c r="D1899" s="11" t="str">
        <x:v>2025-11</x:v>
      </x:c>
      <x:c r="E1899" s="11" t="str">
        <x:v>West</x:v>
      </x:c>
      <x:c r="F1899" s="11" t="str">
        <x:v>Office Supplies</x:v>
      </x:c>
      <x:c r="G1899" s="11" t="str">
        <x:v>Storage box</x:v>
      </x:c>
      <x:c r="H1899" s="11" t="n">
        <x:v>1</x:v>
      </x:c>
      <x:c r="I1899" s="19" t="n">
        <x:v>0.1</x:v>
      </x:c>
      <x:c r="J1899" s="11" t="n">
        <x:v>0</x:v>
      </x:c>
      <x:c r="K1899" s="20" t="n">
        <x:v>26</x:v>
      </x:c>
      <x:c r="L1899" s="20" t="n">
        <x:v>2.6</x:v>
      </x:c>
      <x:c r="M1899" s="20" t="n">
        <x:v>12</x:v>
      </x:c>
      <x:c r="N1899" s="20" t="n">
        <x:f>IF(J1899=1,0,K1899-L1899)</x:f>
        <x:v>23.4</x:v>
      </x:c>
      <x:c r="O1899" s="20" t="n">
        <x:f>N1899-M1899</x:f>
        <x:v>11.399999999999999</x:v>
      </x:c>
    </x:row>
    <x:row r="1900" ht="22" customHeight="1">
      <x:c r="A1900" s="11" t="n">
        <x:v>1896</x:v>
      </x:c>
      <x:c r="B1900" s="11" t="n">
        <x:v>962</x:v>
      </x:c>
      <x:c r="C1900" s="18" t="n">
        <x:v>45983</x:v>
      </x:c>
      <x:c r="D1900" s="11" t="str">
        <x:v>2025-11</x:v>
      </x:c>
      <x:c r="E1900" s="11" t="str">
        <x:v>West</x:v>
      </x:c>
      <x:c r="F1900" s="11" t="str">
        <x:v>Technology</x:v>
      </x:c>
      <x:c r="G1900" s="11" t="str">
        <x:v>Monitor</x:v>
      </x:c>
      <x:c r="H1900" s="11" t="n">
        <x:v>2</x:v>
      </x:c>
      <x:c r="I1900" s="19" t="n">
        <x:v>0</x:v>
      </x:c>
      <x:c r="J1900" s="11" t="n">
        <x:v>0</x:v>
      </x:c>
      <x:c r="K1900" s="20" t="n">
        <x:v>480</x:v>
      </x:c>
      <x:c r="L1900" s="20" t="n">
        <x:v>0</x:v>
      </x:c>
      <x:c r="M1900" s="20" t="n">
        <x:v>320</x:v>
      </x:c>
      <x:c r="N1900" s="20" t="n">
        <x:f>IF(J1900=1,0,K1900-L1900)</x:f>
        <x:v>480</x:v>
      </x:c>
      <x:c r="O1900" s="20" t="n">
        <x:f>N1900-M1900</x:f>
        <x:v>160</x:v>
      </x:c>
    </x:row>
    <x:row r="1901" ht="22" customHeight="1">
      <x:c r="A1901" s="11" t="n">
        <x:v>1897</x:v>
      </x:c>
      <x:c r="B1901" s="11" t="n">
        <x:v>963</x:v>
      </x:c>
      <x:c r="C1901" s="18" t="n">
        <x:v>45448</x:v>
      </x:c>
      <x:c r="D1901" s="11" t="str">
        <x:v>2024-06</x:v>
      </x:c>
      <x:c r="E1901" s="11" t="str">
        <x:v>Central</x:v>
      </x:c>
      <x:c r="F1901" s="11" t="str">
        <x:v>Furniture</x:v>
      </x:c>
      <x:c r="G1901" s="11" t="str">
        <x:v>Desk</x:v>
      </x:c>
      <x:c r="H1901" s="11" t="n">
        <x:v>1</x:v>
      </x:c>
      <x:c r="I1901" s="19" t="n">
        <x:v>0.35</x:v>
      </x:c>
      <x:c r="J1901" s="11" t="n">
        <x:v>1</x:v>
      </x:c>
      <x:c r="K1901" s="20" t="n">
        <x:v>280</x:v>
      </x:c>
      <x:c r="L1901" s="20" t="n">
        <x:v>98</x:v>
      </x:c>
      <x:c r="M1901" s="20" t="n">
        <x:v>0</x:v>
      </x:c>
      <x:c r="N1901" s="20" t="n">
        <x:f>IF(J1901=1,0,K1901-L1901)</x:f>
        <x:v>0</x:v>
      </x:c>
      <x:c r="O1901" s="20" t="n">
        <x:f>N1901-M1901</x:f>
        <x:v>0</x:v>
      </x:c>
    </x:row>
    <x:row r="1902" ht="22" customHeight="1">
      <x:c r="A1902" s="11" t="n">
        <x:v>1898</x:v>
      </x:c>
      <x:c r="B1902" s="11" t="n">
        <x:v>963</x:v>
      </x:c>
      <x:c r="C1902" s="18" t="n">
        <x:v>45448</x:v>
      </x:c>
      <x:c r="D1902" s="11" t="str">
        <x:v>2024-06</x:v>
      </x:c>
      <x:c r="E1902" s="11" t="str">
        <x:v>Central</x:v>
      </x:c>
      <x:c r="F1902" s="11" t="str">
        <x:v>Furniture</x:v>
      </x:c>
      <x:c r="G1902" s="11" t="str">
        <x:v>Chair</x:v>
      </x:c>
      <x:c r="H1902" s="11" t="n">
        <x:v>5</x:v>
      </x:c>
      <x:c r="I1902" s="19" t="n">
        <x:v>0.35</x:v>
      </x:c>
      <x:c r="J1902" s="11" t="n">
        <x:v>0</x:v>
      </x:c>
      <x:c r="K1902" s="20" t="n">
        <x:v>850</x:v>
      </x:c>
      <x:c r="L1902" s="20" t="n">
        <x:v>297.5</x:v>
      </x:c>
      <x:c r="M1902" s="20" t="n">
        <x:v>550</x:v>
      </x:c>
      <x:c r="N1902" s="20" t="n">
        <x:f>IF(J1902=1,0,K1902-L1902)</x:f>
        <x:v>552.5</x:v>
      </x:c>
      <x:c r="O1902" s="20" t="n">
        <x:f>N1902-M1902</x:f>
        <x:v>2.5</x:v>
      </x:c>
    </x:row>
    <x:row r="1903" ht="22" customHeight="1">
      <x:c r="A1903" s="11" t="n">
        <x:v>1899</x:v>
      </x:c>
      <x:c r="B1903" s="11" t="n">
        <x:v>963</x:v>
      </x:c>
      <x:c r="C1903" s="18" t="n">
        <x:v>45448</x:v>
      </x:c>
      <x:c r="D1903" s="11" t="str">
        <x:v>2024-06</x:v>
      </x:c>
      <x:c r="E1903" s="11" t="str">
        <x:v>Central</x:v>
      </x:c>
      <x:c r="F1903" s="11" t="str">
        <x:v>Office Supplies</x:v>
      </x:c>
      <x:c r="G1903" s="11" t="str">
        <x:v>Notebook pack</x:v>
      </x:c>
      <x:c r="H1903" s="11" t="n">
        <x:v>1</x:v>
      </x:c>
      <x:c r="I1903" s="19" t="n">
        <x:v>0.05</x:v>
      </x:c>
      <x:c r="J1903" s="11" t="n">
        <x:v>0</x:v>
      </x:c>
      <x:c r="K1903" s="20" t="n">
        <x:v>18</x:v>
      </x:c>
      <x:c r="L1903" s="20" t="n">
        <x:v>0.9</x:v>
      </x:c>
      <x:c r="M1903" s="20" t="n">
        <x:v>7</x:v>
      </x:c>
      <x:c r="N1903" s="20" t="n">
        <x:f>IF(J1903=1,0,K1903-L1903)</x:f>
        <x:v>17.1</x:v>
      </x:c>
      <x:c r="O1903" s="20" t="n">
        <x:f>N1903-M1903</x:f>
        <x:v>10.100000000000001</x:v>
      </x:c>
    </x:row>
    <x:row r="1904" ht="22" customHeight="1">
      <x:c r="A1904" s="11" t="n">
        <x:v>1900</x:v>
      </x:c>
      <x:c r="B1904" s="11" t="n">
        <x:v>964</x:v>
      </x:c>
      <x:c r="C1904" s="18" t="n">
        <x:v>45480</x:v>
      </x:c>
      <x:c r="D1904" s="11" t="str">
        <x:v>2024-07</x:v>
      </x:c>
      <x:c r="E1904" s="11" t="str">
        <x:v>West</x:v>
      </x:c>
      <x:c r="F1904" s="11" t="str">
        <x:v>Office Supplies</x:v>
      </x:c>
      <x:c r="G1904" s="11" t="str">
        <x:v>Storage box</x:v>
      </x:c>
      <x:c r="H1904" s="11" t="n">
        <x:v>4</x:v>
      </x:c>
      <x:c r="I1904" s="19" t="n">
        <x:v>0</x:v>
      </x:c>
      <x:c r="J1904" s="11" t="n">
        <x:v>0</x:v>
      </x:c>
      <x:c r="K1904" s="20" t="n">
        <x:v>104</x:v>
      </x:c>
      <x:c r="L1904" s="20" t="n">
        <x:v>0</x:v>
      </x:c>
      <x:c r="M1904" s="20" t="n">
        <x:v>48</x:v>
      </x:c>
      <x:c r="N1904" s="20" t="n">
        <x:f>IF(J1904=1,0,K1904-L1904)</x:f>
        <x:v>104</x:v>
      </x:c>
      <x:c r="O1904" s="20" t="n">
        <x:f>N1904-M1904</x:f>
        <x:v>56</x:v>
      </x:c>
    </x:row>
    <x:row r="1905" ht="22" customHeight="1">
      <x:c r="A1905" s="11" t="n">
        <x:v>1901</x:v>
      </x:c>
      <x:c r="B1905" s="11" t="n">
        <x:v>964</x:v>
      </x:c>
      <x:c r="C1905" s="18" t="n">
        <x:v>45480</x:v>
      </x:c>
      <x:c r="D1905" s="11" t="str">
        <x:v>2024-07</x:v>
      </x:c>
      <x:c r="E1905" s="11" t="str">
        <x:v>West</x:v>
      </x:c>
      <x:c r="F1905" s="11" t="str">
        <x:v>Technology</x:v>
      </x:c>
      <x:c r="G1905" s="11" t="str">
        <x:v>Keyboard</x:v>
      </x:c>
      <x:c r="H1905" s="11" t="n">
        <x:v>2</x:v>
      </x:c>
      <x:c r="I1905" s="19" t="n">
        <x:v>0</x:v>
      </x:c>
      <x:c r="J1905" s="11" t="n">
        <x:v>0</x:v>
      </x:c>
      <x:c r="K1905" s="20" t="n">
        <x:v>130</x:v>
      </x:c>
      <x:c r="L1905" s="20" t="n">
        <x:v>0</x:v>
      </x:c>
      <x:c r="M1905" s="20" t="n">
        <x:v>64</x:v>
      </x:c>
      <x:c r="N1905" s="20" t="n">
        <x:f>IF(J1905=1,0,K1905-L1905)</x:f>
        <x:v>130</x:v>
      </x:c>
      <x:c r="O1905" s="20" t="n">
        <x:f>N1905-M1905</x:f>
        <x:v>66</x:v>
      </x:c>
    </x:row>
    <x:row r="1906" ht="22" customHeight="1">
      <x:c r="A1906" s="11" t="n">
        <x:v>1902</x:v>
      </x:c>
      <x:c r="B1906" s="11" t="n">
        <x:v>964</x:v>
      </x:c>
      <x:c r="C1906" s="18" t="n">
        <x:v>45480</x:v>
      </x:c>
      <x:c r="D1906" s="11" t="str">
        <x:v>2024-07</x:v>
      </x:c>
      <x:c r="E1906" s="11" t="str">
        <x:v>West</x:v>
      </x:c>
      <x:c r="F1906" s="11" t="str">
        <x:v>Furniture</x:v>
      </x:c>
      <x:c r="G1906" s="11" t="str">
        <x:v>Desk</x:v>
      </x:c>
      <x:c r="H1906" s="11" t="n">
        <x:v>2</x:v>
      </x:c>
      <x:c r="I1906" s="19" t="n">
        <x:v>0</x:v>
      </x:c>
      <x:c r="J1906" s="11" t="n">
        <x:v>0</x:v>
      </x:c>
      <x:c r="K1906" s="20" t="n">
        <x:v>560</x:v>
      </x:c>
      <x:c r="L1906" s="20" t="n">
        <x:v>0</x:v>
      </x:c>
      <x:c r="M1906" s="20" t="n">
        <x:v>380</x:v>
      </x:c>
      <x:c r="N1906" s="20" t="n">
        <x:f>IF(J1906=1,0,K1906-L1906)</x:f>
        <x:v>560</x:v>
      </x:c>
      <x:c r="O1906" s="20" t="n">
        <x:f>N1906-M1906</x:f>
        <x:v>180</x:v>
      </x:c>
    </x:row>
    <x:row r="1907" ht="22" customHeight="1">
      <x:c r="A1907" s="11" t="n">
        <x:v>1903</x:v>
      </x:c>
      <x:c r="B1907" s="11" t="n">
        <x:v>965</x:v>
      </x:c>
      <x:c r="C1907" s="18" t="n">
        <x:v>46008</x:v>
      </x:c>
      <x:c r="D1907" s="11" t="str">
        <x:v>2025-12</x:v>
      </x:c>
      <x:c r="E1907" s="11" t="str">
        <x:v>Central</x:v>
      </x:c>
      <x:c r="F1907" s="11" t="str">
        <x:v>Technology</x:v>
      </x:c>
      <x:c r="G1907" s="11" t="str">
        <x:v>Keyboard</x:v>
      </x:c>
      <x:c r="H1907" s="11" t="n">
        <x:v>3</x:v>
      </x:c>
      <x:c r="I1907" s="19" t="n">
        <x:v>0</x:v>
      </x:c>
      <x:c r="J1907" s="11" t="n">
        <x:v>0</x:v>
      </x:c>
      <x:c r="K1907" s="20" t="n">
        <x:v>195</x:v>
      </x:c>
      <x:c r="L1907" s="20" t="n">
        <x:v>0</x:v>
      </x:c>
      <x:c r="M1907" s="20" t="n">
        <x:v>96</x:v>
      </x:c>
      <x:c r="N1907" s="20" t="n">
        <x:f>IF(J1907=1,0,K1907-L1907)</x:f>
        <x:v>195</x:v>
      </x:c>
      <x:c r="O1907" s="20" t="n">
        <x:f>N1907-M1907</x:f>
        <x:v>99</x:v>
      </x:c>
    </x:row>
    <x:row r="1908" ht="22" customHeight="1">
      <x:c r="A1908" s="11" t="n">
        <x:v>1904</x:v>
      </x:c>
      <x:c r="B1908" s="11" t="n">
        <x:v>965</x:v>
      </x:c>
      <x:c r="C1908" s="18" t="n">
        <x:v>46008</x:v>
      </x:c>
      <x:c r="D1908" s="11" t="str">
        <x:v>2025-12</x:v>
      </x:c>
      <x:c r="E1908" s="11" t="str">
        <x:v>Central</x:v>
      </x:c>
      <x:c r="F1908" s="11" t="str">
        <x:v>Technology</x:v>
      </x:c>
      <x:c r="G1908" s="11" t="str">
        <x:v>Monitor</x:v>
      </x:c>
      <x:c r="H1908" s="11" t="n">
        <x:v>4</x:v>
      </x:c>
      <x:c r="I1908" s="19" t="n">
        <x:v>0.05</x:v>
      </x:c>
      <x:c r="J1908" s="11" t="n">
        <x:v>0</x:v>
      </x:c>
      <x:c r="K1908" s="20" t="n">
        <x:v>960</x:v>
      </x:c>
      <x:c r="L1908" s="20" t="n">
        <x:v>48</x:v>
      </x:c>
      <x:c r="M1908" s="20" t="n">
        <x:v>640</x:v>
      </x:c>
      <x:c r="N1908" s="20" t="n">
        <x:f>IF(J1908=1,0,K1908-L1908)</x:f>
        <x:v>912</x:v>
      </x:c>
      <x:c r="O1908" s="20" t="n">
        <x:f>N1908-M1908</x:f>
        <x:v>272</x:v>
      </x:c>
    </x:row>
    <x:row r="1909" ht="22" customHeight="1">
      <x:c r="A1909" s="11" t="n">
        <x:v>1905</x:v>
      </x:c>
      <x:c r="B1909" s="11" t="n">
        <x:v>966</x:v>
      </x:c>
      <x:c r="C1909" s="18" t="n">
        <x:v>45692</x:v>
      </x:c>
      <x:c r="D1909" s="11" t="str">
        <x:v>2025-02</x:v>
      </x:c>
      <x:c r="E1909" s="11" t="str">
        <x:v>West</x:v>
      </x:c>
      <x:c r="F1909" s="11" t="str">
        <x:v>Technology</x:v>
      </x:c>
      <x:c r="G1909" s="11" t="str">
        <x:v>Keyboard</x:v>
      </x:c>
      <x:c r="H1909" s="11" t="n">
        <x:v>2</x:v>
      </x:c>
      <x:c r="I1909" s="19" t="n">
        <x:v>0</x:v>
      </x:c>
      <x:c r="J1909" s="11" t="n">
        <x:v>0</x:v>
      </x:c>
      <x:c r="K1909" s="20" t="n">
        <x:v>130</x:v>
      </x:c>
      <x:c r="L1909" s="20" t="n">
        <x:v>0</x:v>
      </x:c>
      <x:c r="M1909" s="20" t="n">
        <x:v>64</x:v>
      </x:c>
      <x:c r="N1909" s="20" t="n">
        <x:f>IF(J1909=1,0,K1909-L1909)</x:f>
        <x:v>130</x:v>
      </x:c>
      <x:c r="O1909" s="20" t="n">
        <x:f>N1909-M1909</x:f>
        <x:v>66</x:v>
      </x:c>
    </x:row>
    <x:row r="1910" ht="22" customHeight="1">
      <x:c r="A1910" s="11" t="n">
        <x:v>1906</x:v>
      </x:c>
      <x:c r="B1910" s="11" t="n">
        <x:v>966</x:v>
      </x:c>
      <x:c r="C1910" s="18" t="n">
        <x:v>45692</x:v>
      </x:c>
      <x:c r="D1910" s="11" t="str">
        <x:v>2025-02</x:v>
      </x:c>
      <x:c r="E1910" s="11" t="str">
        <x:v>West</x:v>
      </x:c>
      <x:c r="F1910" s="11" t="str">
        <x:v>Office Supplies</x:v>
      </x:c>
      <x:c r="G1910" s="11" t="str">
        <x:v>Storage box</x:v>
      </x:c>
      <x:c r="H1910" s="11" t="n">
        <x:v>1</x:v>
      </x:c>
      <x:c r="I1910" s="19" t="n">
        <x:v>0.15</x:v>
      </x:c>
      <x:c r="J1910" s="11" t="n">
        <x:v>0</x:v>
      </x:c>
      <x:c r="K1910" s="20" t="n">
        <x:v>26</x:v>
      </x:c>
      <x:c r="L1910" s="20" t="n">
        <x:v>3.9</x:v>
      </x:c>
      <x:c r="M1910" s="20" t="n">
        <x:v>12</x:v>
      </x:c>
      <x:c r="N1910" s="20" t="n">
        <x:f>IF(J1910=1,0,K1910-L1910)</x:f>
        <x:v>22.1</x:v>
      </x:c>
      <x:c r="O1910" s="20" t="n">
        <x:f>N1910-M1910</x:f>
        <x:v>10.100000000000001</x:v>
      </x:c>
    </x:row>
    <x:row r="1911" ht="22" customHeight="1">
      <x:c r="A1911" s="11" t="n">
        <x:v>1907</x:v>
      </x:c>
      <x:c r="B1911" s="11" t="n">
        <x:v>967</x:v>
      </x:c>
      <x:c r="C1911" s="18" t="n">
        <x:v>45886</x:v>
      </x:c>
      <x:c r="D1911" s="11" t="str">
        <x:v>2025-08</x:v>
      </x:c>
      <x:c r="E1911" s="11" t="str">
        <x:v>West</x:v>
      </x:c>
      <x:c r="F1911" s="11" t="str">
        <x:v>Office Supplies</x:v>
      </x:c>
      <x:c r="G1911" s="11" t="str">
        <x:v>Storage box</x:v>
      </x:c>
      <x:c r="H1911" s="11" t="n">
        <x:v>1</x:v>
      </x:c>
      <x:c r="I1911" s="19" t="n">
        <x:v>0.05</x:v>
      </x:c>
      <x:c r="J1911" s="11" t="n">
        <x:v>0</x:v>
      </x:c>
      <x:c r="K1911" s="20" t="n">
        <x:v>26</x:v>
      </x:c>
      <x:c r="L1911" s="20" t="n">
        <x:v>1.3</x:v>
      </x:c>
      <x:c r="M1911" s="20" t="n">
        <x:v>12</x:v>
      </x:c>
      <x:c r="N1911" s="20" t="n">
        <x:f>IF(J1911=1,0,K1911-L1911)</x:f>
        <x:v>24.7</x:v>
      </x:c>
      <x:c r="O1911" s="20" t="n">
        <x:f>N1911-M1911</x:f>
        <x:v>12.7</x:v>
      </x:c>
    </x:row>
    <x:row r="1912" ht="22" customHeight="1">
      <x:c r="A1912" s="11" t="n">
        <x:v>1908</x:v>
      </x:c>
      <x:c r="B1912" s="11" t="n">
        <x:v>967</x:v>
      </x:c>
      <x:c r="C1912" s="18" t="n">
        <x:v>45886</x:v>
      </x:c>
      <x:c r="D1912" s="11" t="str">
        <x:v>2025-08</x:v>
      </x:c>
      <x:c r="E1912" s="11" t="str">
        <x:v>West</x:v>
      </x:c>
      <x:c r="F1912" s="11" t="str">
        <x:v>Office Supplies</x:v>
      </x:c>
      <x:c r="G1912" s="11" t="str">
        <x:v>Notebook pack</x:v>
      </x:c>
      <x:c r="H1912" s="11" t="n">
        <x:v>4</x:v>
      </x:c>
      <x:c r="I1912" s="19" t="n">
        <x:v>0.1</x:v>
      </x:c>
      <x:c r="J1912" s="11" t="n">
        <x:v>0</x:v>
      </x:c>
      <x:c r="K1912" s="20" t="n">
        <x:v>72</x:v>
      </x:c>
      <x:c r="L1912" s="20" t="n">
        <x:v>7.2</x:v>
      </x:c>
      <x:c r="M1912" s="20" t="n">
        <x:v>28</x:v>
      </x:c>
      <x:c r="N1912" s="20" t="n">
        <x:f>IF(J1912=1,0,K1912-L1912)</x:f>
        <x:v>64.8</x:v>
      </x:c>
      <x:c r="O1912" s="20" t="n">
        <x:f>N1912-M1912</x:f>
        <x:v>36.8</x:v>
      </x:c>
    </x:row>
    <x:row r="1913" ht="22" customHeight="1">
      <x:c r="A1913" s="11" t="n">
        <x:v>1909</x:v>
      </x:c>
      <x:c r="B1913" s="11" t="n">
        <x:v>967</x:v>
      </x:c>
      <x:c r="C1913" s="18" t="n">
        <x:v>45886</x:v>
      </x:c>
      <x:c r="D1913" s="11" t="str">
        <x:v>2025-08</x:v>
      </x:c>
      <x:c r="E1913" s="11" t="str">
        <x:v>West</x:v>
      </x:c>
      <x:c r="F1913" s="11" t="str">
        <x:v>Technology</x:v>
      </x:c>
      <x:c r="G1913" s="11" t="str">
        <x:v>Keyboard</x:v>
      </x:c>
      <x:c r="H1913" s="11" t="n">
        <x:v>2</x:v>
      </x:c>
      <x:c r="I1913" s="19" t="n">
        <x:v>0.05</x:v>
      </x:c>
      <x:c r="J1913" s="11" t="n">
        <x:v>0</x:v>
      </x:c>
      <x:c r="K1913" s="20" t="n">
        <x:v>130</x:v>
      </x:c>
      <x:c r="L1913" s="20" t="n">
        <x:v>6.5</x:v>
      </x:c>
      <x:c r="M1913" s="20" t="n">
        <x:v>64</x:v>
      </x:c>
      <x:c r="N1913" s="20" t="n">
        <x:f>IF(J1913=1,0,K1913-L1913)</x:f>
        <x:v>123.5</x:v>
      </x:c>
      <x:c r="O1913" s="20" t="n">
        <x:f>N1913-M1913</x:f>
        <x:v>59.5</x:v>
      </x:c>
    </x:row>
    <x:row r="1914" ht="22" customHeight="1">
      <x:c r="A1914" s="11" t="n">
        <x:v>1910</x:v>
      </x:c>
      <x:c r="B1914" s="11" t="n">
        <x:v>968</x:v>
      </x:c>
      <x:c r="C1914" s="18" t="n">
        <x:v>45807</x:v>
      </x:c>
      <x:c r="D1914" s="11" t="str">
        <x:v>2025-05</x:v>
      </x:c>
      <x:c r="E1914" s="11" t="str">
        <x:v>Central</x:v>
      </x:c>
      <x:c r="F1914" s="11" t="str">
        <x:v>Office Supplies</x:v>
      </x:c>
      <x:c r="G1914" s="11" t="str">
        <x:v>Notebook pack</x:v>
      </x:c>
      <x:c r="H1914" s="11" t="n">
        <x:v>2</x:v>
      </x:c>
      <x:c r="I1914" s="19" t="n">
        <x:v>0</x:v>
      </x:c>
      <x:c r="J1914" s="11" t="n">
        <x:v>0</x:v>
      </x:c>
      <x:c r="K1914" s="20" t="n">
        <x:v>36</x:v>
      </x:c>
      <x:c r="L1914" s="20" t="n">
        <x:v>0</x:v>
      </x:c>
      <x:c r="M1914" s="20" t="n">
        <x:v>14</x:v>
      </x:c>
      <x:c r="N1914" s="20" t="n">
        <x:f>IF(J1914=1,0,K1914-L1914)</x:f>
        <x:v>36</x:v>
      </x:c>
      <x:c r="O1914" s="20" t="n">
        <x:f>N1914-M1914</x:f>
        <x:v>22</x:v>
      </x:c>
    </x:row>
    <x:row r="1915" ht="22" customHeight="1">
      <x:c r="A1915" s="11" t="n">
        <x:v>1911</x:v>
      </x:c>
      <x:c r="B1915" s="11" t="n">
        <x:v>968</x:v>
      </x:c>
      <x:c r="C1915" s="18" t="n">
        <x:v>45807</x:v>
      </x:c>
      <x:c r="D1915" s="11" t="str">
        <x:v>2025-05</x:v>
      </x:c>
      <x:c r="E1915" s="11" t="str">
        <x:v>Central</x:v>
      </x:c>
      <x:c r="F1915" s="11" t="str">
        <x:v>Technology</x:v>
      </x:c>
      <x:c r="G1915" s="11" t="str">
        <x:v>Keyboard</x:v>
      </x:c>
      <x:c r="H1915" s="11" t="n">
        <x:v>5</x:v>
      </x:c>
      <x:c r="I1915" s="19" t="n">
        <x:v>0.05</x:v>
      </x:c>
      <x:c r="J1915" s="11" t="n">
        <x:v>0</x:v>
      </x:c>
      <x:c r="K1915" s="20" t="n">
        <x:v>325</x:v>
      </x:c>
      <x:c r="L1915" s="20" t="n">
        <x:v>16.25</x:v>
      </x:c>
      <x:c r="M1915" s="20" t="n">
        <x:v>160</x:v>
      </x:c>
      <x:c r="N1915" s="20" t="n">
        <x:f>IF(J1915=1,0,K1915-L1915)</x:f>
        <x:v>308.75</x:v>
      </x:c>
      <x:c r="O1915" s="20" t="n">
        <x:f>N1915-M1915</x:f>
        <x:v>148.75</x:v>
      </x:c>
    </x:row>
    <x:row r="1916" ht="22" customHeight="1">
      <x:c r="A1916" s="11" t="n">
        <x:v>1912</x:v>
      </x:c>
      <x:c r="B1916" s="11" t="n">
        <x:v>968</x:v>
      </x:c>
      <x:c r="C1916" s="18" t="n">
        <x:v>45807</x:v>
      </x:c>
      <x:c r="D1916" s="11" t="str">
        <x:v>2025-05</x:v>
      </x:c>
      <x:c r="E1916" s="11" t="str">
        <x:v>Central</x:v>
      </x:c>
      <x:c r="F1916" s="11" t="str">
        <x:v>Furniture</x:v>
      </x:c>
      <x:c r="G1916" s="11" t="str">
        <x:v>Desk</x:v>
      </x:c>
      <x:c r="H1916" s="11" t="n">
        <x:v>2</x:v>
      </x:c>
      <x:c r="I1916" s="19" t="n">
        <x:v>0.1</x:v>
      </x:c>
      <x:c r="J1916" s="11" t="n">
        <x:v>0</x:v>
      </x:c>
      <x:c r="K1916" s="20" t="n">
        <x:v>560</x:v>
      </x:c>
      <x:c r="L1916" s="20" t="n">
        <x:v>56</x:v>
      </x:c>
      <x:c r="M1916" s="20" t="n">
        <x:v>380</x:v>
      </x:c>
      <x:c r="N1916" s="20" t="n">
        <x:f>IF(J1916=1,0,K1916-L1916)</x:f>
        <x:v>504</x:v>
      </x:c>
      <x:c r="O1916" s="20" t="n">
        <x:f>N1916-M1916</x:f>
        <x:v>124</x:v>
      </x:c>
    </x:row>
    <x:row r="1917" ht="22" customHeight="1">
      <x:c r="A1917" s="11" t="n">
        <x:v>1913</x:v>
      </x:c>
      <x:c r="B1917" s="11" t="n">
        <x:v>969</x:v>
      </x:c>
      <x:c r="C1917" s="18" t="n">
        <x:v>45966</x:v>
      </x:c>
      <x:c r="D1917" s="11" t="str">
        <x:v>2025-11</x:v>
      </x:c>
      <x:c r="E1917" s="11" t="str">
        <x:v>West</x:v>
      </x:c>
      <x:c r="F1917" s="11" t="str">
        <x:v>Office Supplies</x:v>
      </x:c>
      <x:c r="G1917" s="11" t="str">
        <x:v>Storage box</x:v>
      </x:c>
      <x:c r="H1917" s="11" t="n">
        <x:v>4</x:v>
      </x:c>
      <x:c r="I1917" s="19" t="n">
        <x:v>0.1</x:v>
      </x:c>
      <x:c r="J1917" s="11" t="n">
        <x:v>0</x:v>
      </x:c>
      <x:c r="K1917" s="20" t="n">
        <x:v>104</x:v>
      </x:c>
      <x:c r="L1917" s="20" t="n">
        <x:v>10.4</x:v>
      </x:c>
      <x:c r="M1917" s="20" t="n">
        <x:v>48</x:v>
      </x:c>
      <x:c r="N1917" s="20" t="n">
        <x:f>IF(J1917=1,0,K1917-L1917)</x:f>
        <x:v>93.6</x:v>
      </x:c>
      <x:c r="O1917" s="20" t="n">
        <x:f>N1917-M1917</x:f>
        <x:v>45.599999999999994</x:v>
      </x:c>
    </x:row>
    <x:row r="1918" ht="22" customHeight="1">
      <x:c r="A1918" s="11" t="n">
        <x:v>1914</x:v>
      </x:c>
      <x:c r="B1918" s="11" t="n">
        <x:v>970</x:v>
      </x:c>
      <x:c r="C1918" s="18" t="n">
        <x:v>45912</x:v>
      </x:c>
      <x:c r="D1918" s="11" t="str">
        <x:v>2025-09</x:v>
      </x:c>
      <x:c r="E1918" s="11" t="str">
        <x:v>Central</x:v>
      </x:c>
      <x:c r="F1918" s="11" t="str">
        <x:v>Office Supplies</x:v>
      </x:c>
      <x:c r="G1918" s="11" t="str">
        <x:v>Storage box</x:v>
      </x:c>
      <x:c r="H1918" s="11" t="n">
        <x:v>2</x:v>
      </x:c>
      <x:c r="I1918" s="19" t="n">
        <x:v>0.05</x:v>
      </x:c>
      <x:c r="J1918" s="11" t="n">
        <x:v>0</x:v>
      </x:c>
      <x:c r="K1918" s="20" t="n">
        <x:v>52</x:v>
      </x:c>
      <x:c r="L1918" s="20" t="n">
        <x:v>2.6</x:v>
      </x:c>
      <x:c r="M1918" s="20" t="n">
        <x:v>24</x:v>
      </x:c>
      <x:c r="N1918" s="20" t="n">
        <x:f>IF(J1918=1,0,K1918-L1918)</x:f>
        <x:v>49.4</x:v>
      </x:c>
      <x:c r="O1918" s="20" t="n">
        <x:f>N1918-M1918</x:f>
        <x:v>25.4</x:v>
      </x:c>
    </x:row>
    <x:row r="1919" ht="22" customHeight="1">
      <x:c r="A1919" s="11" t="n">
        <x:v>1915</x:v>
      </x:c>
      <x:c r="B1919" s="11" t="n">
        <x:v>970</x:v>
      </x:c>
      <x:c r="C1919" s="18" t="n">
        <x:v>45912</x:v>
      </x:c>
      <x:c r="D1919" s="11" t="str">
        <x:v>2025-09</x:v>
      </x:c>
      <x:c r="E1919" s="11" t="str">
        <x:v>Central</x:v>
      </x:c>
      <x:c r="F1919" s="11" t="str">
        <x:v>Office Supplies</x:v>
      </x:c>
      <x:c r="G1919" s="11" t="str">
        <x:v>Notebook pack</x:v>
      </x:c>
      <x:c r="H1919" s="11" t="n">
        <x:v>5</x:v>
      </x:c>
      <x:c r="I1919" s="19" t="n">
        <x:v>0.05</x:v>
      </x:c>
      <x:c r="J1919" s="11" t="n">
        <x:v>0</x:v>
      </x:c>
      <x:c r="K1919" s="20" t="n">
        <x:v>90</x:v>
      </x:c>
      <x:c r="L1919" s="20" t="n">
        <x:v>4.5</x:v>
      </x:c>
      <x:c r="M1919" s="20" t="n">
        <x:v>35</x:v>
      </x:c>
      <x:c r="N1919" s="20" t="n">
        <x:f>IF(J1919=1,0,K1919-L1919)</x:f>
        <x:v>85.5</x:v>
      </x:c>
      <x:c r="O1919" s="20" t="n">
        <x:f>N1919-M1919</x:f>
        <x:v>50.5</x:v>
      </x:c>
    </x:row>
    <x:row r="1920" ht="22" customHeight="1">
      <x:c r="A1920" s="11" t="n">
        <x:v>1916</x:v>
      </x:c>
      <x:c r="B1920" s="11" t="n">
        <x:v>970</x:v>
      </x:c>
      <x:c r="C1920" s="18" t="n">
        <x:v>45912</x:v>
      </x:c>
      <x:c r="D1920" s="11" t="str">
        <x:v>2025-09</x:v>
      </x:c>
      <x:c r="E1920" s="11" t="str">
        <x:v>Central</x:v>
      </x:c>
      <x:c r="F1920" s="11" t="str">
        <x:v>Technology</x:v>
      </x:c>
      <x:c r="G1920" s="11" t="str">
        <x:v>Monitor</x:v>
      </x:c>
      <x:c r="H1920" s="11" t="n">
        <x:v>4</x:v>
      </x:c>
      <x:c r="I1920" s="19" t="n">
        <x:v>0</x:v>
      </x:c>
      <x:c r="J1920" s="11" t="n">
        <x:v>1</x:v>
      </x:c>
      <x:c r="K1920" s="20" t="n">
        <x:v>960</x:v>
      </x:c>
      <x:c r="L1920" s="20" t="n">
        <x:v>0</x:v>
      </x:c>
      <x:c r="M1920" s="20" t="n">
        <x:v>0</x:v>
      </x:c>
      <x:c r="N1920" s="20" t="n">
        <x:f>IF(J1920=1,0,K1920-L1920)</x:f>
        <x:v>0</x:v>
      </x:c>
      <x:c r="O1920" s="20" t="n">
        <x:f>N1920-M1920</x:f>
        <x:v>0</x:v>
      </x:c>
    </x:row>
    <x:row r="1921" ht="22" customHeight="1">
      <x:c r="A1921" s="11" t="n">
        <x:v>1917</x:v>
      </x:c>
      <x:c r="B1921" s="11" t="n">
        <x:v>971</x:v>
      </x:c>
      <x:c r="C1921" s="18" t="n">
        <x:v>45454</x:v>
      </x:c>
      <x:c r="D1921" s="11" t="str">
        <x:v>2024-06</x:v>
      </x:c>
      <x:c r="E1921" s="11" t="str">
        <x:v>West</x:v>
      </x:c>
      <x:c r="F1921" s="11" t="str">
        <x:v>Furniture</x:v>
      </x:c>
      <x:c r="G1921" s="11" t="str">
        <x:v>Desk</x:v>
      </x:c>
      <x:c r="H1921" s="11" t="n">
        <x:v>3</x:v>
      </x:c>
      <x:c r="I1921" s="19" t="n">
        <x:v>0.05</x:v>
      </x:c>
      <x:c r="J1921" s="11" t="n">
        <x:v>0</x:v>
      </x:c>
      <x:c r="K1921" s="20" t="n">
        <x:v>840</x:v>
      </x:c>
      <x:c r="L1921" s="20" t="n">
        <x:v>42</x:v>
      </x:c>
      <x:c r="M1921" s="20" t="n">
        <x:v>570</x:v>
      </x:c>
      <x:c r="N1921" s="20" t="n">
        <x:f>IF(J1921=1,0,K1921-L1921)</x:f>
        <x:v>798</x:v>
      </x:c>
      <x:c r="O1921" s="20" t="n">
        <x:f>N1921-M1921</x:f>
        <x:v>228</x:v>
      </x:c>
    </x:row>
    <x:row r="1922" ht="22" customHeight="1">
      <x:c r="A1922" s="11" t="n">
        <x:v>1918</x:v>
      </x:c>
      <x:c r="B1922" s="11" t="n">
        <x:v>971</x:v>
      </x:c>
      <x:c r="C1922" s="18" t="n">
        <x:v>45454</x:v>
      </x:c>
      <x:c r="D1922" s="11" t="str">
        <x:v>2024-06</x:v>
      </x:c>
      <x:c r="E1922" s="11" t="str">
        <x:v>West</x:v>
      </x:c>
      <x:c r="F1922" s="11" t="str">
        <x:v>Technology</x:v>
      </x:c>
      <x:c r="G1922" s="11" t="str">
        <x:v>Keyboard</x:v>
      </x:c>
      <x:c r="H1922" s="11" t="n">
        <x:v>2</x:v>
      </x:c>
      <x:c r="I1922" s="19" t="n">
        <x:v>0</x:v>
      </x:c>
      <x:c r="J1922" s="11" t="n">
        <x:v>0</x:v>
      </x:c>
      <x:c r="K1922" s="20" t="n">
        <x:v>130</x:v>
      </x:c>
      <x:c r="L1922" s="20" t="n">
        <x:v>0</x:v>
      </x:c>
      <x:c r="M1922" s="20" t="n">
        <x:v>64</x:v>
      </x:c>
      <x:c r="N1922" s="20" t="n">
        <x:f>IF(J1922=1,0,K1922-L1922)</x:f>
        <x:v>130</x:v>
      </x:c>
      <x:c r="O1922" s="20" t="n">
        <x:f>N1922-M1922</x:f>
        <x:v>66</x:v>
      </x:c>
    </x:row>
    <x:row r="1923" ht="22" customHeight="1">
      <x:c r="A1923" s="11" t="n">
        <x:v>1919</x:v>
      </x:c>
      <x:c r="B1923" s="11" t="n">
        <x:v>971</x:v>
      </x:c>
      <x:c r="C1923" s="18" t="n">
        <x:v>45454</x:v>
      </x:c>
      <x:c r="D1923" s="11" t="str">
        <x:v>2024-06</x:v>
      </x:c>
      <x:c r="E1923" s="11" t="str">
        <x:v>West</x:v>
      </x:c>
      <x:c r="F1923" s="11" t="str">
        <x:v>Office Supplies</x:v>
      </x:c>
      <x:c r="G1923" s="11" t="str">
        <x:v>Notebook pack</x:v>
      </x:c>
      <x:c r="H1923" s="11" t="n">
        <x:v>2</x:v>
      </x:c>
      <x:c r="I1923" s="19" t="n">
        <x:v>0.1</x:v>
      </x:c>
      <x:c r="J1923" s="11" t="n">
        <x:v>0</x:v>
      </x:c>
      <x:c r="K1923" s="20" t="n">
        <x:v>36</x:v>
      </x:c>
      <x:c r="L1923" s="20" t="n">
        <x:v>3.6</x:v>
      </x:c>
      <x:c r="M1923" s="20" t="n">
        <x:v>14</x:v>
      </x:c>
      <x:c r="N1923" s="20" t="n">
        <x:f>IF(J1923=1,0,K1923-L1923)</x:f>
        <x:v>32.4</x:v>
      </x:c>
      <x:c r="O1923" s="20" t="n">
        <x:f>N1923-M1923</x:f>
        <x:v>18.4</x:v>
      </x:c>
    </x:row>
    <x:row r="1924" ht="22" customHeight="1">
      <x:c r="A1924" s="11" t="n">
        <x:v>1920</x:v>
      </x:c>
      <x:c r="B1924" s="11" t="n">
        <x:v>972</x:v>
      </x:c>
      <x:c r="C1924" s="18" t="n">
        <x:v>45722</x:v>
      </x:c>
      <x:c r="D1924" s="11" t="str">
        <x:v>2025-03</x:v>
      </x:c>
      <x:c r="E1924" s="11" t="str">
        <x:v>Central</x:v>
      </x:c>
      <x:c r="F1924" s="11" t="str">
        <x:v>Technology</x:v>
      </x:c>
      <x:c r="G1924" s="11" t="str">
        <x:v>Monitor</x:v>
      </x:c>
      <x:c r="H1924" s="11" t="n">
        <x:v>1</x:v>
      </x:c>
      <x:c r="I1924" s="19" t="n">
        <x:v>0.1</x:v>
      </x:c>
      <x:c r="J1924" s="11" t="n">
        <x:v>0</x:v>
      </x:c>
      <x:c r="K1924" s="20" t="n">
        <x:v>240</x:v>
      </x:c>
      <x:c r="L1924" s="20" t="n">
        <x:v>24</x:v>
      </x:c>
      <x:c r="M1924" s="20" t="n">
        <x:v>160</x:v>
      </x:c>
      <x:c r="N1924" s="20" t="n">
        <x:f>IF(J1924=1,0,K1924-L1924)</x:f>
        <x:v>216</x:v>
      </x:c>
      <x:c r="O1924" s="20" t="n">
        <x:f>N1924-M1924</x:f>
        <x:v>56</x:v>
      </x:c>
    </x:row>
    <x:row r="1925" ht="22" customHeight="1">
      <x:c r="A1925" s="11" t="n">
        <x:v>1921</x:v>
      </x:c>
      <x:c r="B1925" s="11" t="n">
        <x:v>972</x:v>
      </x:c>
      <x:c r="C1925" s="18" t="n">
        <x:v>45722</x:v>
      </x:c>
      <x:c r="D1925" s="11" t="str">
        <x:v>2025-03</x:v>
      </x:c>
      <x:c r="E1925" s="11" t="str">
        <x:v>Central</x:v>
      </x:c>
      <x:c r="F1925" s="11" t="str">
        <x:v>Furniture</x:v>
      </x:c>
      <x:c r="G1925" s="11" t="str">
        <x:v>Desk</x:v>
      </x:c>
      <x:c r="H1925" s="11" t="n">
        <x:v>5</x:v>
      </x:c>
      <x:c r="I1925" s="19" t="n">
        <x:v>0</x:v>
      </x:c>
      <x:c r="J1925" s="11" t="n">
        <x:v>0</x:v>
      </x:c>
      <x:c r="K1925" s="20" t="n">
        <x:v>1400</x:v>
      </x:c>
      <x:c r="L1925" s="20" t="n">
        <x:v>0</x:v>
      </x:c>
      <x:c r="M1925" s="20" t="n">
        <x:v>950</x:v>
      </x:c>
      <x:c r="N1925" s="20" t="n">
        <x:f>IF(J1925=1,0,K1925-L1925)</x:f>
        <x:v>1400</x:v>
      </x:c>
      <x:c r="O1925" s="20" t="n">
        <x:f>N1925-M1925</x:f>
        <x:v>450</x:v>
      </x:c>
    </x:row>
    <x:row r="1926" ht="22" customHeight="1">
      <x:c r="A1926" s="11" t="n">
        <x:v>1922</x:v>
      </x:c>
      <x:c r="B1926" s="11" t="n">
        <x:v>972</x:v>
      </x:c>
      <x:c r="C1926" s="18" t="n">
        <x:v>45722</x:v>
      </x:c>
      <x:c r="D1926" s="11" t="str">
        <x:v>2025-03</x:v>
      </x:c>
      <x:c r="E1926" s="11" t="str">
        <x:v>Central</x:v>
      </x:c>
      <x:c r="F1926" s="11" t="str">
        <x:v>Office Supplies</x:v>
      </x:c>
      <x:c r="G1926" s="11" t="str">
        <x:v>Notebook pack</x:v>
      </x:c>
      <x:c r="H1926" s="11" t="n">
        <x:v>3</x:v>
      </x:c>
      <x:c r="I1926" s="19" t="n">
        <x:v>0</x:v>
      </x:c>
      <x:c r="J1926" s="11" t="n">
        <x:v>0</x:v>
      </x:c>
      <x:c r="K1926" s="20" t="n">
        <x:v>54</x:v>
      </x:c>
      <x:c r="L1926" s="20" t="n">
        <x:v>0</x:v>
      </x:c>
      <x:c r="M1926" s="20" t="n">
        <x:v>21</x:v>
      </x:c>
      <x:c r="N1926" s="20" t="n">
        <x:f>IF(J1926=1,0,K1926-L1926)</x:f>
        <x:v>54</x:v>
      </x:c>
      <x:c r="O1926" s="20" t="n">
        <x:f>N1926-M1926</x:f>
        <x:v>33</x:v>
      </x:c>
    </x:row>
    <x:row r="1927" ht="22" customHeight="1">
      <x:c r="A1927" s="11" t="n">
        <x:v>1923</x:v>
      </x:c>
      <x:c r="B1927" s="11" t="n">
        <x:v>973</x:v>
      </x:c>
      <x:c r="C1927" s="18" t="n">
        <x:v>45678</x:v>
      </x:c>
      <x:c r="D1927" s="11" t="str">
        <x:v>2025-01</x:v>
      </x:c>
      <x:c r="E1927" s="11" t="str">
        <x:v>East</x:v>
      </x:c>
      <x:c r="F1927" s="11" t="str">
        <x:v>Technology</x:v>
      </x:c>
      <x:c r="G1927" s="11" t="str">
        <x:v>Monitor</x:v>
      </x:c>
      <x:c r="H1927" s="11" t="n">
        <x:v>4</x:v>
      </x:c>
      <x:c r="I1927" s="19" t="n">
        <x:v>0.1</x:v>
      </x:c>
      <x:c r="J1927" s="11" t="n">
        <x:v>0</x:v>
      </x:c>
      <x:c r="K1927" s="20" t="n">
        <x:v>960</x:v>
      </x:c>
      <x:c r="L1927" s="20" t="n">
        <x:v>96</x:v>
      </x:c>
      <x:c r="M1927" s="20" t="n">
        <x:v>640</x:v>
      </x:c>
      <x:c r="N1927" s="20" t="n">
        <x:f>IF(J1927=1,0,K1927-L1927)</x:f>
        <x:v>864</x:v>
      </x:c>
      <x:c r="O1927" s="20" t="n">
        <x:f>N1927-M1927</x:f>
        <x:v>224</x:v>
      </x:c>
    </x:row>
    <x:row r="1928" ht="22" customHeight="1">
      <x:c r="A1928" s="11" t="n">
        <x:v>1924</x:v>
      </x:c>
      <x:c r="B1928" s="11" t="n">
        <x:v>974</x:v>
      </x:c>
      <x:c r="C1928" s="18" t="n">
        <x:v>45522</x:v>
      </x:c>
      <x:c r="D1928" s="11" t="str">
        <x:v>2024-08</x:v>
      </x:c>
      <x:c r="E1928" s="11" t="str">
        <x:v>Central</x:v>
      </x:c>
      <x:c r="F1928" s="11" t="str">
        <x:v>Office Supplies</x:v>
      </x:c>
      <x:c r="G1928" s="11" t="str">
        <x:v>Notebook pack</x:v>
      </x:c>
      <x:c r="H1928" s="11" t="n">
        <x:v>1</x:v>
      </x:c>
      <x:c r="I1928" s="19" t="n">
        <x:v>0.15</x:v>
      </x:c>
      <x:c r="J1928" s="11" t="n">
        <x:v>1</x:v>
      </x:c>
      <x:c r="K1928" s="20" t="n">
        <x:v>18</x:v>
      </x:c>
      <x:c r="L1928" s="20" t="n">
        <x:v>2.7</x:v>
      </x:c>
      <x:c r="M1928" s="20" t="n">
        <x:v>0</x:v>
      </x:c>
      <x:c r="N1928" s="20" t="n">
        <x:f>IF(J1928=1,0,K1928-L1928)</x:f>
        <x:v>0</x:v>
      </x:c>
      <x:c r="O1928" s="20" t="n">
        <x:f>N1928-M1928</x:f>
        <x:v>0</x:v>
      </x:c>
    </x:row>
    <x:row r="1929" ht="22" customHeight="1">
      <x:c r="A1929" s="11" t="n">
        <x:v>1925</x:v>
      </x:c>
      <x:c r="B1929" s="11" t="n">
        <x:v>974</x:v>
      </x:c>
      <x:c r="C1929" s="18" t="n">
        <x:v>45522</x:v>
      </x:c>
      <x:c r="D1929" s="11" t="str">
        <x:v>2024-08</x:v>
      </x:c>
      <x:c r="E1929" s="11" t="str">
        <x:v>Central</x:v>
      </x:c>
      <x:c r="F1929" s="11" t="str">
        <x:v>Furniture</x:v>
      </x:c>
      <x:c r="G1929" s="11" t="str">
        <x:v>Chair</x:v>
      </x:c>
      <x:c r="H1929" s="11" t="n">
        <x:v>1</x:v>
      </x:c>
      <x:c r="I1929" s="19" t="n">
        <x:v>0.05</x:v>
      </x:c>
      <x:c r="J1929" s="11" t="n">
        <x:v>1</x:v>
      </x:c>
      <x:c r="K1929" s="20" t="n">
        <x:v>170</x:v>
      </x:c>
      <x:c r="L1929" s="20" t="n">
        <x:v>8.5</x:v>
      </x:c>
      <x:c r="M1929" s="20" t="n">
        <x:v>0</x:v>
      </x:c>
      <x:c r="N1929" s="20" t="n">
        <x:f>IF(J1929=1,0,K1929-L1929)</x:f>
        <x:v>0</x:v>
      </x:c>
      <x:c r="O1929" s="20" t="n">
        <x:f>N1929-M1929</x:f>
        <x:v>0</x:v>
      </x:c>
    </x:row>
    <x:row r="1930" ht="22" customHeight="1">
      <x:c r="A1930" s="11" t="n">
        <x:v>1926</x:v>
      </x:c>
      <x:c r="B1930" s="11" t="n">
        <x:v>975</x:v>
      </x:c>
      <x:c r="C1930" s="18" t="n">
        <x:v>45435</x:v>
      </x:c>
      <x:c r="D1930" s="11" t="str">
        <x:v>2024-05</x:v>
      </x:c>
      <x:c r="E1930" s="11" t="str">
        <x:v>Central</x:v>
      </x:c>
      <x:c r="F1930" s="11" t="str">
        <x:v>Office Supplies</x:v>
      </x:c>
      <x:c r="G1930" s="11" t="str">
        <x:v>Notebook pack</x:v>
      </x:c>
      <x:c r="H1930" s="11" t="n">
        <x:v>1</x:v>
      </x:c>
      <x:c r="I1930" s="19" t="n">
        <x:v>0.05</x:v>
      </x:c>
      <x:c r="J1930" s="11" t="n">
        <x:v>0</x:v>
      </x:c>
      <x:c r="K1930" s="20" t="n">
        <x:v>18</x:v>
      </x:c>
      <x:c r="L1930" s="20" t="n">
        <x:v>0.9</x:v>
      </x:c>
      <x:c r="M1930" s="20" t="n">
        <x:v>7</x:v>
      </x:c>
      <x:c r="N1930" s="20" t="n">
        <x:f>IF(J1930=1,0,K1930-L1930)</x:f>
        <x:v>17.1</x:v>
      </x:c>
      <x:c r="O1930" s="20" t="n">
        <x:f>N1930-M1930</x:f>
        <x:v>10.100000000000001</x:v>
      </x:c>
    </x:row>
    <x:row r="1931" ht="22" customHeight="1">
      <x:c r="A1931" s="11" t="n">
        <x:v>1927</x:v>
      </x:c>
      <x:c r="B1931" s="11" t="n">
        <x:v>975</x:v>
      </x:c>
      <x:c r="C1931" s="18" t="n">
        <x:v>45435</x:v>
      </x:c>
      <x:c r="D1931" s="11" t="str">
        <x:v>2024-05</x:v>
      </x:c>
      <x:c r="E1931" s="11" t="str">
        <x:v>Central</x:v>
      </x:c>
      <x:c r="F1931" s="11" t="str">
        <x:v>Office Supplies</x:v>
      </x:c>
      <x:c r="G1931" s="11" t="str">
        <x:v>Storage box</x:v>
      </x:c>
      <x:c r="H1931" s="11" t="n">
        <x:v>5</x:v>
      </x:c>
      <x:c r="I1931" s="19" t="n">
        <x:v>0.1</x:v>
      </x:c>
      <x:c r="J1931" s="11" t="n">
        <x:v>0</x:v>
      </x:c>
      <x:c r="K1931" s="20" t="n">
        <x:v>130</x:v>
      </x:c>
      <x:c r="L1931" s="20" t="n">
        <x:v>13</x:v>
      </x:c>
      <x:c r="M1931" s="20" t="n">
        <x:v>60</x:v>
      </x:c>
      <x:c r="N1931" s="20" t="n">
        <x:f>IF(J1931=1,0,K1931-L1931)</x:f>
        <x:v>117</x:v>
      </x:c>
      <x:c r="O1931" s="20" t="n">
        <x:f>N1931-M1931</x:f>
        <x:v>57</x:v>
      </x:c>
    </x:row>
    <x:row r="1932" ht="22" customHeight="1">
      <x:c r="A1932" s="11" t="n">
        <x:v>1928</x:v>
      </x:c>
      <x:c r="B1932" s="11" t="n">
        <x:v>976</x:v>
      </x:c>
      <x:c r="C1932" s="18" t="n">
        <x:v>45504</x:v>
      </x:c>
      <x:c r="D1932" s="11" t="str">
        <x:v>2024-07</x:v>
      </x:c>
      <x:c r="E1932" s="11" t="str">
        <x:v>Central</x:v>
      </x:c>
      <x:c r="F1932" s="11" t="str">
        <x:v>Technology</x:v>
      </x:c>
      <x:c r="G1932" s="11" t="str">
        <x:v>Monitor</x:v>
      </x:c>
      <x:c r="H1932" s="11" t="n">
        <x:v>1</x:v>
      </x:c>
      <x:c r="I1932" s="19" t="n">
        <x:v>0.1</x:v>
      </x:c>
      <x:c r="J1932" s="11" t="n">
        <x:v>0</x:v>
      </x:c>
      <x:c r="K1932" s="20" t="n">
        <x:v>240</x:v>
      </x:c>
      <x:c r="L1932" s="20" t="n">
        <x:v>24</x:v>
      </x:c>
      <x:c r="M1932" s="20" t="n">
        <x:v>160</x:v>
      </x:c>
      <x:c r="N1932" s="20" t="n">
        <x:f>IF(J1932=1,0,K1932-L1932)</x:f>
        <x:v>216</x:v>
      </x:c>
      <x:c r="O1932" s="20" t="n">
        <x:f>N1932-M1932</x:f>
        <x:v>56</x:v>
      </x:c>
    </x:row>
    <x:row r="1933" ht="22" customHeight="1">
      <x:c r="A1933" s="11" t="n">
        <x:v>1929</x:v>
      </x:c>
      <x:c r="B1933" s="11" t="n">
        <x:v>976</x:v>
      </x:c>
      <x:c r="C1933" s="18" t="n">
        <x:v>45504</x:v>
      </x:c>
      <x:c r="D1933" s="11" t="str">
        <x:v>2024-07</x:v>
      </x:c>
      <x:c r="E1933" s="11" t="str">
        <x:v>Central</x:v>
      </x:c>
      <x:c r="F1933" s="11" t="str">
        <x:v>Office Supplies</x:v>
      </x:c>
      <x:c r="G1933" s="11" t="str">
        <x:v>Storage box</x:v>
      </x:c>
      <x:c r="H1933" s="11" t="n">
        <x:v>4</x:v>
      </x:c>
      <x:c r="I1933" s="19" t="n">
        <x:v>0</x:v>
      </x:c>
      <x:c r="J1933" s="11" t="n">
        <x:v>0</x:v>
      </x:c>
      <x:c r="K1933" s="20" t="n">
        <x:v>104</x:v>
      </x:c>
      <x:c r="L1933" s="20" t="n">
        <x:v>0</x:v>
      </x:c>
      <x:c r="M1933" s="20" t="n">
        <x:v>48</x:v>
      </x:c>
      <x:c r="N1933" s="20" t="n">
        <x:f>IF(J1933=1,0,K1933-L1933)</x:f>
        <x:v>104</x:v>
      </x:c>
      <x:c r="O1933" s="20" t="n">
        <x:f>N1933-M1933</x:f>
        <x:v>56</x:v>
      </x:c>
    </x:row>
    <x:row r="1934" ht="22" customHeight="1">
      <x:c r="A1934" s="11" t="n">
        <x:v>1930</x:v>
      </x:c>
      <x:c r="B1934" s="11" t="n">
        <x:v>976</x:v>
      </x:c>
      <x:c r="C1934" s="18" t="n">
        <x:v>45504</x:v>
      </x:c>
      <x:c r="D1934" s="11" t="str">
        <x:v>2024-07</x:v>
      </x:c>
      <x:c r="E1934" s="11" t="str">
        <x:v>Central</x:v>
      </x:c>
      <x:c r="F1934" s="11" t="str">
        <x:v>Furniture</x:v>
      </x:c>
      <x:c r="G1934" s="11" t="str">
        <x:v>Chair</x:v>
      </x:c>
      <x:c r="H1934" s="11" t="n">
        <x:v>2</x:v>
      </x:c>
      <x:c r="I1934" s="19" t="n">
        <x:v>0.1</x:v>
      </x:c>
      <x:c r="J1934" s="11" t="n">
        <x:v>0</x:v>
      </x:c>
      <x:c r="K1934" s="20" t="n">
        <x:v>340</x:v>
      </x:c>
      <x:c r="L1934" s="20" t="n">
        <x:v>34</x:v>
      </x:c>
      <x:c r="M1934" s="20" t="n">
        <x:v>220</x:v>
      </x:c>
      <x:c r="N1934" s="20" t="n">
        <x:f>IF(J1934=1,0,K1934-L1934)</x:f>
        <x:v>306</x:v>
      </x:c>
      <x:c r="O1934" s="20" t="n">
        <x:f>N1934-M1934</x:f>
        <x:v>86</x:v>
      </x:c>
    </x:row>
    <x:row r="1935" ht="22" customHeight="1">
      <x:c r="A1935" s="11" t="n">
        <x:v>1931</x:v>
      </x:c>
      <x:c r="B1935" s="11" t="n">
        <x:v>977</x:v>
      </x:c>
      <x:c r="C1935" s="18" t="n">
        <x:v>45802</x:v>
      </x:c>
      <x:c r="D1935" s="11" t="str">
        <x:v>2025-05</x:v>
      </x:c>
      <x:c r="E1935" s="11" t="str">
        <x:v>West</x:v>
      </x:c>
      <x:c r="F1935" s="11" t="str">
        <x:v>Office Supplies</x:v>
      </x:c>
      <x:c r="G1935" s="11" t="str">
        <x:v>Notebook pack</x:v>
      </x:c>
      <x:c r="H1935" s="11" t="n">
        <x:v>2</x:v>
      </x:c>
      <x:c r="I1935" s="19" t="n">
        <x:v>0.05</x:v>
      </x:c>
      <x:c r="J1935" s="11" t="n">
        <x:v>0</x:v>
      </x:c>
      <x:c r="K1935" s="20" t="n">
        <x:v>36</x:v>
      </x:c>
      <x:c r="L1935" s="20" t="n">
        <x:v>1.8</x:v>
      </x:c>
      <x:c r="M1935" s="20" t="n">
        <x:v>14</x:v>
      </x:c>
      <x:c r="N1935" s="20" t="n">
        <x:f>IF(J1935=1,0,K1935-L1935)</x:f>
        <x:v>34.2</x:v>
      </x:c>
      <x:c r="O1935" s="20" t="n">
        <x:f>N1935-M1935</x:f>
        <x:v>20.200000000000003</x:v>
      </x:c>
    </x:row>
    <x:row r="1936" ht="22" customHeight="1">
      <x:c r="A1936" s="11" t="n">
        <x:v>1932</x:v>
      </x:c>
      <x:c r="B1936" s="11" t="n">
        <x:v>977</x:v>
      </x:c>
      <x:c r="C1936" s="18" t="n">
        <x:v>45802</x:v>
      </x:c>
      <x:c r="D1936" s="11" t="str">
        <x:v>2025-05</x:v>
      </x:c>
      <x:c r="E1936" s="11" t="str">
        <x:v>West</x:v>
      </x:c>
      <x:c r="F1936" s="11" t="str">
        <x:v>Technology</x:v>
      </x:c>
      <x:c r="G1936" s="11" t="str">
        <x:v>Monitor</x:v>
      </x:c>
      <x:c r="H1936" s="11" t="n">
        <x:v>3</x:v>
      </x:c>
      <x:c r="I1936" s="19" t="n">
        <x:v>0.1</x:v>
      </x:c>
      <x:c r="J1936" s="11" t="n">
        <x:v>0</x:v>
      </x:c>
      <x:c r="K1936" s="20" t="n">
        <x:v>720</x:v>
      </x:c>
      <x:c r="L1936" s="20" t="n">
        <x:v>72</x:v>
      </x:c>
      <x:c r="M1936" s="20" t="n">
        <x:v>480</x:v>
      </x:c>
      <x:c r="N1936" s="20" t="n">
        <x:f>IF(J1936=1,0,K1936-L1936)</x:f>
        <x:v>648</x:v>
      </x:c>
      <x:c r="O1936" s="20" t="n">
        <x:f>N1936-M1936</x:f>
        <x:v>168</x:v>
      </x:c>
    </x:row>
    <x:row r="1937" ht="22" customHeight="1">
      <x:c r="A1937" s="11" t="n">
        <x:v>1933</x:v>
      </x:c>
      <x:c r="B1937" s="11" t="n">
        <x:v>977</x:v>
      </x:c>
      <x:c r="C1937" s="18" t="n">
        <x:v>45802</x:v>
      </x:c>
      <x:c r="D1937" s="11" t="str">
        <x:v>2025-05</x:v>
      </x:c>
      <x:c r="E1937" s="11" t="str">
        <x:v>West</x:v>
      </x:c>
      <x:c r="F1937" s="11" t="str">
        <x:v>Furniture</x:v>
      </x:c>
      <x:c r="G1937" s="11" t="str">
        <x:v>Desk</x:v>
      </x:c>
      <x:c r="H1937" s="11" t="n">
        <x:v>1</x:v>
      </x:c>
      <x:c r="I1937" s="19" t="n">
        <x:v>0</x:v>
      </x:c>
      <x:c r="J1937" s="11" t="n">
        <x:v>0</x:v>
      </x:c>
      <x:c r="K1937" s="20" t="n">
        <x:v>280</x:v>
      </x:c>
      <x:c r="L1937" s="20" t="n">
        <x:v>0</x:v>
      </x:c>
      <x:c r="M1937" s="20" t="n">
        <x:v>190</x:v>
      </x:c>
      <x:c r="N1937" s="20" t="n">
        <x:f>IF(J1937=1,0,K1937-L1937)</x:f>
        <x:v>280</x:v>
      </x:c>
      <x:c r="O1937" s="20" t="n">
        <x:f>N1937-M1937</x:f>
        <x:v>90</x:v>
      </x:c>
    </x:row>
    <x:row r="1938" ht="22" customHeight="1">
      <x:c r="A1938" s="11" t="n">
        <x:v>1934</x:v>
      </x:c>
      <x:c r="B1938" s="11" t="n">
        <x:v>978</x:v>
      </x:c>
      <x:c r="C1938" s="18" t="n">
        <x:v>45368</x:v>
      </x:c>
      <x:c r="D1938" s="11" t="str">
        <x:v>2024-03</x:v>
      </x:c>
      <x:c r="E1938" s="11" t="str">
        <x:v>East</x:v>
      </x:c>
      <x:c r="F1938" s="11" t="str">
        <x:v>Office Supplies</x:v>
      </x:c>
      <x:c r="G1938" s="11" t="str">
        <x:v>Notebook pack</x:v>
      </x:c>
      <x:c r="H1938" s="11" t="n">
        <x:v>4</x:v>
      </x:c>
      <x:c r="I1938" s="19" t="n">
        <x:v>0.15</x:v>
      </x:c>
      <x:c r="J1938" s="11" t="n">
        <x:v>1</x:v>
      </x:c>
      <x:c r="K1938" s="20" t="n">
        <x:v>72</x:v>
      </x:c>
      <x:c r="L1938" s="20" t="n">
        <x:v>10.8</x:v>
      </x:c>
      <x:c r="M1938" s="20" t="n">
        <x:v>0</x:v>
      </x:c>
      <x:c r="N1938" s="20" t="n">
        <x:f>IF(J1938=1,0,K1938-L1938)</x:f>
        <x:v>0</x:v>
      </x:c>
      <x:c r="O1938" s="20" t="n">
        <x:f>N1938-M1938</x:f>
        <x:v>0</x:v>
      </x:c>
    </x:row>
    <x:row r="1939" ht="22" customHeight="1">
      <x:c r="A1939" s="11" t="n">
        <x:v>1935</x:v>
      </x:c>
      <x:c r="B1939" s="11" t="n">
        <x:v>978</x:v>
      </x:c>
      <x:c r="C1939" s="18" t="n">
        <x:v>45368</x:v>
      </x:c>
      <x:c r="D1939" s="11" t="str">
        <x:v>2024-03</x:v>
      </x:c>
      <x:c r="E1939" s="11" t="str">
        <x:v>East</x:v>
      </x:c>
      <x:c r="F1939" s="11" t="str">
        <x:v>Office Supplies</x:v>
      </x:c>
      <x:c r="G1939" s="11" t="str">
        <x:v>Storage box</x:v>
      </x:c>
      <x:c r="H1939" s="11" t="n">
        <x:v>1</x:v>
      </x:c>
      <x:c r="I1939" s="19" t="n">
        <x:v>0.15</x:v>
      </x:c>
      <x:c r="J1939" s="11" t="n">
        <x:v>0</x:v>
      </x:c>
      <x:c r="K1939" s="20" t="n">
        <x:v>26</x:v>
      </x:c>
      <x:c r="L1939" s="20" t="n">
        <x:v>3.9</x:v>
      </x:c>
      <x:c r="M1939" s="20" t="n">
        <x:v>12</x:v>
      </x:c>
      <x:c r="N1939" s="20" t="n">
        <x:f>IF(J1939=1,0,K1939-L1939)</x:f>
        <x:v>22.1</x:v>
      </x:c>
      <x:c r="O1939" s="20" t="n">
        <x:f>N1939-M1939</x:f>
        <x:v>10.100000000000001</x:v>
      </x:c>
    </x:row>
    <x:row r="1940" ht="22" customHeight="1">
      <x:c r="A1940" s="11" t="n">
        <x:v>1936</x:v>
      </x:c>
      <x:c r="B1940" s="11" t="n">
        <x:v>978</x:v>
      </x:c>
      <x:c r="C1940" s="18" t="n">
        <x:v>45368</x:v>
      </x:c>
      <x:c r="D1940" s="11" t="str">
        <x:v>2024-03</x:v>
      </x:c>
      <x:c r="E1940" s="11" t="str">
        <x:v>East</x:v>
      </x:c>
      <x:c r="F1940" s="11" t="str">
        <x:v>Technology</x:v>
      </x:c>
      <x:c r="G1940" s="11" t="str">
        <x:v>Monitor</x:v>
      </x:c>
      <x:c r="H1940" s="11" t="n">
        <x:v>3</x:v>
      </x:c>
      <x:c r="I1940" s="19" t="n">
        <x:v>0</x:v>
      </x:c>
      <x:c r="J1940" s="11" t="n">
        <x:v>1</x:v>
      </x:c>
      <x:c r="K1940" s="20" t="n">
        <x:v>720</x:v>
      </x:c>
      <x:c r="L1940" s="20" t="n">
        <x:v>0</x:v>
      </x:c>
      <x:c r="M1940" s="20" t="n">
        <x:v>0</x:v>
      </x:c>
      <x:c r="N1940" s="20" t="n">
        <x:f>IF(J1940=1,0,K1940-L1940)</x:f>
        <x:v>0</x:v>
      </x:c>
      <x:c r="O1940" s="20" t="n">
        <x:f>N1940-M1940</x:f>
        <x:v>0</x:v>
      </x:c>
    </x:row>
    <x:row r="1941" ht="22" customHeight="1">
      <x:c r="A1941" s="11" t="n">
        <x:v>1937</x:v>
      </x:c>
      <x:c r="B1941" s="11" t="n">
        <x:v>979</x:v>
      </x:c>
      <x:c r="C1941" s="18" t="n">
        <x:v>45723</x:v>
      </x:c>
      <x:c r="D1941" s="11" t="str">
        <x:v>2025-03</x:v>
      </x:c>
      <x:c r="E1941" s="11" t="str">
        <x:v>East</x:v>
      </x:c>
      <x:c r="F1941" s="11" t="str">
        <x:v>Furniture</x:v>
      </x:c>
      <x:c r="G1941" s="11" t="str">
        <x:v>Desk</x:v>
      </x:c>
      <x:c r="H1941" s="11" t="n">
        <x:v>2</x:v>
      </x:c>
      <x:c r="I1941" s="19" t="n">
        <x:v>0.15</x:v>
      </x:c>
      <x:c r="J1941" s="11" t="n">
        <x:v>0</x:v>
      </x:c>
      <x:c r="K1941" s="20" t="n">
        <x:v>560</x:v>
      </x:c>
      <x:c r="L1941" s="20" t="n">
        <x:v>84</x:v>
      </x:c>
      <x:c r="M1941" s="20" t="n">
        <x:v>380</x:v>
      </x:c>
      <x:c r="N1941" s="20" t="n">
        <x:f>IF(J1941=1,0,K1941-L1941)</x:f>
        <x:v>476</x:v>
      </x:c>
      <x:c r="O1941" s="20" t="n">
        <x:f>N1941-M1941</x:f>
        <x:v>96</x:v>
      </x:c>
    </x:row>
    <x:row r="1942" ht="22" customHeight="1">
      <x:c r="A1942" s="11" t="n">
        <x:v>1938</x:v>
      </x:c>
      <x:c r="B1942" s="11" t="n">
        <x:v>979</x:v>
      </x:c>
      <x:c r="C1942" s="18" t="n">
        <x:v>45723</x:v>
      </x:c>
      <x:c r="D1942" s="11" t="str">
        <x:v>2025-03</x:v>
      </x:c>
      <x:c r="E1942" s="11" t="str">
        <x:v>East</x:v>
      </x:c>
      <x:c r="F1942" s="11" t="str">
        <x:v>Furniture</x:v>
      </x:c>
      <x:c r="G1942" s="11" t="str">
        <x:v>Chair</x:v>
      </x:c>
      <x:c r="H1942" s="11" t="n">
        <x:v>1</x:v>
      </x:c>
      <x:c r="I1942" s="19" t="n">
        <x:v>0.05</x:v>
      </x:c>
      <x:c r="J1942" s="11" t="n">
        <x:v>0</x:v>
      </x:c>
      <x:c r="K1942" s="20" t="n">
        <x:v>170</x:v>
      </x:c>
      <x:c r="L1942" s="20" t="n">
        <x:v>8.5</x:v>
      </x:c>
      <x:c r="M1942" s="20" t="n">
        <x:v>110</x:v>
      </x:c>
      <x:c r="N1942" s="20" t="n">
        <x:f>IF(J1942=1,0,K1942-L1942)</x:f>
        <x:v>161.5</x:v>
      </x:c>
      <x:c r="O1942" s="20" t="n">
        <x:f>N1942-M1942</x:f>
        <x:v>51.5</x:v>
      </x:c>
    </x:row>
    <x:row r="1943" ht="22" customHeight="1">
      <x:c r="A1943" s="11" t="n">
        <x:v>1939</x:v>
      </x:c>
      <x:c r="B1943" s="11" t="n">
        <x:v>980</x:v>
      </x:c>
      <x:c r="C1943" s="18" t="n">
        <x:v>45869</x:v>
      </x:c>
      <x:c r="D1943" s="11" t="str">
        <x:v>2025-07</x:v>
      </x:c>
      <x:c r="E1943" s="11" t="str">
        <x:v>West</x:v>
      </x:c>
      <x:c r="F1943" s="11" t="str">
        <x:v>Furniture</x:v>
      </x:c>
      <x:c r="G1943" s="11" t="str">
        <x:v>Desk</x:v>
      </x:c>
      <x:c r="H1943" s="11" t="n">
        <x:v>5</x:v>
      </x:c>
      <x:c r="I1943" s="19" t="n">
        <x:v>0</x:v>
      </x:c>
      <x:c r="J1943" s="11" t="n">
        <x:v>0</x:v>
      </x:c>
      <x:c r="K1943" s="20" t="n">
        <x:v>1400</x:v>
      </x:c>
      <x:c r="L1943" s="20" t="n">
        <x:v>0</x:v>
      </x:c>
      <x:c r="M1943" s="20" t="n">
        <x:v>950</x:v>
      </x:c>
      <x:c r="N1943" s="20" t="n">
        <x:f>IF(J1943=1,0,K1943-L1943)</x:f>
        <x:v>1400</x:v>
      </x:c>
      <x:c r="O1943" s="20" t="n">
        <x:f>N1943-M1943</x:f>
        <x:v>450</x:v>
      </x:c>
    </x:row>
    <x:row r="1944" ht="22" customHeight="1">
      <x:c r="A1944" s="11" t="n">
        <x:v>1940</x:v>
      </x:c>
      <x:c r="B1944" s="11" t="n">
        <x:v>980</x:v>
      </x:c>
      <x:c r="C1944" s="18" t="n">
        <x:v>45869</x:v>
      </x:c>
      <x:c r="D1944" s="11" t="str">
        <x:v>2025-07</x:v>
      </x:c>
      <x:c r="E1944" s="11" t="str">
        <x:v>West</x:v>
      </x:c>
      <x:c r="F1944" s="11" t="str">
        <x:v>Technology</x:v>
      </x:c>
      <x:c r="G1944" s="11" t="str">
        <x:v>Keyboard</x:v>
      </x:c>
      <x:c r="H1944" s="11" t="n">
        <x:v>4</x:v>
      </x:c>
      <x:c r="I1944" s="19" t="n">
        <x:v>0</x:v>
      </x:c>
      <x:c r="J1944" s="11" t="n">
        <x:v>0</x:v>
      </x:c>
      <x:c r="K1944" s="20" t="n">
        <x:v>260</x:v>
      </x:c>
      <x:c r="L1944" s="20" t="n">
        <x:v>0</x:v>
      </x:c>
      <x:c r="M1944" s="20" t="n">
        <x:v>128</x:v>
      </x:c>
      <x:c r="N1944" s="20" t="n">
        <x:f>IF(J1944=1,0,K1944-L1944)</x:f>
        <x:v>260</x:v>
      </x:c>
      <x:c r="O1944" s="20" t="n">
        <x:f>N1944-M1944</x:f>
        <x:v>132</x:v>
      </x:c>
    </x:row>
    <x:row r="1945" ht="22" customHeight="1">
      <x:c r="A1945" s="11" t="n">
        <x:v>1941</x:v>
      </x:c>
      <x:c r="B1945" s="11" t="n">
        <x:v>981</x:v>
      </x:c>
      <x:c r="C1945" s="18" t="n">
        <x:v>45334</x:v>
      </x:c>
      <x:c r="D1945" s="11" t="str">
        <x:v>2024-02</x:v>
      </x:c>
      <x:c r="E1945" s="11" t="str">
        <x:v>South</x:v>
      </x:c>
      <x:c r="F1945" s="11" t="str">
        <x:v>Office Supplies</x:v>
      </x:c>
      <x:c r="G1945" s="11" t="str">
        <x:v>Notebook pack</x:v>
      </x:c>
      <x:c r="H1945" s="11" t="n">
        <x:v>3</x:v>
      </x:c>
      <x:c r="I1945" s="19" t="n">
        <x:v>0.1</x:v>
      </x:c>
      <x:c r="J1945" s="11" t="n">
        <x:v>0</x:v>
      </x:c>
      <x:c r="K1945" s="20" t="n">
        <x:v>54</x:v>
      </x:c>
      <x:c r="L1945" s="20" t="n">
        <x:v>5.4</x:v>
      </x:c>
      <x:c r="M1945" s="20" t="n">
        <x:v>21</x:v>
      </x:c>
      <x:c r="N1945" s="20" t="n">
        <x:f>IF(J1945=1,0,K1945-L1945)</x:f>
        <x:v>48.6</x:v>
      </x:c>
      <x:c r="O1945" s="20" t="n">
        <x:f>N1945-M1945</x:f>
        <x:v>27.6</x:v>
      </x:c>
    </x:row>
    <x:row r="1946" ht="22" customHeight="1">
      <x:c r="A1946" s="11" t="n">
        <x:v>1942</x:v>
      </x:c>
      <x:c r="B1946" s="11" t="n">
        <x:v>981</x:v>
      </x:c>
      <x:c r="C1946" s="18" t="n">
        <x:v>45334</x:v>
      </x:c>
      <x:c r="D1946" s="11" t="str">
        <x:v>2024-02</x:v>
      </x:c>
      <x:c r="E1946" s="11" t="str">
        <x:v>South</x:v>
      </x:c>
      <x:c r="F1946" s="11" t="str">
        <x:v>Furniture</x:v>
      </x:c>
      <x:c r="G1946" s="11" t="str">
        <x:v>Chair</x:v>
      </x:c>
      <x:c r="H1946" s="11" t="n">
        <x:v>2</x:v>
      </x:c>
      <x:c r="I1946" s="19" t="n">
        <x:v>0</x:v>
      </x:c>
      <x:c r="J1946" s="11" t="n">
        <x:v>0</x:v>
      </x:c>
      <x:c r="K1946" s="20" t="n">
        <x:v>340</x:v>
      </x:c>
      <x:c r="L1946" s="20" t="n">
        <x:v>0</x:v>
      </x:c>
      <x:c r="M1946" s="20" t="n">
        <x:v>220</x:v>
      </x:c>
      <x:c r="N1946" s="20" t="n">
        <x:f>IF(J1946=1,0,K1946-L1946)</x:f>
        <x:v>340</x:v>
      </x:c>
      <x:c r="O1946" s="20" t="n">
        <x:f>N1946-M1946</x:f>
        <x:v>120</x:v>
      </x:c>
    </x:row>
    <x:row r="1947" ht="22" customHeight="1">
      <x:c r="A1947" s="11" t="n">
        <x:v>1943</x:v>
      </x:c>
      <x:c r="B1947" s="11" t="n">
        <x:v>982</x:v>
      </x:c>
      <x:c r="C1947" s="18" t="n">
        <x:v>45318</x:v>
      </x:c>
      <x:c r="D1947" s="11" t="str">
        <x:v>2024-01</x:v>
      </x:c>
      <x:c r="E1947" s="11" t="str">
        <x:v>South</x:v>
      </x:c>
      <x:c r="F1947" s="11" t="str">
        <x:v>Office Supplies</x:v>
      </x:c>
      <x:c r="G1947" s="11" t="str">
        <x:v>Notebook pack</x:v>
      </x:c>
      <x:c r="H1947" s="11" t="n">
        <x:v>5</x:v>
      </x:c>
      <x:c r="I1947" s="19" t="n">
        <x:v>0.1</x:v>
      </x:c>
      <x:c r="J1947" s="11" t="n">
        <x:v>1</x:v>
      </x:c>
      <x:c r="K1947" s="20" t="n">
        <x:v>90</x:v>
      </x:c>
      <x:c r="L1947" s="20" t="n">
        <x:v>9</x:v>
      </x:c>
      <x:c r="M1947" s="20" t="n">
        <x:v>0</x:v>
      </x:c>
      <x:c r="N1947" s="20" t="n">
        <x:f>IF(J1947=1,0,K1947-L1947)</x:f>
        <x:v>0</x:v>
      </x:c>
      <x:c r="O1947" s="20" t="n">
        <x:f>N1947-M1947</x:f>
        <x:v>0</x:v>
      </x:c>
    </x:row>
    <x:row r="1948" ht="22" customHeight="1">
      <x:c r="A1948" s="11" t="n">
        <x:v>1944</x:v>
      </x:c>
      <x:c r="B1948" s="11" t="n">
        <x:v>982</x:v>
      </x:c>
      <x:c r="C1948" s="18" t="n">
        <x:v>45318</x:v>
      </x:c>
      <x:c r="D1948" s="11" t="str">
        <x:v>2024-01</x:v>
      </x:c>
      <x:c r="E1948" s="11" t="str">
        <x:v>South</x:v>
      </x:c>
      <x:c r="F1948" s="11" t="str">
        <x:v>Technology</x:v>
      </x:c>
      <x:c r="G1948" s="11" t="str">
        <x:v>Keyboard</x:v>
      </x:c>
      <x:c r="H1948" s="11" t="n">
        <x:v>4</x:v>
      </x:c>
      <x:c r="I1948" s="19" t="n">
        <x:v>0</x:v>
      </x:c>
      <x:c r="J1948" s="11" t="n">
        <x:v>0</x:v>
      </x:c>
      <x:c r="K1948" s="20" t="n">
        <x:v>260</x:v>
      </x:c>
      <x:c r="L1948" s="20" t="n">
        <x:v>0</x:v>
      </x:c>
      <x:c r="M1948" s="20" t="n">
        <x:v>128</x:v>
      </x:c>
      <x:c r="N1948" s="20" t="n">
        <x:f>IF(J1948=1,0,K1948-L1948)</x:f>
        <x:v>260</x:v>
      </x:c>
      <x:c r="O1948" s="20" t="n">
        <x:f>N1948-M1948</x:f>
        <x:v>132</x:v>
      </x:c>
    </x:row>
    <x:row r="1949" ht="22" customHeight="1">
      <x:c r="A1949" s="11" t="n">
        <x:v>1945</x:v>
      </x:c>
      <x:c r="B1949" s="11" t="n">
        <x:v>982</x:v>
      </x:c>
      <x:c r="C1949" s="18" t="n">
        <x:v>45318</x:v>
      </x:c>
      <x:c r="D1949" s="11" t="str">
        <x:v>2024-01</x:v>
      </x:c>
      <x:c r="E1949" s="11" t="str">
        <x:v>South</x:v>
      </x:c>
      <x:c r="F1949" s="11" t="str">
        <x:v>Furniture</x:v>
      </x:c>
      <x:c r="G1949" s="11" t="str">
        <x:v>Desk</x:v>
      </x:c>
      <x:c r="H1949" s="11" t="n">
        <x:v>4</x:v>
      </x:c>
      <x:c r="I1949" s="19" t="n">
        <x:v>0</x:v>
      </x:c>
      <x:c r="J1949" s="11" t="n">
        <x:v>0</x:v>
      </x:c>
      <x:c r="K1949" s="20" t="n">
        <x:v>1120</x:v>
      </x:c>
      <x:c r="L1949" s="20" t="n">
        <x:v>0</x:v>
      </x:c>
      <x:c r="M1949" s="20" t="n">
        <x:v>760</x:v>
      </x:c>
      <x:c r="N1949" s="20" t="n">
        <x:f>IF(J1949=1,0,K1949-L1949)</x:f>
        <x:v>1120</x:v>
      </x:c>
      <x:c r="O1949" s="20" t="n">
        <x:f>N1949-M1949</x:f>
        <x:v>360</x:v>
      </x:c>
    </x:row>
    <x:row r="1950" ht="22" customHeight="1">
      <x:c r="A1950" s="11" t="n">
        <x:v>1946</x:v>
      </x:c>
      <x:c r="B1950" s="11" t="n">
        <x:v>983</x:v>
      </x:c>
      <x:c r="C1950" s="18" t="n">
        <x:v>45412</x:v>
      </x:c>
      <x:c r="D1950" s="11" t="str">
        <x:v>2024-04</x:v>
      </x:c>
      <x:c r="E1950" s="11" t="str">
        <x:v>East</x:v>
      </x:c>
      <x:c r="F1950" s="11" t="str">
        <x:v>Furniture</x:v>
      </x:c>
      <x:c r="G1950" s="11" t="str">
        <x:v>Chair</x:v>
      </x:c>
      <x:c r="H1950" s="11" t="n">
        <x:v>4</x:v>
      </x:c>
      <x:c r="I1950" s="19" t="n">
        <x:v>0</x:v>
      </x:c>
      <x:c r="J1950" s="11" t="n">
        <x:v>0</x:v>
      </x:c>
      <x:c r="K1950" s="20" t="n">
        <x:v>680</x:v>
      </x:c>
      <x:c r="L1950" s="20" t="n">
        <x:v>0</x:v>
      </x:c>
      <x:c r="M1950" s="20" t="n">
        <x:v>440</x:v>
      </x:c>
      <x:c r="N1950" s="20" t="n">
        <x:f>IF(J1950=1,0,K1950-L1950)</x:f>
        <x:v>680</x:v>
      </x:c>
      <x:c r="O1950" s="20" t="n">
        <x:f>N1950-M1950</x:f>
        <x:v>240</x:v>
      </x:c>
    </x:row>
    <x:row r="1951" ht="22" customHeight="1">
      <x:c r="A1951" s="11" t="n">
        <x:v>1947</x:v>
      </x:c>
      <x:c r="B1951" s="11" t="n">
        <x:v>983</x:v>
      </x:c>
      <x:c r="C1951" s="18" t="n">
        <x:v>45412</x:v>
      </x:c>
      <x:c r="D1951" s="11" t="str">
        <x:v>2024-04</x:v>
      </x:c>
      <x:c r="E1951" s="11" t="str">
        <x:v>East</x:v>
      </x:c>
      <x:c r="F1951" s="11" t="str">
        <x:v>Technology</x:v>
      </x:c>
      <x:c r="G1951" s="11" t="str">
        <x:v>Monitor</x:v>
      </x:c>
      <x:c r="H1951" s="11" t="n">
        <x:v>1</x:v>
      </x:c>
      <x:c r="I1951" s="19" t="n">
        <x:v>0.15</x:v>
      </x:c>
      <x:c r="J1951" s="11" t="n">
        <x:v>1</x:v>
      </x:c>
      <x:c r="K1951" s="20" t="n">
        <x:v>240</x:v>
      </x:c>
      <x:c r="L1951" s="20" t="n">
        <x:v>36</x:v>
      </x:c>
      <x:c r="M1951" s="20" t="n">
        <x:v>0</x:v>
      </x:c>
      <x:c r="N1951" s="20" t="n">
        <x:f>IF(J1951=1,0,K1951-L1951)</x:f>
        <x:v>0</x:v>
      </x:c>
      <x:c r="O1951" s="20" t="n">
        <x:f>N1951-M1951</x:f>
        <x:v>0</x:v>
      </x:c>
    </x:row>
    <x:row r="1952" ht="22" customHeight="1">
      <x:c r="A1952" s="11" t="n">
        <x:v>1948</x:v>
      </x:c>
      <x:c r="B1952" s="11" t="n">
        <x:v>984</x:v>
      </x:c>
      <x:c r="C1952" s="18" t="n">
        <x:v>45714</x:v>
      </x:c>
      <x:c r="D1952" s="11" t="str">
        <x:v>2025-02</x:v>
      </x:c>
      <x:c r="E1952" s="11" t="str">
        <x:v>West</x:v>
      </x:c>
      <x:c r="F1952" s="11" t="str">
        <x:v>Office Supplies</x:v>
      </x:c>
      <x:c r="G1952" s="11" t="str">
        <x:v>Storage box</x:v>
      </x:c>
      <x:c r="H1952" s="11" t="n">
        <x:v>2</x:v>
      </x:c>
      <x:c r="I1952" s="19" t="n">
        <x:v>0</x:v>
      </x:c>
      <x:c r="J1952" s="11" t="n">
        <x:v>0</x:v>
      </x:c>
      <x:c r="K1952" s="20" t="n">
        <x:v>52</x:v>
      </x:c>
      <x:c r="L1952" s="20" t="n">
        <x:v>0</x:v>
      </x:c>
      <x:c r="M1952" s="20" t="n">
        <x:v>24</x:v>
      </x:c>
      <x:c r="N1952" s="20" t="n">
        <x:f>IF(J1952=1,0,K1952-L1952)</x:f>
        <x:v>52</x:v>
      </x:c>
      <x:c r="O1952" s="20" t="n">
        <x:f>N1952-M1952</x:f>
        <x:v>28</x:v>
      </x:c>
    </x:row>
    <x:row r="1953" ht="22" customHeight="1">
      <x:c r="A1953" s="11" t="n">
        <x:v>1949</x:v>
      </x:c>
      <x:c r="B1953" s="11" t="n">
        <x:v>985</x:v>
      </x:c>
      <x:c r="C1953" s="18" t="n">
        <x:v>45421</x:v>
      </x:c>
      <x:c r="D1953" s="11" t="str">
        <x:v>2024-05</x:v>
      </x:c>
      <x:c r="E1953" s="11" t="str">
        <x:v>East</x:v>
      </x:c>
      <x:c r="F1953" s="11" t="str">
        <x:v>Furniture</x:v>
      </x:c>
      <x:c r="G1953" s="11" t="str">
        <x:v>Desk</x:v>
      </x:c>
      <x:c r="H1953" s="11" t="n">
        <x:v>3</x:v>
      </x:c>
      <x:c r="I1953" s="19" t="n">
        <x:v>0.05</x:v>
      </x:c>
      <x:c r="J1953" s="11" t="n">
        <x:v>0</x:v>
      </x:c>
      <x:c r="K1953" s="20" t="n">
        <x:v>840</x:v>
      </x:c>
      <x:c r="L1953" s="20" t="n">
        <x:v>42</x:v>
      </x:c>
      <x:c r="M1953" s="20" t="n">
        <x:v>570</x:v>
      </x:c>
      <x:c r="N1953" s="20" t="n">
        <x:f>IF(J1953=1,0,K1953-L1953)</x:f>
        <x:v>798</x:v>
      </x:c>
      <x:c r="O1953" s="20" t="n">
        <x:f>N1953-M1953</x:f>
        <x:v>228</x:v>
      </x:c>
    </x:row>
    <x:row r="1954" ht="22" customHeight="1">
      <x:c r="A1954" s="11" t="n">
        <x:v>1950</x:v>
      </x:c>
      <x:c r="B1954" s="11" t="n">
        <x:v>985</x:v>
      </x:c>
      <x:c r="C1954" s="18" t="n">
        <x:v>45421</x:v>
      </x:c>
      <x:c r="D1954" s="11" t="str">
        <x:v>2024-05</x:v>
      </x:c>
      <x:c r="E1954" s="11" t="str">
        <x:v>East</x:v>
      </x:c>
      <x:c r="F1954" s="11" t="str">
        <x:v>Technology</x:v>
      </x:c>
      <x:c r="G1954" s="11" t="str">
        <x:v>Monitor</x:v>
      </x:c>
      <x:c r="H1954" s="11" t="n">
        <x:v>2</x:v>
      </x:c>
      <x:c r="I1954" s="19" t="n">
        <x:v>0.15</x:v>
      </x:c>
      <x:c r="J1954" s="11" t="n">
        <x:v>0</x:v>
      </x:c>
      <x:c r="K1954" s="20" t="n">
        <x:v>480</x:v>
      </x:c>
      <x:c r="L1954" s="20" t="n">
        <x:v>72</x:v>
      </x:c>
      <x:c r="M1954" s="20" t="n">
        <x:v>320</x:v>
      </x:c>
      <x:c r="N1954" s="20" t="n">
        <x:f>IF(J1954=1,0,K1954-L1954)</x:f>
        <x:v>408</x:v>
      </x:c>
      <x:c r="O1954" s="20" t="n">
        <x:f>N1954-M1954</x:f>
        <x:v>88</x:v>
      </x:c>
    </x:row>
    <x:row r="1955" ht="22" customHeight="1">
      <x:c r="A1955" s="11" t="n">
        <x:v>1951</x:v>
      </x:c>
      <x:c r="B1955" s="11" t="n">
        <x:v>986</x:v>
      </x:c>
      <x:c r="C1955" s="18" t="n">
        <x:v>45965</x:v>
      </x:c>
      <x:c r="D1955" s="11" t="str">
        <x:v>2025-11</x:v>
      </x:c>
      <x:c r="E1955" s="11" t="str">
        <x:v>West</x:v>
      </x:c>
      <x:c r="F1955" s="11" t="str">
        <x:v>Technology</x:v>
      </x:c>
      <x:c r="G1955" s="11" t="str">
        <x:v>Monitor</x:v>
      </x:c>
      <x:c r="H1955" s="11" t="n">
        <x:v>5</x:v>
      </x:c>
      <x:c r="I1955" s="19" t="n">
        <x:v>0</x:v>
      </x:c>
      <x:c r="J1955" s="11" t="n">
        <x:v>0</x:v>
      </x:c>
      <x:c r="K1955" s="20" t="n">
        <x:v>1200</x:v>
      </x:c>
      <x:c r="L1955" s="20" t="n">
        <x:v>0</x:v>
      </x:c>
      <x:c r="M1955" s="20" t="n">
        <x:v>800</x:v>
      </x:c>
      <x:c r="N1955" s="20" t="n">
        <x:f>IF(J1955=1,0,K1955-L1955)</x:f>
        <x:v>1200</x:v>
      </x:c>
      <x:c r="O1955" s="20" t="n">
        <x:f>N1955-M1955</x:f>
        <x:v>400</x:v>
      </x:c>
    </x:row>
    <x:row r="1956" ht="22" customHeight="1">
      <x:c r="A1956" s="11" t="n">
        <x:v>1952</x:v>
      </x:c>
      <x:c r="B1956" s="11" t="n">
        <x:v>987</x:v>
      </x:c>
      <x:c r="C1956" s="18" t="n">
        <x:v>45657</x:v>
      </x:c>
      <x:c r="D1956" s="11" t="str">
        <x:v>2024-12</x:v>
      </x:c>
      <x:c r="E1956" s="11" t="str">
        <x:v>East</x:v>
      </x:c>
      <x:c r="F1956" s="11" t="str">
        <x:v>Technology</x:v>
      </x:c>
      <x:c r="G1956" s="11" t="str">
        <x:v>Monitor</x:v>
      </x:c>
      <x:c r="H1956" s="11" t="n">
        <x:v>2</x:v>
      </x:c>
      <x:c r="I1956" s="19" t="n">
        <x:v>0.15</x:v>
      </x:c>
      <x:c r="J1956" s="11" t="n">
        <x:v>0</x:v>
      </x:c>
      <x:c r="K1956" s="20" t="n">
        <x:v>480</x:v>
      </x:c>
      <x:c r="L1956" s="20" t="n">
        <x:v>72</x:v>
      </x:c>
      <x:c r="M1956" s="20" t="n">
        <x:v>320</x:v>
      </x:c>
      <x:c r="N1956" s="20" t="n">
        <x:f>IF(J1956=1,0,K1956-L1956)</x:f>
        <x:v>408</x:v>
      </x:c>
      <x:c r="O1956" s="20" t="n">
        <x:f>N1956-M1956</x:f>
        <x:v>88</x:v>
      </x:c>
    </x:row>
    <x:row r="1957" ht="22" customHeight="1">
      <x:c r="A1957" s="11" t="n">
        <x:v>1953</x:v>
      </x:c>
      <x:c r="B1957" s="11" t="n">
        <x:v>987</x:v>
      </x:c>
      <x:c r="C1957" s="18" t="n">
        <x:v>45657</x:v>
      </x:c>
      <x:c r="D1957" s="11" t="str">
        <x:v>2024-12</x:v>
      </x:c>
      <x:c r="E1957" s="11" t="str">
        <x:v>East</x:v>
      </x:c>
      <x:c r="F1957" s="11" t="str">
        <x:v>Office Supplies</x:v>
      </x:c>
      <x:c r="G1957" s="11" t="str">
        <x:v>Storage box</x:v>
      </x:c>
      <x:c r="H1957" s="11" t="n">
        <x:v>3</x:v>
      </x:c>
      <x:c r="I1957" s="19" t="n">
        <x:v>0.15</x:v>
      </x:c>
      <x:c r="J1957" s="11" t="n">
        <x:v>0</x:v>
      </x:c>
      <x:c r="K1957" s="20" t="n">
        <x:v>78</x:v>
      </x:c>
      <x:c r="L1957" s="20" t="n">
        <x:v>11.7</x:v>
      </x:c>
      <x:c r="M1957" s="20" t="n">
        <x:v>36</x:v>
      </x:c>
      <x:c r="N1957" s="20" t="n">
        <x:f>IF(J1957=1,0,K1957-L1957)</x:f>
        <x:v>66.3</x:v>
      </x:c>
      <x:c r="O1957" s="20" t="n">
        <x:f>N1957-M1957</x:f>
        <x:v>30.299999999999997</x:v>
      </x:c>
    </x:row>
    <x:row r="1958" ht="22" customHeight="1">
      <x:c r="A1958" s="11" t="n">
        <x:v>1954</x:v>
      </x:c>
      <x:c r="B1958" s="11" t="n">
        <x:v>987</x:v>
      </x:c>
      <x:c r="C1958" s="18" t="n">
        <x:v>45657</x:v>
      </x:c>
      <x:c r="D1958" s="11" t="str">
        <x:v>2024-12</x:v>
      </x:c>
      <x:c r="E1958" s="11" t="str">
        <x:v>East</x:v>
      </x:c>
      <x:c r="F1958" s="11" t="str">
        <x:v>Office Supplies</x:v>
      </x:c>
      <x:c r="G1958" s="11" t="str">
        <x:v>Notebook pack</x:v>
      </x:c>
      <x:c r="H1958" s="11" t="n">
        <x:v>1</x:v>
      </x:c>
      <x:c r="I1958" s="19" t="n">
        <x:v>0.05</x:v>
      </x:c>
      <x:c r="J1958" s="11" t="n">
        <x:v>0</x:v>
      </x:c>
      <x:c r="K1958" s="20" t="n">
        <x:v>18</x:v>
      </x:c>
      <x:c r="L1958" s="20" t="n">
        <x:v>0.9</x:v>
      </x:c>
      <x:c r="M1958" s="20" t="n">
        <x:v>7</x:v>
      </x:c>
      <x:c r="N1958" s="20" t="n">
        <x:f>IF(J1958=1,0,K1958-L1958)</x:f>
        <x:v>17.1</x:v>
      </x:c>
      <x:c r="O1958" s="20" t="n">
        <x:f>N1958-M1958</x:f>
        <x:v>10.100000000000001</x:v>
      </x:c>
    </x:row>
    <x:row r="1959" ht="22" customHeight="1">
      <x:c r="A1959" s="11" t="n">
        <x:v>1955</x:v>
      </x:c>
      <x:c r="B1959" s="11" t="n">
        <x:v>988</x:v>
      </x:c>
      <x:c r="C1959" s="18" t="n">
        <x:v>46014</x:v>
      </x:c>
      <x:c r="D1959" s="11" t="str">
        <x:v>2025-12</x:v>
      </x:c>
      <x:c r="E1959" s="11" t="str">
        <x:v>West</x:v>
      </x:c>
      <x:c r="F1959" s="11" t="str">
        <x:v>Furniture</x:v>
      </x:c>
      <x:c r="G1959" s="11" t="str">
        <x:v>Desk</x:v>
      </x:c>
      <x:c r="H1959" s="11" t="n">
        <x:v>2</x:v>
      </x:c>
      <x:c r="I1959" s="19" t="n">
        <x:v>0.05</x:v>
      </x:c>
      <x:c r="J1959" s="11" t="n">
        <x:v>0</x:v>
      </x:c>
      <x:c r="K1959" s="20" t="n">
        <x:v>560</x:v>
      </x:c>
      <x:c r="L1959" s="20" t="n">
        <x:v>28</x:v>
      </x:c>
      <x:c r="M1959" s="20" t="n">
        <x:v>380</x:v>
      </x:c>
      <x:c r="N1959" s="20" t="n">
        <x:f>IF(J1959=1,0,K1959-L1959)</x:f>
        <x:v>532</x:v>
      </x:c>
      <x:c r="O1959" s="20" t="n">
        <x:f>N1959-M1959</x:f>
        <x:v>152</x:v>
      </x:c>
    </x:row>
    <x:row r="1960" ht="22" customHeight="1">
      <x:c r="A1960" s="11" t="n">
        <x:v>1956</x:v>
      </x:c>
      <x:c r="B1960" s="11" t="n">
        <x:v>988</x:v>
      </x:c>
      <x:c r="C1960" s="18" t="n">
        <x:v>46014</x:v>
      </x:c>
      <x:c r="D1960" s="11" t="str">
        <x:v>2025-12</x:v>
      </x:c>
      <x:c r="E1960" s="11" t="str">
        <x:v>West</x:v>
      </x:c>
      <x:c r="F1960" s="11" t="str">
        <x:v>Furniture</x:v>
      </x:c>
      <x:c r="G1960" s="11" t="str">
        <x:v>Chair</x:v>
      </x:c>
      <x:c r="H1960" s="11" t="n">
        <x:v>5</x:v>
      </x:c>
      <x:c r="I1960" s="19" t="n">
        <x:v>0.05</x:v>
      </x:c>
      <x:c r="J1960" s="11" t="n">
        <x:v>0</x:v>
      </x:c>
      <x:c r="K1960" s="20" t="n">
        <x:v>850</x:v>
      </x:c>
      <x:c r="L1960" s="20" t="n">
        <x:v>42.5</x:v>
      </x:c>
      <x:c r="M1960" s="20" t="n">
        <x:v>550</x:v>
      </x:c>
      <x:c r="N1960" s="20" t="n">
        <x:f>IF(J1960=1,0,K1960-L1960)</x:f>
        <x:v>807.5</x:v>
      </x:c>
      <x:c r="O1960" s="20" t="n">
        <x:f>N1960-M1960</x:f>
        <x:v>257.5</x:v>
      </x:c>
    </x:row>
    <x:row r="1961" ht="22" customHeight="1">
      <x:c r="A1961" s="11" t="n">
        <x:v>1957</x:v>
      </x:c>
      <x:c r="B1961" s="11" t="n">
        <x:v>989</x:v>
      </x:c>
      <x:c r="C1961" s="18" t="n">
        <x:v>45437</x:v>
      </x:c>
      <x:c r="D1961" s="11" t="str">
        <x:v>2024-05</x:v>
      </x:c>
      <x:c r="E1961" s="11" t="str">
        <x:v>South</x:v>
      </x:c>
      <x:c r="F1961" s="11" t="str">
        <x:v>Technology</x:v>
      </x:c>
      <x:c r="G1961" s="11" t="str">
        <x:v>Keyboard</x:v>
      </x:c>
      <x:c r="H1961" s="11" t="n">
        <x:v>1</x:v>
      </x:c>
      <x:c r="I1961" s="19" t="n">
        <x:v>0.1</x:v>
      </x:c>
      <x:c r="J1961" s="11" t="n">
        <x:v>0</x:v>
      </x:c>
      <x:c r="K1961" s="20" t="n">
        <x:v>65</x:v>
      </x:c>
      <x:c r="L1961" s="20" t="n">
        <x:v>6.5</x:v>
      </x:c>
      <x:c r="M1961" s="20" t="n">
        <x:v>32</x:v>
      </x:c>
      <x:c r="N1961" s="20" t="n">
        <x:f>IF(J1961=1,0,K1961-L1961)</x:f>
        <x:v>58.5</x:v>
      </x:c>
      <x:c r="O1961" s="20" t="n">
        <x:f>N1961-M1961</x:f>
        <x:v>26.5</x:v>
      </x:c>
    </x:row>
    <x:row r="1962" ht="22" customHeight="1">
      <x:c r="A1962" s="11" t="n">
        <x:v>1958</x:v>
      </x:c>
      <x:c r="B1962" s="11" t="n">
        <x:v>989</x:v>
      </x:c>
      <x:c r="C1962" s="18" t="n">
        <x:v>45437</x:v>
      </x:c>
      <x:c r="D1962" s="11" t="str">
        <x:v>2024-05</x:v>
      </x:c>
      <x:c r="E1962" s="11" t="str">
        <x:v>South</x:v>
      </x:c>
      <x:c r="F1962" s="11" t="str">
        <x:v>Office Supplies</x:v>
      </x:c>
      <x:c r="G1962" s="11" t="str">
        <x:v>Storage box</x:v>
      </x:c>
      <x:c r="H1962" s="11" t="n">
        <x:v>3</x:v>
      </x:c>
      <x:c r="I1962" s="19" t="n">
        <x:v>0.05</x:v>
      </x:c>
      <x:c r="J1962" s="11" t="n">
        <x:v>0</x:v>
      </x:c>
      <x:c r="K1962" s="20" t="n">
        <x:v>78</x:v>
      </x:c>
      <x:c r="L1962" s="20" t="n">
        <x:v>3.9</x:v>
      </x:c>
      <x:c r="M1962" s="20" t="n">
        <x:v>36</x:v>
      </x:c>
      <x:c r="N1962" s="20" t="n">
        <x:f>IF(J1962=1,0,K1962-L1962)</x:f>
        <x:v>74.1</x:v>
      </x:c>
      <x:c r="O1962" s="20" t="n">
        <x:f>N1962-M1962</x:f>
        <x:v>38.099999999999994</x:v>
      </x:c>
    </x:row>
    <x:row r="1963" ht="22" customHeight="1">
      <x:c r="A1963" s="11" t="n">
        <x:v>1959</x:v>
      </x:c>
      <x:c r="B1963" s="11" t="n">
        <x:v>989</x:v>
      </x:c>
      <x:c r="C1963" s="18" t="n">
        <x:v>45437</x:v>
      </x:c>
      <x:c r="D1963" s="11" t="str">
        <x:v>2024-05</x:v>
      </x:c>
      <x:c r="E1963" s="11" t="str">
        <x:v>South</x:v>
      </x:c>
      <x:c r="F1963" s="11" t="str">
        <x:v>Furniture</x:v>
      </x:c>
      <x:c r="G1963" s="11" t="str">
        <x:v>Desk</x:v>
      </x:c>
      <x:c r="H1963" s="11" t="n">
        <x:v>3</x:v>
      </x:c>
      <x:c r="I1963" s="19" t="n">
        <x:v>0</x:v>
      </x:c>
      <x:c r="J1963" s="11" t="n">
        <x:v>1</x:v>
      </x:c>
      <x:c r="K1963" s="20" t="n">
        <x:v>840</x:v>
      </x:c>
      <x:c r="L1963" s="20" t="n">
        <x:v>0</x:v>
      </x:c>
      <x:c r="M1963" s="20" t="n">
        <x:v>0</x:v>
      </x:c>
      <x:c r="N1963" s="20" t="n">
        <x:f>IF(J1963=1,0,K1963-L1963)</x:f>
        <x:v>0</x:v>
      </x:c>
      <x:c r="O1963" s="20" t="n">
        <x:f>N1963-M1963</x:f>
        <x:v>0</x:v>
      </x:c>
    </x:row>
    <x:row r="1964" ht="22" customHeight="1">
      <x:c r="A1964" s="11" t="n">
        <x:v>1960</x:v>
      </x:c>
      <x:c r="B1964" s="11" t="n">
        <x:v>990</x:v>
      </x:c>
      <x:c r="C1964" s="18" t="n">
        <x:v>45916</x:v>
      </x:c>
      <x:c r="D1964" s="11" t="str">
        <x:v>2025-09</x:v>
      </x:c>
      <x:c r="E1964" s="11" t="str">
        <x:v>West</x:v>
      </x:c>
      <x:c r="F1964" s="11" t="str">
        <x:v>Technology</x:v>
      </x:c>
      <x:c r="G1964" s="11" t="str">
        <x:v>Keyboard</x:v>
      </x:c>
      <x:c r="H1964" s="11" t="n">
        <x:v>4</x:v>
      </x:c>
      <x:c r="I1964" s="19" t="n">
        <x:v>0.1</x:v>
      </x:c>
      <x:c r="J1964" s="11" t="n">
        <x:v>1</x:v>
      </x:c>
      <x:c r="K1964" s="20" t="n">
        <x:v>260</x:v>
      </x:c>
      <x:c r="L1964" s="20" t="n">
        <x:v>26</x:v>
      </x:c>
      <x:c r="M1964" s="20" t="n">
        <x:v>0</x:v>
      </x:c>
      <x:c r="N1964" s="20" t="n">
        <x:f>IF(J1964=1,0,K1964-L1964)</x:f>
        <x:v>0</x:v>
      </x:c>
      <x:c r="O1964" s="20" t="n">
        <x:f>N1964-M1964</x:f>
        <x:v>0</x:v>
      </x:c>
    </x:row>
    <x:row r="1965" ht="22" customHeight="1">
      <x:c r="A1965" s="11" t="n">
        <x:v>1961</x:v>
      </x:c>
      <x:c r="B1965" s="11" t="n">
        <x:v>991</x:v>
      </x:c>
      <x:c r="C1965" s="18" t="n">
        <x:v>45502</x:v>
      </x:c>
      <x:c r="D1965" s="11" t="str">
        <x:v>2024-07</x:v>
      </x:c>
      <x:c r="E1965" s="11" t="str">
        <x:v>Central</x:v>
      </x:c>
      <x:c r="F1965" s="11" t="str">
        <x:v>Technology</x:v>
      </x:c>
      <x:c r="G1965" s="11" t="str">
        <x:v>Keyboard</x:v>
      </x:c>
      <x:c r="H1965" s="11" t="n">
        <x:v>3</x:v>
      </x:c>
      <x:c r="I1965" s="19" t="n">
        <x:v>0</x:v>
      </x:c>
      <x:c r="J1965" s="11" t="n">
        <x:v>0</x:v>
      </x:c>
      <x:c r="K1965" s="20" t="n">
        <x:v>195</x:v>
      </x:c>
      <x:c r="L1965" s="20" t="n">
        <x:v>0</x:v>
      </x:c>
      <x:c r="M1965" s="20" t="n">
        <x:v>96</x:v>
      </x:c>
      <x:c r="N1965" s="20" t="n">
        <x:f>IF(J1965=1,0,K1965-L1965)</x:f>
        <x:v>195</x:v>
      </x:c>
      <x:c r="O1965" s="20" t="n">
        <x:f>N1965-M1965</x:f>
        <x:v>99</x:v>
      </x:c>
    </x:row>
    <x:row r="1966" ht="22" customHeight="1">
      <x:c r="A1966" s="11" t="n">
        <x:v>1962</x:v>
      </x:c>
      <x:c r="B1966" s="11" t="n">
        <x:v>991</x:v>
      </x:c>
      <x:c r="C1966" s="18" t="n">
        <x:v>45502</x:v>
      </x:c>
      <x:c r="D1966" s="11" t="str">
        <x:v>2024-07</x:v>
      </x:c>
      <x:c r="E1966" s="11" t="str">
        <x:v>Central</x:v>
      </x:c>
      <x:c r="F1966" s="11" t="str">
        <x:v>Office Supplies</x:v>
      </x:c>
      <x:c r="G1966" s="11" t="str">
        <x:v>Notebook pack</x:v>
      </x:c>
      <x:c r="H1966" s="11" t="n">
        <x:v>3</x:v>
      </x:c>
      <x:c r="I1966" s="19" t="n">
        <x:v>0</x:v>
      </x:c>
      <x:c r="J1966" s="11" t="n">
        <x:v>0</x:v>
      </x:c>
      <x:c r="K1966" s="20" t="n">
        <x:v>54</x:v>
      </x:c>
      <x:c r="L1966" s="20" t="n">
        <x:v>0</x:v>
      </x:c>
      <x:c r="M1966" s="20" t="n">
        <x:v>21</x:v>
      </x:c>
      <x:c r="N1966" s="20" t="n">
        <x:f>IF(J1966=1,0,K1966-L1966)</x:f>
        <x:v>54</x:v>
      </x:c>
      <x:c r="O1966" s="20" t="n">
        <x:f>N1966-M1966</x:f>
        <x:v>33</x:v>
      </x:c>
    </x:row>
    <x:row r="1967" ht="22" customHeight="1">
      <x:c r="A1967" s="11" t="n">
        <x:v>1963</x:v>
      </x:c>
      <x:c r="B1967" s="11" t="n">
        <x:v>991</x:v>
      </x:c>
      <x:c r="C1967" s="18" t="n">
        <x:v>45502</x:v>
      </x:c>
      <x:c r="D1967" s="11" t="str">
        <x:v>2024-07</x:v>
      </x:c>
      <x:c r="E1967" s="11" t="str">
        <x:v>Central</x:v>
      </x:c>
      <x:c r="F1967" s="11" t="str">
        <x:v>Furniture</x:v>
      </x:c>
      <x:c r="G1967" s="11" t="str">
        <x:v>Desk</x:v>
      </x:c>
      <x:c r="H1967" s="11" t="n">
        <x:v>3</x:v>
      </x:c>
      <x:c r="I1967" s="19" t="n">
        <x:v>0.1</x:v>
      </x:c>
      <x:c r="J1967" s="11" t="n">
        <x:v>0</x:v>
      </x:c>
      <x:c r="K1967" s="20" t="n">
        <x:v>840</x:v>
      </x:c>
      <x:c r="L1967" s="20" t="n">
        <x:v>84</x:v>
      </x:c>
      <x:c r="M1967" s="20" t="n">
        <x:v>570</x:v>
      </x:c>
      <x:c r="N1967" s="20" t="n">
        <x:f>IF(J1967=1,0,K1967-L1967)</x:f>
        <x:v>756</x:v>
      </x:c>
      <x:c r="O1967" s="20" t="n">
        <x:f>N1967-M1967</x:f>
        <x:v>186</x:v>
      </x:c>
    </x:row>
    <x:row r="1968" ht="22" customHeight="1">
      <x:c r="A1968" s="11" t="n">
        <x:v>1964</x:v>
      </x:c>
      <x:c r="B1968" s="11" t="n">
        <x:v>992</x:v>
      </x:c>
      <x:c r="C1968" s="18" t="n">
        <x:v>45897</x:v>
      </x:c>
      <x:c r="D1968" s="11" t="str">
        <x:v>2025-08</x:v>
      </x:c>
      <x:c r="E1968" s="11" t="str">
        <x:v>West</x:v>
      </x:c>
      <x:c r="F1968" s="11" t="str">
        <x:v>Office Supplies</x:v>
      </x:c>
      <x:c r="G1968" s="11" t="str">
        <x:v>Storage box</x:v>
      </x:c>
      <x:c r="H1968" s="11" t="n">
        <x:v>4</x:v>
      </x:c>
      <x:c r="I1968" s="19" t="n">
        <x:v>0.1</x:v>
      </x:c>
      <x:c r="J1968" s="11" t="n">
        <x:v>0</x:v>
      </x:c>
      <x:c r="K1968" s="20" t="n">
        <x:v>104</x:v>
      </x:c>
      <x:c r="L1968" s="20" t="n">
        <x:v>10.4</x:v>
      </x:c>
      <x:c r="M1968" s="20" t="n">
        <x:v>48</x:v>
      </x:c>
      <x:c r="N1968" s="20" t="n">
        <x:f>IF(J1968=1,0,K1968-L1968)</x:f>
        <x:v>93.6</x:v>
      </x:c>
      <x:c r="O1968" s="20" t="n">
        <x:f>N1968-M1968</x:f>
        <x:v>45.599999999999994</x:v>
      </x:c>
    </x:row>
    <x:row r="1969" ht="22" customHeight="1">
      <x:c r="A1969" s="11" t="n">
        <x:v>1965</x:v>
      </x:c>
      <x:c r="B1969" s="11" t="n">
        <x:v>992</x:v>
      </x:c>
      <x:c r="C1969" s="18" t="n">
        <x:v>45897</x:v>
      </x:c>
      <x:c r="D1969" s="11" t="str">
        <x:v>2025-08</x:v>
      </x:c>
      <x:c r="E1969" s="11" t="str">
        <x:v>West</x:v>
      </x:c>
      <x:c r="F1969" s="11" t="str">
        <x:v>Office Supplies</x:v>
      </x:c>
      <x:c r="G1969" s="11" t="str">
        <x:v>Notebook pack</x:v>
      </x:c>
      <x:c r="H1969" s="11" t="n">
        <x:v>1</x:v>
      </x:c>
      <x:c r="I1969" s="19" t="n">
        <x:v>0</x:v>
      </x:c>
      <x:c r="J1969" s="11" t="n">
        <x:v>0</x:v>
      </x:c>
      <x:c r="K1969" s="20" t="n">
        <x:v>18</x:v>
      </x:c>
      <x:c r="L1969" s="20" t="n">
        <x:v>0</x:v>
      </x:c>
      <x:c r="M1969" s="20" t="n">
        <x:v>7</x:v>
      </x:c>
      <x:c r="N1969" s="20" t="n">
        <x:f>IF(J1969=1,0,K1969-L1969)</x:f>
        <x:v>18</x:v>
      </x:c>
      <x:c r="O1969" s="20" t="n">
        <x:f>N1969-M1969</x:f>
        <x:v>11</x:v>
      </x:c>
    </x:row>
    <x:row r="1970" ht="22" customHeight="1">
      <x:c r="A1970" s="11" t="n">
        <x:v>1966</x:v>
      </x:c>
      <x:c r="B1970" s="11" t="n">
        <x:v>993</x:v>
      </x:c>
      <x:c r="C1970" s="18" t="n">
        <x:v>45986</x:v>
      </x:c>
      <x:c r="D1970" s="11" t="str">
        <x:v>2025-11</x:v>
      </x:c>
      <x:c r="E1970" s="11" t="str">
        <x:v>South</x:v>
      </x:c>
      <x:c r="F1970" s="11" t="str">
        <x:v>Office Supplies</x:v>
      </x:c>
      <x:c r="G1970" s="11" t="str">
        <x:v>Notebook pack</x:v>
      </x:c>
      <x:c r="H1970" s="11" t="n">
        <x:v>5</x:v>
      </x:c>
      <x:c r="I1970" s="19" t="n">
        <x:v>0.05</x:v>
      </x:c>
      <x:c r="J1970" s="11" t="n">
        <x:v>0</x:v>
      </x:c>
      <x:c r="K1970" s="20" t="n">
        <x:v>90</x:v>
      </x:c>
      <x:c r="L1970" s="20" t="n">
        <x:v>4.5</x:v>
      </x:c>
      <x:c r="M1970" s="20" t="n">
        <x:v>35</x:v>
      </x:c>
      <x:c r="N1970" s="20" t="n">
        <x:f>IF(J1970=1,0,K1970-L1970)</x:f>
        <x:v>85.5</x:v>
      </x:c>
      <x:c r="O1970" s="20" t="n">
        <x:f>N1970-M1970</x:f>
        <x:v>50.5</x:v>
      </x:c>
    </x:row>
    <x:row r="1971" ht="22" customHeight="1">
      <x:c r="A1971" s="11" t="n">
        <x:v>1967</x:v>
      </x:c>
      <x:c r="B1971" s="11" t="n">
        <x:v>993</x:v>
      </x:c>
      <x:c r="C1971" s="18" t="n">
        <x:v>45986</x:v>
      </x:c>
      <x:c r="D1971" s="11" t="str">
        <x:v>2025-11</x:v>
      </x:c>
      <x:c r="E1971" s="11" t="str">
        <x:v>South</x:v>
      </x:c>
      <x:c r="F1971" s="11" t="str">
        <x:v>Office Supplies</x:v>
      </x:c>
      <x:c r="G1971" s="11" t="str">
        <x:v>Storage box</x:v>
      </x:c>
      <x:c r="H1971" s="11" t="n">
        <x:v>4</x:v>
      </x:c>
      <x:c r="I1971" s="19" t="n">
        <x:v>0.1</x:v>
      </x:c>
      <x:c r="J1971" s="11" t="n">
        <x:v>0</x:v>
      </x:c>
      <x:c r="K1971" s="20" t="n">
        <x:v>104</x:v>
      </x:c>
      <x:c r="L1971" s="20" t="n">
        <x:v>10.4</x:v>
      </x:c>
      <x:c r="M1971" s="20" t="n">
        <x:v>48</x:v>
      </x:c>
      <x:c r="N1971" s="20" t="n">
        <x:f>IF(J1971=1,0,K1971-L1971)</x:f>
        <x:v>93.6</x:v>
      </x:c>
      <x:c r="O1971" s="20" t="n">
        <x:f>N1971-M1971</x:f>
        <x:v>45.599999999999994</x:v>
      </x:c>
    </x:row>
    <x:row r="1972" ht="22" customHeight="1">
      <x:c r="A1972" s="11" t="n">
        <x:v>1968</x:v>
      </x:c>
      <x:c r="B1972" s="11" t="n">
        <x:v>994</x:v>
      </x:c>
      <x:c r="C1972" s="18" t="n">
        <x:v>45535</x:v>
      </x:c>
      <x:c r="D1972" s="11" t="str">
        <x:v>2024-08</x:v>
      </x:c>
      <x:c r="E1972" s="11" t="str">
        <x:v>West</x:v>
      </x:c>
      <x:c r="F1972" s="11" t="str">
        <x:v>Office Supplies</x:v>
      </x:c>
      <x:c r="G1972" s="11" t="str">
        <x:v>Storage box</x:v>
      </x:c>
      <x:c r="H1972" s="11" t="n">
        <x:v>1</x:v>
      </x:c>
      <x:c r="I1972" s="19" t="n">
        <x:v>0</x:v>
      </x:c>
      <x:c r="J1972" s="11" t="n">
        <x:v>0</x:v>
      </x:c>
      <x:c r="K1972" s="20" t="n">
        <x:v>26</x:v>
      </x:c>
      <x:c r="L1972" s="20" t="n">
        <x:v>0</x:v>
      </x:c>
      <x:c r="M1972" s="20" t="n">
        <x:v>12</x:v>
      </x:c>
      <x:c r="N1972" s="20" t="n">
        <x:f>IF(J1972=1,0,K1972-L1972)</x:f>
        <x:v>26</x:v>
      </x:c>
      <x:c r="O1972" s="20" t="n">
        <x:f>N1972-M1972</x:f>
        <x:v>14</x:v>
      </x:c>
    </x:row>
    <x:row r="1973" ht="22" customHeight="1">
      <x:c r="A1973" s="11" t="n">
        <x:v>1969</x:v>
      </x:c>
      <x:c r="B1973" s="11" t="n">
        <x:v>994</x:v>
      </x:c>
      <x:c r="C1973" s="18" t="n">
        <x:v>45535</x:v>
      </x:c>
      <x:c r="D1973" s="11" t="str">
        <x:v>2024-08</x:v>
      </x:c>
      <x:c r="E1973" s="11" t="str">
        <x:v>West</x:v>
      </x:c>
      <x:c r="F1973" s="11" t="str">
        <x:v>Technology</x:v>
      </x:c>
      <x:c r="G1973" s="11" t="str">
        <x:v>Monitor</x:v>
      </x:c>
      <x:c r="H1973" s="11" t="n">
        <x:v>3</x:v>
      </x:c>
      <x:c r="I1973" s="19" t="n">
        <x:v>0.05</x:v>
      </x:c>
      <x:c r="J1973" s="11" t="n">
        <x:v>0</x:v>
      </x:c>
      <x:c r="K1973" s="20" t="n">
        <x:v>720</x:v>
      </x:c>
      <x:c r="L1973" s="20" t="n">
        <x:v>36</x:v>
      </x:c>
      <x:c r="M1973" s="20" t="n">
        <x:v>480</x:v>
      </x:c>
      <x:c r="N1973" s="20" t="n">
        <x:f>IF(J1973=1,0,K1973-L1973)</x:f>
        <x:v>684</x:v>
      </x:c>
      <x:c r="O1973" s="20" t="n">
        <x:f>N1973-M1973</x:f>
        <x:v>204</x:v>
      </x:c>
    </x:row>
    <x:row r="1974" ht="22" customHeight="1">
      <x:c r="A1974" s="11" t="n">
        <x:v>1970</x:v>
      </x:c>
      <x:c r="B1974" s="11" t="n">
        <x:v>995</x:v>
      </x:c>
      <x:c r="C1974" s="18" t="n">
        <x:v>45331</x:v>
      </x:c>
      <x:c r="D1974" s="11" t="str">
        <x:v>2024-02</x:v>
      </x:c>
      <x:c r="E1974" s="11" t="str">
        <x:v>East</x:v>
      </x:c>
      <x:c r="F1974" s="11" t="str">
        <x:v>Technology</x:v>
      </x:c>
      <x:c r="G1974" s="11" t="str">
        <x:v>Monitor</x:v>
      </x:c>
      <x:c r="H1974" s="11" t="n">
        <x:v>5</x:v>
      </x:c>
      <x:c r="I1974" s="19" t="n">
        <x:v>0</x:v>
      </x:c>
      <x:c r="J1974" s="11" t="n">
        <x:v>0</x:v>
      </x:c>
      <x:c r="K1974" s="20" t="n">
        <x:v>1200</x:v>
      </x:c>
      <x:c r="L1974" s="20" t="n">
        <x:v>0</x:v>
      </x:c>
      <x:c r="M1974" s="20" t="n">
        <x:v>800</x:v>
      </x:c>
      <x:c r="N1974" s="20" t="n">
        <x:f>IF(J1974=1,0,K1974-L1974)</x:f>
        <x:v>1200</x:v>
      </x:c>
      <x:c r="O1974" s="20" t="n">
        <x:f>N1974-M1974</x:f>
        <x:v>400</x:v>
      </x:c>
    </x:row>
    <x:row r="1975" ht="22" customHeight="1">
      <x:c r="A1975" s="11" t="n">
        <x:v>1971</x:v>
      </x:c>
      <x:c r="B1975" s="11" t="n">
        <x:v>995</x:v>
      </x:c>
      <x:c r="C1975" s="18" t="n">
        <x:v>45331</x:v>
      </x:c>
      <x:c r="D1975" s="11" t="str">
        <x:v>2024-02</x:v>
      </x:c>
      <x:c r="E1975" s="11" t="str">
        <x:v>East</x:v>
      </x:c>
      <x:c r="F1975" s="11" t="str">
        <x:v>Office Supplies</x:v>
      </x:c>
      <x:c r="G1975" s="11" t="str">
        <x:v>Storage box</x:v>
      </x:c>
      <x:c r="H1975" s="11" t="n">
        <x:v>5</x:v>
      </x:c>
      <x:c r="I1975" s="19" t="n">
        <x:v>0.05</x:v>
      </x:c>
      <x:c r="J1975" s="11" t="n">
        <x:v>0</x:v>
      </x:c>
      <x:c r="K1975" s="20" t="n">
        <x:v>130</x:v>
      </x:c>
      <x:c r="L1975" s="20" t="n">
        <x:v>6.5</x:v>
      </x:c>
      <x:c r="M1975" s="20" t="n">
        <x:v>60</x:v>
      </x:c>
      <x:c r="N1975" s="20" t="n">
        <x:f>IF(J1975=1,0,K1975-L1975)</x:f>
        <x:v>123.5</x:v>
      </x:c>
      <x:c r="O1975" s="20" t="n">
        <x:f>N1975-M1975</x:f>
        <x:v>63.5</x:v>
      </x:c>
    </x:row>
    <x:row r="1976" ht="22" customHeight="1">
      <x:c r="A1976" s="11" t="n">
        <x:v>1972</x:v>
      </x:c>
      <x:c r="B1976" s="11" t="n">
        <x:v>996</x:v>
      </x:c>
      <x:c r="C1976" s="18" t="n">
        <x:v>45475</x:v>
      </x:c>
      <x:c r="D1976" s="11" t="str">
        <x:v>2024-07</x:v>
      </x:c>
      <x:c r="E1976" s="11" t="str">
        <x:v>Central</x:v>
      </x:c>
      <x:c r="F1976" s="11" t="str">
        <x:v>Technology</x:v>
      </x:c>
      <x:c r="G1976" s="11" t="str">
        <x:v>Keyboard</x:v>
      </x:c>
      <x:c r="H1976" s="11" t="n">
        <x:v>1</x:v>
      </x:c>
      <x:c r="I1976" s="19" t="n">
        <x:v>0.1</x:v>
      </x:c>
      <x:c r="J1976" s="11" t="n">
        <x:v>1</x:v>
      </x:c>
      <x:c r="K1976" s="20" t="n">
        <x:v>65</x:v>
      </x:c>
      <x:c r="L1976" s="20" t="n">
        <x:v>6.5</x:v>
      </x:c>
      <x:c r="M1976" s="20" t="n">
        <x:v>0</x:v>
      </x:c>
      <x:c r="N1976" s="20" t="n">
        <x:f>IF(J1976=1,0,K1976-L1976)</x:f>
        <x:v>0</x:v>
      </x:c>
      <x:c r="O1976" s="20" t="n">
        <x:f>N1976-M1976</x:f>
        <x:v>0</x:v>
      </x:c>
    </x:row>
    <x:row r="1977" ht="22" customHeight="1">
      <x:c r="A1977" s="11" t="n">
        <x:v>1973</x:v>
      </x:c>
      <x:c r="B1977" s="11" t="n">
        <x:v>997</x:v>
      </x:c>
      <x:c r="C1977" s="18" t="n">
        <x:v>45659</x:v>
      </x:c>
      <x:c r="D1977" s="11" t="str">
        <x:v>2025-01</x:v>
      </x:c>
      <x:c r="E1977" s="11" t="str">
        <x:v>Central</x:v>
      </x:c>
      <x:c r="F1977" s="11" t="str">
        <x:v>Furniture</x:v>
      </x:c>
      <x:c r="G1977" s="11" t="str">
        <x:v>Desk</x:v>
      </x:c>
      <x:c r="H1977" s="11" t="n">
        <x:v>1</x:v>
      </x:c>
      <x:c r="I1977" s="19" t="n">
        <x:v>0.1</x:v>
      </x:c>
      <x:c r="J1977" s="11" t="n">
        <x:v>0</x:v>
      </x:c>
      <x:c r="K1977" s="20" t="n">
        <x:v>280</x:v>
      </x:c>
      <x:c r="L1977" s="20" t="n">
        <x:v>28</x:v>
      </x:c>
      <x:c r="M1977" s="20" t="n">
        <x:v>190</x:v>
      </x:c>
      <x:c r="N1977" s="20" t="n">
        <x:f>IF(J1977=1,0,K1977-L1977)</x:f>
        <x:v>252</x:v>
      </x:c>
      <x:c r="O1977" s="20" t="n">
        <x:f>N1977-M1977</x:f>
        <x:v>62</x:v>
      </x:c>
    </x:row>
    <x:row r="1978" ht="22" customHeight="1">
      <x:c r="A1978" s="11" t="n">
        <x:v>1974</x:v>
      </x:c>
      <x:c r="B1978" s="11" t="n">
        <x:v>997</x:v>
      </x:c>
      <x:c r="C1978" s="18" t="n">
        <x:v>45659</x:v>
      </x:c>
      <x:c r="D1978" s="11" t="str">
        <x:v>2025-01</x:v>
      </x:c>
      <x:c r="E1978" s="11" t="str">
        <x:v>Central</x:v>
      </x:c>
      <x:c r="F1978" s="11" t="str">
        <x:v>Office Supplies</x:v>
      </x:c>
      <x:c r="G1978" s="11" t="str">
        <x:v>Notebook pack</x:v>
      </x:c>
      <x:c r="H1978" s="11" t="n">
        <x:v>5</x:v>
      </x:c>
      <x:c r="I1978" s="19" t="n">
        <x:v>0.05</x:v>
      </x:c>
      <x:c r="J1978" s="11" t="n">
        <x:v>0</x:v>
      </x:c>
      <x:c r="K1978" s="20" t="n">
        <x:v>90</x:v>
      </x:c>
      <x:c r="L1978" s="20" t="n">
        <x:v>4.5</x:v>
      </x:c>
      <x:c r="M1978" s="20" t="n">
        <x:v>35</x:v>
      </x:c>
      <x:c r="N1978" s="20" t="n">
        <x:f>IF(J1978=1,0,K1978-L1978)</x:f>
        <x:v>85.5</x:v>
      </x:c>
      <x:c r="O1978" s="20" t="n">
        <x:f>N1978-M1978</x:f>
        <x:v>50.5</x:v>
      </x:c>
    </x:row>
    <x:row r="1979" ht="22" customHeight="1">
      <x:c r="A1979" s="11" t="n">
        <x:v>1975</x:v>
      </x:c>
      <x:c r="B1979" s="11" t="n">
        <x:v>998</x:v>
      </x:c>
      <x:c r="C1979" s="18" t="n">
        <x:v>45743</x:v>
      </x:c>
      <x:c r="D1979" s="11" t="str">
        <x:v>2025-03</x:v>
      </x:c>
      <x:c r="E1979" s="11" t="str">
        <x:v>East</x:v>
      </x:c>
      <x:c r="F1979" s="11" t="str">
        <x:v>Technology</x:v>
      </x:c>
      <x:c r="G1979" s="11" t="str">
        <x:v>Monitor</x:v>
      </x:c>
      <x:c r="H1979" s="11" t="n">
        <x:v>2</x:v>
      </x:c>
      <x:c r="I1979" s="19" t="n">
        <x:v>0</x:v>
      </x:c>
      <x:c r="J1979" s="11" t="n">
        <x:v>0</x:v>
      </x:c>
      <x:c r="K1979" s="20" t="n">
        <x:v>480</x:v>
      </x:c>
      <x:c r="L1979" s="20" t="n">
        <x:v>0</x:v>
      </x:c>
      <x:c r="M1979" s="20" t="n">
        <x:v>320</x:v>
      </x:c>
      <x:c r="N1979" s="20" t="n">
        <x:f>IF(J1979=1,0,K1979-L1979)</x:f>
        <x:v>480</x:v>
      </x:c>
      <x:c r="O1979" s="20" t="n">
        <x:f>N1979-M1979</x:f>
        <x:v>160</x:v>
      </x:c>
    </x:row>
    <x:row r="1980" ht="22" customHeight="1">
      <x:c r="A1980" s="11" t="n">
        <x:v>1976</x:v>
      </x:c>
      <x:c r="B1980" s="11" t="n">
        <x:v>998</x:v>
      </x:c>
      <x:c r="C1980" s="18" t="n">
        <x:v>45743</x:v>
      </x:c>
      <x:c r="D1980" s="11" t="str">
        <x:v>2025-03</x:v>
      </x:c>
      <x:c r="E1980" s="11" t="str">
        <x:v>East</x:v>
      </x:c>
      <x:c r="F1980" s="11" t="str">
        <x:v>Technology</x:v>
      </x:c>
      <x:c r="G1980" s="11" t="str">
        <x:v>Keyboard</x:v>
      </x:c>
      <x:c r="H1980" s="11" t="n">
        <x:v>2</x:v>
      </x:c>
      <x:c r="I1980" s="19" t="n">
        <x:v>0.15</x:v>
      </x:c>
      <x:c r="J1980" s="11" t="n">
        <x:v>0</x:v>
      </x:c>
      <x:c r="K1980" s="20" t="n">
        <x:v>130</x:v>
      </x:c>
      <x:c r="L1980" s="20" t="n">
        <x:v>19.5</x:v>
      </x:c>
      <x:c r="M1980" s="20" t="n">
        <x:v>64</x:v>
      </x:c>
      <x:c r="N1980" s="20" t="n">
        <x:f>IF(J1980=1,0,K1980-L1980)</x:f>
        <x:v>110.5</x:v>
      </x:c>
      <x:c r="O1980" s="20" t="n">
        <x:f>N1980-M1980</x:f>
        <x:v>46.5</x:v>
      </x:c>
    </x:row>
    <x:row r="1981" ht="22" customHeight="1">
      <x:c r="A1981" s="11" t="n">
        <x:v>1977</x:v>
      </x:c>
      <x:c r="B1981" s="11" t="n">
        <x:v>999</x:v>
      </x:c>
      <x:c r="C1981" s="18" t="n">
        <x:v>45530</x:v>
      </x:c>
      <x:c r="D1981" s="11" t="str">
        <x:v>2024-08</x:v>
      </x:c>
      <x:c r="E1981" s="11" t="str">
        <x:v>Central</x:v>
      </x:c>
      <x:c r="F1981" s="11" t="str">
        <x:v>Office Supplies</x:v>
      </x:c>
      <x:c r="G1981" s="11" t="str">
        <x:v>Storage box</x:v>
      </x:c>
      <x:c r="H1981" s="11" t="n">
        <x:v>5</x:v>
      </x:c>
      <x:c r="I1981" s="19" t="n">
        <x:v>0.1</x:v>
      </x:c>
      <x:c r="J1981" s="11" t="n">
        <x:v>0</x:v>
      </x:c>
      <x:c r="K1981" s="20" t="n">
        <x:v>130</x:v>
      </x:c>
      <x:c r="L1981" s="20" t="n">
        <x:v>13</x:v>
      </x:c>
      <x:c r="M1981" s="20" t="n">
        <x:v>60</x:v>
      </x:c>
      <x:c r="N1981" s="20" t="n">
        <x:f>IF(J1981=1,0,K1981-L1981)</x:f>
        <x:v>117</x:v>
      </x:c>
      <x:c r="O1981" s="20" t="n">
        <x:f>N1981-M1981</x:f>
        <x:v>57</x:v>
      </x:c>
    </x:row>
    <x:row r="1982" ht="22" customHeight="1">
      <x:c r="A1982" s="11" t="n">
        <x:v>1978</x:v>
      </x:c>
      <x:c r="B1982" s="11" t="n">
        <x:v>1000</x:v>
      </x:c>
      <x:c r="C1982" s="18" t="n">
        <x:v>45334</x:v>
      </x:c>
      <x:c r="D1982" s="11" t="str">
        <x:v>2024-02</x:v>
      </x:c>
      <x:c r="E1982" s="11" t="str">
        <x:v>West</x:v>
      </x:c>
      <x:c r="F1982" s="11" t="str">
        <x:v>Office Supplies</x:v>
      </x:c>
      <x:c r="G1982" s="11" t="str">
        <x:v>Storage box</x:v>
      </x:c>
      <x:c r="H1982" s="11" t="n">
        <x:v>3</x:v>
      </x:c>
      <x:c r="I1982" s="19" t="n">
        <x:v>0.05</x:v>
      </x:c>
      <x:c r="J1982" s="11" t="n">
        <x:v>1</x:v>
      </x:c>
      <x:c r="K1982" s="20" t="n">
        <x:v>78</x:v>
      </x:c>
      <x:c r="L1982" s="20" t="n">
        <x:v>3.9</x:v>
      </x:c>
      <x:c r="M1982" s="20" t="n">
        <x:v>0</x:v>
      </x:c>
      <x:c r="N1982" s="20" t="n">
        <x:f>IF(J1982=1,0,K1982-L1982)</x:f>
        <x:v>0</x:v>
      </x:c>
      <x:c r="O1982" s="20" t="n">
        <x:f>N1982-M1982</x:f>
        <x:v>0</x:v>
      </x:c>
    </x:row>
    <x:row r="1983" ht="22" customHeight="1">
      <x:c r="A1983" s="11" t="n">
        <x:v>1979</x:v>
      </x:c>
      <x:c r="B1983" s="11" t="n">
        <x:v>1001</x:v>
      </x:c>
      <x:c r="C1983" s="18" t="n">
        <x:v>45653</x:v>
      </x:c>
      <x:c r="D1983" s="11" t="str">
        <x:v>2024-12</x:v>
      </x:c>
      <x:c r="E1983" s="11" t="str">
        <x:v>East</x:v>
      </x:c>
      <x:c r="F1983" s="11" t="str">
        <x:v>Furniture</x:v>
      </x:c>
      <x:c r="G1983" s="11" t="str">
        <x:v>Chair</x:v>
      </x:c>
      <x:c r="H1983" s="11" t="n">
        <x:v>1</x:v>
      </x:c>
      <x:c r="I1983" s="19" t="n">
        <x:v>0.35</x:v>
      </x:c>
      <x:c r="J1983" s="11" t="n">
        <x:v>0</x:v>
      </x:c>
      <x:c r="K1983" s="20" t="n">
        <x:v>170</x:v>
      </x:c>
      <x:c r="L1983" s="20" t="n">
        <x:v>59.5</x:v>
      </x:c>
      <x:c r="M1983" s="20" t="n">
        <x:v>110</x:v>
      </x:c>
      <x:c r="N1983" s="20" t="n">
        <x:f>IF(J1983=1,0,K1983-L1983)</x:f>
        <x:v>110.5</x:v>
      </x:c>
      <x:c r="O1983" s="20" t="n">
        <x:f>N1983-M1983</x:f>
        <x:v>0.5</x:v>
      </x:c>
    </x:row>
    <x:row r="1984" ht="22" customHeight="1">
      <x:c r="A1984" s="11" t="n">
        <x:v>1980</x:v>
      </x:c>
      <x:c r="B1984" s="11" t="n">
        <x:v>1001</x:v>
      </x:c>
      <x:c r="C1984" s="18" t="n">
        <x:v>45653</x:v>
      </x:c>
      <x:c r="D1984" s="11" t="str">
        <x:v>2024-12</x:v>
      </x:c>
      <x:c r="E1984" s="11" t="str">
        <x:v>East</x:v>
      </x:c>
      <x:c r="F1984" s="11" t="str">
        <x:v>Technology</x:v>
      </x:c>
      <x:c r="G1984" s="11" t="str">
        <x:v>Monitor</x:v>
      </x:c>
      <x:c r="H1984" s="11" t="n">
        <x:v>1</x:v>
      </x:c>
      <x:c r="I1984" s="19" t="n">
        <x:v>0</x:v>
      </x:c>
      <x:c r="J1984" s="11" t="n">
        <x:v>0</x:v>
      </x:c>
      <x:c r="K1984" s="20" t="n">
        <x:v>240</x:v>
      </x:c>
      <x:c r="L1984" s="20" t="n">
        <x:v>0</x:v>
      </x:c>
      <x:c r="M1984" s="20" t="n">
        <x:v>160</x:v>
      </x:c>
      <x:c r="N1984" s="20" t="n">
        <x:f>IF(J1984=1,0,K1984-L1984)</x:f>
        <x:v>240</x:v>
      </x:c>
      <x:c r="O1984" s="20" t="n">
        <x:f>N1984-M1984</x:f>
        <x:v>80</x:v>
      </x:c>
    </x:row>
    <x:row r="1985" ht="22" customHeight="1">
      <x:c r="A1985" s="11" t="n">
        <x:v>1981</x:v>
      </x:c>
      <x:c r="B1985" s="11" t="n">
        <x:v>1001</x:v>
      </x:c>
      <x:c r="C1985" s="18" t="n">
        <x:v>45653</x:v>
      </x:c>
      <x:c r="D1985" s="11" t="str">
        <x:v>2024-12</x:v>
      </x:c>
      <x:c r="E1985" s="11" t="str">
        <x:v>East</x:v>
      </x:c>
      <x:c r="F1985" s="11" t="str">
        <x:v>Furniture</x:v>
      </x:c>
      <x:c r="G1985" s="11" t="str">
        <x:v>Desk</x:v>
      </x:c>
      <x:c r="H1985" s="11" t="n">
        <x:v>5</x:v>
      </x:c>
      <x:c r="I1985" s="19" t="n">
        <x:v>0.15</x:v>
      </x:c>
      <x:c r="J1985" s="11" t="n">
        <x:v>0</x:v>
      </x:c>
      <x:c r="K1985" s="20" t="n">
        <x:v>1400</x:v>
      </x:c>
      <x:c r="L1985" s="20" t="n">
        <x:v>210</x:v>
      </x:c>
      <x:c r="M1985" s="20" t="n">
        <x:v>950</x:v>
      </x:c>
      <x:c r="N1985" s="20" t="n">
        <x:f>IF(J1985=1,0,K1985-L1985)</x:f>
        <x:v>1190</x:v>
      </x:c>
      <x:c r="O1985" s="20" t="n">
        <x:f>N1985-M1985</x:f>
        <x:v>240</x:v>
      </x:c>
    </x:row>
    <x:row r="1986" ht="22" customHeight="1">
      <x:c r="A1986" s="11" t="n">
        <x:v>1982</x:v>
      </x:c>
      <x:c r="B1986" s="11" t="n">
        <x:v>1002</x:v>
      </x:c>
      <x:c r="C1986" s="18" t="n">
        <x:v>45989</x:v>
      </x:c>
      <x:c r="D1986" s="11" t="str">
        <x:v>2025-11</x:v>
      </x:c>
      <x:c r="E1986" s="11" t="str">
        <x:v>South</x:v>
      </x:c>
      <x:c r="F1986" s="11" t="str">
        <x:v>Technology</x:v>
      </x:c>
      <x:c r="G1986" s="11" t="str">
        <x:v>Keyboard</x:v>
      </x:c>
      <x:c r="H1986" s="11" t="n">
        <x:v>1</x:v>
      </x:c>
      <x:c r="I1986" s="19" t="n">
        <x:v>0.05</x:v>
      </x:c>
      <x:c r="J1986" s="11" t="n">
        <x:v>0</x:v>
      </x:c>
      <x:c r="K1986" s="20" t="n">
        <x:v>65</x:v>
      </x:c>
      <x:c r="L1986" s="20" t="n">
        <x:v>3.25</x:v>
      </x:c>
      <x:c r="M1986" s="20" t="n">
        <x:v>32</x:v>
      </x:c>
      <x:c r="N1986" s="20" t="n">
        <x:f>IF(J1986=1,0,K1986-L1986)</x:f>
        <x:v>61.75</x:v>
      </x:c>
      <x:c r="O1986" s="20" t="n">
        <x:f>N1986-M1986</x:f>
        <x:v>29.75</x:v>
      </x:c>
    </x:row>
    <x:row r="1987" ht="22" customHeight="1">
      <x:c r="A1987" s="11" t="n">
        <x:v>1983</x:v>
      </x:c>
      <x:c r="B1987" s="11" t="n">
        <x:v>1002</x:v>
      </x:c>
      <x:c r="C1987" s="18" t="n">
        <x:v>45989</x:v>
      </x:c>
      <x:c r="D1987" s="11" t="str">
        <x:v>2025-11</x:v>
      </x:c>
      <x:c r="E1987" s="11" t="str">
        <x:v>South</x:v>
      </x:c>
      <x:c r="F1987" s="11" t="str">
        <x:v>Technology</x:v>
      </x:c>
      <x:c r="G1987" s="11" t="str">
        <x:v>Monitor</x:v>
      </x:c>
      <x:c r="H1987" s="11" t="n">
        <x:v>3</x:v>
      </x:c>
      <x:c r="I1987" s="19" t="n">
        <x:v>0.05</x:v>
      </x:c>
      <x:c r="J1987" s="11" t="n">
        <x:v>0</x:v>
      </x:c>
      <x:c r="K1987" s="20" t="n">
        <x:v>720</x:v>
      </x:c>
      <x:c r="L1987" s="20" t="n">
        <x:v>36</x:v>
      </x:c>
      <x:c r="M1987" s="20" t="n">
        <x:v>480</x:v>
      </x:c>
      <x:c r="N1987" s="20" t="n">
        <x:f>IF(J1987=1,0,K1987-L1987)</x:f>
        <x:v>684</x:v>
      </x:c>
      <x:c r="O1987" s="20" t="n">
        <x:f>N1987-M1987</x:f>
        <x:v>204</x:v>
      </x:c>
    </x:row>
    <x:row r="1988" ht="22" customHeight="1">
      <x:c r="A1988" s="11" t="n">
        <x:v>1984</x:v>
      </x:c>
      <x:c r="B1988" s="11" t="n">
        <x:v>1002</x:v>
      </x:c>
      <x:c r="C1988" s="18" t="n">
        <x:v>45989</x:v>
      </x:c>
      <x:c r="D1988" s="11" t="str">
        <x:v>2025-11</x:v>
      </x:c>
      <x:c r="E1988" s="11" t="str">
        <x:v>South</x:v>
      </x:c>
      <x:c r="F1988" s="11" t="str">
        <x:v>Furniture</x:v>
      </x:c>
      <x:c r="G1988" s="11" t="str">
        <x:v>Chair</x:v>
      </x:c>
      <x:c r="H1988" s="11" t="n">
        <x:v>3</x:v>
      </x:c>
      <x:c r="I1988" s="19" t="n">
        <x:v>0.35</x:v>
      </x:c>
      <x:c r="J1988" s="11" t="n">
        <x:v>0</x:v>
      </x:c>
      <x:c r="K1988" s="20" t="n">
        <x:v>510</x:v>
      </x:c>
      <x:c r="L1988" s="20" t="n">
        <x:v>178.5</x:v>
      </x:c>
      <x:c r="M1988" s="20" t="n">
        <x:v>330</x:v>
      </x:c>
      <x:c r="N1988" s="20" t="n">
        <x:f>IF(J1988=1,0,K1988-L1988)</x:f>
        <x:v>331.5</x:v>
      </x:c>
      <x:c r="O1988" s="20" t="n">
        <x:f>N1988-M1988</x:f>
        <x:v>1.5</x:v>
      </x:c>
    </x:row>
    <x:row r="1989" ht="22" customHeight="1">
      <x:c r="A1989" s="11" t="n">
        <x:v>1985</x:v>
      </x:c>
      <x:c r="B1989" s="11" t="n">
        <x:v>1003</x:v>
      </x:c>
      <x:c r="C1989" s="18" t="n">
        <x:v>45593</x:v>
      </x:c>
      <x:c r="D1989" s="11" t="str">
        <x:v>2024-10</x:v>
      </x:c>
      <x:c r="E1989" s="11" t="str">
        <x:v>West</x:v>
      </x:c>
      <x:c r="F1989" s="11" t="str">
        <x:v>Technology</x:v>
      </x:c>
      <x:c r="G1989" s="11" t="str">
        <x:v>Monitor</x:v>
      </x:c>
      <x:c r="H1989" s="11" t="n">
        <x:v>1</x:v>
      </x:c>
      <x:c r="I1989" s="19" t="n">
        <x:v>0.05</x:v>
      </x:c>
      <x:c r="J1989" s="11" t="n">
        <x:v>0</x:v>
      </x:c>
      <x:c r="K1989" s="20" t="n">
        <x:v>240</x:v>
      </x:c>
      <x:c r="L1989" s="20" t="n">
        <x:v>12</x:v>
      </x:c>
      <x:c r="M1989" s="20" t="n">
        <x:v>160</x:v>
      </x:c>
      <x:c r="N1989" s="20" t="n">
        <x:f>IF(J1989=1,0,K1989-L1989)</x:f>
        <x:v>228</x:v>
      </x:c>
      <x:c r="O1989" s="20" t="n">
        <x:f>N1989-M1989</x:f>
        <x:v>68</x:v>
      </x:c>
    </x:row>
    <x:row r="1990" ht="22" customHeight="1">
      <x:c r="A1990" s="11" t="n">
        <x:v>1986</x:v>
      </x:c>
      <x:c r="B1990" s="11" t="n">
        <x:v>1004</x:v>
      </x:c>
      <x:c r="C1990" s="18" t="n">
        <x:v>45897</x:v>
      </x:c>
      <x:c r="D1990" s="11" t="str">
        <x:v>2025-08</x:v>
      </x:c>
      <x:c r="E1990" s="11" t="str">
        <x:v>West</x:v>
      </x:c>
      <x:c r="F1990" s="11" t="str">
        <x:v>Furniture</x:v>
      </x:c>
      <x:c r="G1990" s="11" t="str">
        <x:v>Chair</x:v>
      </x:c>
      <x:c r="H1990" s="11" t="n">
        <x:v>2</x:v>
      </x:c>
      <x:c r="I1990" s="19" t="n">
        <x:v>0.25</x:v>
      </x:c>
      <x:c r="J1990" s="11" t="n">
        <x:v>0</x:v>
      </x:c>
      <x:c r="K1990" s="20" t="n">
        <x:v>340</x:v>
      </x:c>
      <x:c r="L1990" s="20" t="n">
        <x:v>85</x:v>
      </x:c>
      <x:c r="M1990" s="20" t="n">
        <x:v>220</x:v>
      </x:c>
      <x:c r="N1990" s="20" t="n">
        <x:f>IF(J1990=1,0,K1990-L1990)</x:f>
        <x:v>255</x:v>
      </x:c>
      <x:c r="O1990" s="20" t="n">
        <x:f>N1990-M1990</x:f>
        <x:v>35</x:v>
      </x:c>
    </x:row>
    <x:row r="1991" ht="22" customHeight="1">
      <x:c r="A1991" s="11" t="n">
        <x:v>1987</x:v>
      </x:c>
      <x:c r="B1991" s="11" t="n">
        <x:v>1004</x:v>
      </x:c>
      <x:c r="C1991" s="18" t="n">
        <x:v>45897</x:v>
      </x:c>
      <x:c r="D1991" s="11" t="str">
        <x:v>2025-08</x:v>
      </x:c>
      <x:c r="E1991" s="11" t="str">
        <x:v>West</x:v>
      </x:c>
      <x:c r="F1991" s="11" t="str">
        <x:v>Technology</x:v>
      </x:c>
      <x:c r="G1991" s="11" t="str">
        <x:v>Monitor</x:v>
      </x:c>
      <x:c r="H1991" s="11" t="n">
        <x:v>1</x:v>
      </x:c>
      <x:c r="I1991" s="19" t="n">
        <x:v>0</x:v>
      </x:c>
      <x:c r="J1991" s="11" t="n">
        <x:v>0</x:v>
      </x:c>
      <x:c r="K1991" s="20" t="n">
        <x:v>240</x:v>
      </x:c>
      <x:c r="L1991" s="20" t="n">
        <x:v>0</x:v>
      </x:c>
      <x:c r="M1991" s="20" t="n">
        <x:v>160</x:v>
      </x:c>
      <x:c r="N1991" s="20" t="n">
        <x:f>IF(J1991=1,0,K1991-L1991)</x:f>
        <x:v>240</x:v>
      </x:c>
      <x:c r="O1991" s="20" t="n">
        <x:f>N1991-M1991</x:f>
        <x:v>80</x:v>
      </x:c>
    </x:row>
    <x:row r="1992" ht="22" customHeight="1">
      <x:c r="A1992" s="11" t="n">
        <x:v>1988</x:v>
      </x:c>
      <x:c r="B1992" s="11" t="n">
        <x:v>1004</x:v>
      </x:c>
      <x:c r="C1992" s="18" t="n">
        <x:v>45897</x:v>
      </x:c>
      <x:c r="D1992" s="11" t="str">
        <x:v>2025-08</x:v>
      </x:c>
      <x:c r="E1992" s="11" t="str">
        <x:v>West</x:v>
      </x:c>
      <x:c r="F1992" s="11" t="str">
        <x:v>Office Supplies</x:v>
      </x:c>
      <x:c r="G1992" s="11" t="str">
        <x:v>Notebook pack</x:v>
      </x:c>
      <x:c r="H1992" s="11" t="n">
        <x:v>1</x:v>
      </x:c>
      <x:c r="I1992" s="19" t="n">
        <x:v>0</x:v>
      </x:c>
      <x:c r="J1992" s="11" t="n">
        <x:v>0</x:v>
      </x:c>
      <x:c r="K1992" s="20" t="n">
        <x:v>18</x:v>
      </x:c>
      <x:c r="L1992" s="20" t="n">
        <x:v>0</x:v>
      </x:c>
      <x:c r="M1992" s="20" t="n">
        <x:v>7</x:v>
      </x:c>
      <x:c r="N1992" s="20" t="n">
        <x:f>IF(J1992=1,0,K1992-L1992)</x:f>
        <x:v>18</x:v>
      </x:c>
      <x:c r="O1992" s="20" t="n">
        <x:f>N1992-M1992</x:f>
        <x:v>11</x:v>
      </x:c>
    </x:row>
    <x:row r="1993" ht="22" customHeight="1">
      <x:c r="A1993" s="11" t="n">
        <x:v>1989</x:v>
      </x:c>
      <x:c r="B1993" s="11" t="n">
        <x:v>1005</x:v>
      </x:c>
      <x:c r="C1993" s="18" t="n">
        <x:v>45521</x:v>
      </x:c>
      <x:c r="D1993" s="11" t="str">
        <x:v>2024-08</x:v>
      </x:c>
      <x:c r="E1993" s="11" t="str">
        <x:v>South</x:v>
      </x:c>
      <x:c r="F1993" s="11" t="str">
        <x:v>Office Supplies</x:v>
      </x:c>
      <x:c r="G1993" s="11" t="str">
        <x:v>Storage box</x:v>
      </x:c>
      <x:c r="H1993" s="11" t="n">
        <x:v>5</x:v>
      </x:c>
      <x:c r="I1993" s="19" t="n">
        <x:v>0.1</x:v>
      </x:c>
      <x:c r="J1993" s="11" t="n">
        <x:v>0</x:v>
      </x:c>
      <x:c r="K1993" s="20" t="n">
        <x:v>130</x:v>
      </x:c>
      <x:c r="L1993" s="20" t="n">
        <x:v>13</x:v>
      </x:c>
      <x:c r="M1993" s="20" t="n">
        <x:v>60</x:v>
      </x:c>
      <x:c r="N1993" s="20" t="n">
        <x:f>IF(J1993=1,0,K1993-L1993)</x:f>
        <x:v>117</x:v>
      </x:c>
      <x:c r="O1993" s="20" t="n">
        <x:f>N1993-M1993</x:f>
        <x:v>57</x:v>
      </x:c>
    </x:row>
    <x:row r="1994" ht="22" customHeight="1">
      <x:c r="A1994" s="11" t="n">
        <x:v>1990</x:v>
      </x:c>
      <x:c r="B1994" s="11" t="n">
        <x:v>1005</x:v>
      </x:c>
      <x:c r="C1994" s="18" t="n">
        <x:v>45521</x:v>
      </x:c>
      <x:c r="D1994" s="11" t="str">
        <x:v>2024-08</x:v>
      </x:c>
      <x:c r="E1994" s="11" t="str">
        <x:v>South</x:v>
      </x:c>
      <x:c r="F1994" s="11" t="str">
        <x:v>Furniture</x:v>
      </x:c>
      <x:c r="G1994" s="11" t="str">
        <x:v>Desk</x:v>
      </x:c>
      <x:c r="H1994" s="11" t="n">
        <x:v>5</x:v>
      </x:c>
      <x:c r="I1994" s="19" t="n">
        <x:v>0.35</x:v>
      </x:c>
      <x:c r="J1994" s="11" t="n">
        <x:v>0</x:v>
      </x:c>
      <x:c r="K1994" s="20" t="n">
        <x:v>1400</x:v>
      </x:c>
      <x:c r="L1994" s="20" t="n">
        <x:v>490</x:v>
      </x:c>
      <x:c r="M1994" s="20" t="n">
        <x:v>950</x:v>
      </x:c>
      <x:c r="N1994" s="20" t="n">
        <x:f>IF(J1994=1,0,K1994-L1994)</x:f>
        <x:v>910</x:v>
      </x:c>
      <x:c r="O1994" s="20" t="n">
        <x:f>N1994-M1994</x:f>
        <x:v>-40</x:v>
      </x:c>
    </x:row>
    <x:row r="1995" ht="22" customHeight="1">
      <x:c r="A1995" s="11" t="n">
        <x:v>1991</x:v>
      </x:c>
      <x:c r="B1995" s="11" t="n">
        <x:v>1005</x:v>
      </x:c>
      <x:c r="C1995" s="18" t="n">
        <x:v>45521</x:v>
      </x:c>
      <x:c r="D1995" s="11" t="str">
        <x:v>2024-08</x:v>
      </x:c>
      <x:c r="E1995" s="11" t="str">
        <x:v>South</x:v>
      </x:c>
      <x:c r="F1995" s="11" t="str">
        <x:v>Office Supplies</x:v>
      </x:c>
      <x:c r="G1995" s="11" t="str">
        <x:v>Notebook pack</x:v>
      </x:c>
      <x:c r="H1995" s="11" t="n">
        <x:v>2</x:v>
      </x:c>
      <x:c r="I1995" s="19" t="n">
        <x:v>0.15</x:v>
      </x:c>
      <x:c r="J1995" s="11" t="n">
        <x:v>0</x:v>
      </x:c>
      <x:c r="K1995" s="20" t="n">
        <x:v>36</x:v>
      </x:c>
      <x:c r="L1995" s="20" t="n">
        <x:v>5.4</x:v>
      </x:c>
      <x:c r="M1995" s="20" t="n">
        <x:v>14</x:v>
      </x:c>
      <x:c r="N1995" s="20" t="n">
        <x:f>IF(J1995=1,0,K1995-L1995)</x:f>
        <x:v>30.6</x:v>
      </x:c>
      <x:c r="O1995" s="20" t="n">
        <x:f>N1995-M1995</x:f>
        <x:v>16.6</x:v>
      </x:c>
    </x:row>
    <x:row r="1996" ht="22" customHeight="1">
      <x:c r="A1996" s="11" t="n">
        <x:v>1992</x:v>
      </x:c>
      <x:c r="B1996" s="11" t="n">
        <x:v>1006</x:v>
      </x:c>
      <x:c r="C1996" s="18" t="n">
        <x:v>45541</x:v>
      </x:c>
      <x:c r="D1996" s="11" t="str">
        <x:v>2024-09</x:v>
      </x:c>
      <x:c r="E1996" s="11" t="str">
        <x:v>West</x:v>
      </x:c>
      <x:c r="F1996" s="11" t="str">
        <x:v>Furniture</x:v>
      </x:c>
      <x:c r="G1996" s="11" t="str">
        <x:v>Chair</x:v>
      </x:c>
      <x:c r="H1996" s="11" t="n">
        <x:v>3</x:v>
      </x:c>
      <x:c r="I1996" s="19" t="n">
        <x:v>0</x:v>
      </x:c>
      <x:c r="J1996" s="11" t="n">
        <x:v>0</x:v>
      </x:c>
      <x:c r="K1996" s="20" t="n">
        <x:v>510</x:v>
      </x:c>
      <x:c r="L1996" s="20" t="n">
        <x:v>0</x:v>
      </x:c>
      <x:c r="M1996" s="20" t="n">
        <x:v>330</x:v>
      </x:c>
      <x:c r="N1996" s="20" t="n">
        <x:f>IF(J1996=1,0,K1996-L1996)</x:f>
        <x:v>510</x:v>
      </x:c>
      <x:c r="O1996" s="20" t="n">
        <x:f>N1996-M1996</x:f>
        <x:v>180</x:v>
      </x:c>
    </x:row>
    <x:row r="1997" ht="22" customHeight="1">
      <x:c r="A1997" s="11" t="n">
        <x:v>1993</x:v>
      </x:c>
      <x:c r="B1997" s="11" t="n">
        <x:v>1006</x:v>
      </x:c>
      <x:c r="C1997" s="18" t="n">
        <x:v>45541</x:v>
      </x:c>
      <x:c r="D1997" s="11" t="str">
        <x:v>2024-09</x:v>
      </x:c>
      <x:c r="E1997" s="11" t="str">
        <x:v>West</x:v>
      </x:c>
      <x:c r="F1997" s="11" t="str">
        <x:v>Technology</x:v>
      </x:c>
      <x:c r="G1997" s="11" t="str">
        <x:v>Keyboard</x:v>
      </x:c>
      <x:c r="H1997" s="11" t="n">
        <x:v>4</x:v>
      </x:c>
      <x:c r="I1997" s="19" t="n">
        <x:v>0.1</x:v>
      </x:c>
      <x:c r="J1997" s="11" t="n">
        <x:v>0</x:v>
      </x:c>
      <x:c r="K1997" s="20" t="n">
        <x:v>260</x:v>
      </x:c>
      <x:c r="L1997" s="20" t="n">
        <x:v>26</x:v>
      </x:c>
      <x:c r="M1997" s="20" t="n">
        <x:v>128</x:v>
      </x:c>
      <x:c r="N1997" s="20" t="n">
        <x:f>IF(J1997=1,0,K1997-L1997)</x:f>
        <x:v>234</x:v>
      </x:c>
      <x:c r="O1997" s="20" t="n">
        <x:f>N1997-M1997</x:f>
        <x:v>106</x:v>
      </x:c>
    </x:row>
    <x:row r="1998" ht="22" customHeight="1">
      <x:c r="A1998" s="11" t="n">
        <x:v>1994</x:v>
      </x:c>
      <x:c r="B1998" s="11" t="n">
        <x:v>1007</x:v>
      </x:c>
      <x:c r="C1998" s="18" t="n">
        <x:v>45652</x:v>
      </x:c>
      <x:c r="D1998" s="11" t="str">
        <x:v>2024-12</x:v>
      </x:c>
      <x:c r="E1998" s="11" t="str">
        <x:v>East</x:v>
      </x:c>
      <x:c r="F1998" s="11" t="str">
        <x:v>Office Supplies</x:v>
      </x:c>
      <x:c r="G1998" s="11" t="str">
        <x:v>Storage box</x:v>
      </x:c>
      <x:c r="H1998" s="11" t="n">
        <x:v>5</x:v>
      </x:c>
      <x:c r="I1998" s="19" t="n">
        <x:v>0</x:v>
      </x:c>
      <x:c r="J1998" s="11" t="n">
        <x:v>0</x:v>
      </x:c>
      <x:c r="K1998" s="20" t="n">
        <x:v>130</x:v>
      </x:c>
      <x:c r="L1998" s="20" t="n">
        <x:v>0</x:v>
      </x:c>
      <x:c r="M1998" s="20" t="n">
        <x:v>60</x:v>
      </x:c>
      <x:c r="N1998" s="20" t="n">
        <x:f>IF(J1998=1,0,K1998-L1998)</x:f>
        <x:v>130</x:v>
      </x:c>
      <x:c r="O1998" s="20" t="n">
        <x:f>N1998-M1998</x:f>
        <x:v>70</x:v>
      </x:c>
    </x:row>
    <x:row r="1999" ht="22" customHeight="1">
      <x:c r="A1999" s="11" t="n">
        <x:v>1995</x:v>
      </x:c>
      <x:c r="B1999" s="11" t="n">
        <x:v>1007</x:v>
      </x:c>
      <x:c r="C1999" s="18" t="n">
        <x:v>45652</x:v>
      </x:c>
      <x:c r="D1999" s="11" t="str">
        <x:v>2024-12</x:v>
      </x:c>
      <x:c r="E1999" s="11" t="str">
        <x:v>East</x:v>
      </x:c>
      <x:c r="F1999" s="11" t="str">
        <x:v>Technology</x:v>
      </x:c>
      <x:c r="G1999" s="11" t="str">
        <x:v>Keyboard</x:v>
      </x:c>
      <x:c r="H1999" s="11" t="n">
        <x:v>4</x:v>
      </x:c>
      <x:c r="I1999" s="19" t="n">
        <x:v>0</x:v>
      </x:c>
      <x:c r="J1999" s="11" t="n">
        <x:v>0</x:v>
      </x:c>
      <x:c r="K1999" s="20" t="n">
        <x:v>260</x:v>
      </x:c>
      <x:c r="L1999" s="20" t="n">
        <x:v>0</x:v>
      </x:c>
      <x:c r="M1999" s="20" t="n">
        <x:v>128</x:v>
      </x:c>
      <x:c r="N1999" s="20" t="n">
        <x:f>IF(J1999=1,0,K1999-L1999)</x:f>
        <x:v>260</x:v>
      </x:c>
      <x:c r="O1999" s="20" t="n">
        <x:f>N1999-M1999</x:f>
        <x:v>132</x:v>
      </x:c>
    </x:row>
    <x:row r="2000" ht="22" customHeight="1">
      <x:c r="A2000" s="11" t="n">
        <x:v>1996</x:v>
      </x:c>
      <x:c r="B2000" s="11" t="n">
        <x:v>1008</x:v>
      </x:c>
      <x:c r="C2000" s="18" t="n">
        <x:v>45420</x:v>
      </x:c>
      <x:c r="D2000" s="11" t="str">
        <x:v>2024-05</x:v>
      </x:c>
      <x:c r="E2000" s="11" t="str">
        <x:v>Central</x:v>
      </x:c>
      <x:c r="F2000" s="11" t="str">
        <x:v>Office Supplies</x:v>
      </x:c>
      <x:c r="G2000" s="11" t="str">
        <x:v>Storage box</x:v>
      </x:c>
      <x:c r="H2000" s="11" t="n">
        <x:v>2</x:v>
      </x:c>
      <x:c r="I2000" s="19" t="n">
        <x:v>0.15</x:v>
      </x:c>
      <x:c r="J2000" s="11" t="n">
        <x:v>0</x:v>
      </x:c>
      <x:c r="K2000" s="20" t="n">
        <x:v>52</x:v>
      </x:c>
      <x:c r="L2000" s="20" t="n">
        <x:v>7.8</x:v>
      </x:c>
      <x:c r="M2000" s="20" t="n">
        <x:v>24</x:v>
      </x:c>
      <x:c r="N2000" s="20" t="n">
        <x:f>IF(J2000=1,0,K2000-L2000)</x:f>
        <x:v>44.2</x:v>
      </x:c>
      <x:c r="O2000" s="20" t="n">
        <x:f>N2000-M2000</x:f>
        <x:v>20.200000000000003</x:v>
      </x:c>
    </x:row>
    <x:row r="2001" ht="22" customHeight="1">
      <x:c r="A2001" s="11" t="n">
        <x:v>1997</x:v>
      </x:c>
      <x:c r="B2001" s="11" t="n">
        <x:v>1008</x:v>
      </x:c>
      <x:c r="C2001" s="18" t="n">
        <x:v>45420</x:v>
      </x:c>
      <x:c r="D2001" s="11" t="str">
        <x:v>2024-05</x:v>
      </x:c>
      <x:c r="E2001" s="11" t="str">
        <x:v>Central</x:v>
      </x:c>
      <x:c r="F2001" s="11" t="str">
        <x:v>Office Supplies</x:v>
      </x:c>
      <x:c r="G2001" s="11" t="str">
        <x:v>Notebook pack</x:v>
      </x:c>
      <x:c r="H2001" s="11" t="n">
        <x:v>3</x:v>
      </x:c>
      <x:c r="I2001" s="19" t="n">
        <x:v>0.05</x:v>
      </x:c>
      <x:c r="J2001" s="11" t="n">
        <x:v>0</x:v>
      </x:c>
      <x:c r="K2001" s="20" t="n">
        <x:v>54</x:v>
      </x:c>
      <x:c r="L2001" s="20" t="n">
        <x:v>2.7</x:v>
      </x:c>
      <x:c r="M2001" s="20" t="n">
        <x:v>21</x:v>
      </x:c>
      <x:c r="N2001" s="20" t="n">
        <x:f>IF(J2001=1,0,K2001-L2001)</x:f>
        <x:v>51.3</x:v>
      </x:c>
      <x:c r="O2001" s="20" t="n">
        <x:f>N2001-M2001</x:f>
        <x:v>30.299999999999997</x:v>
      </x:c>
    </x:row>
    <x:row r="2002" ht="22" customHeight="1">
      <x:c r="A2002" s="11" t="n">
        <x:v>1998</x:v>
      </x:c>
      <x:c r="B2002" s="11" t="n">
        <x:v>1009</x:v>
      </x:c>
      <x:c r="C2002" s="18" t="n">
        <x:v>45375</x:v>
      </x:c>
      <x:c r="D2002" s="11" t="str">
        <x:v>2024-03</x:v>
      </x:c>
      <x:c r="E2002" s="11" t="str">
        <x:v>West</x:v>
      </x:c>
      <x:c r="F2002" s="11" t="str">
        <x:v>Furniture</x:v>
      </x:c>
      <x:c r="G2002" s="11" t="str">
        <x:v>Chair</x:v>
      </x:c>
      <x:c r="H2002" s="11" t="n">
        <x:v>2</x:v>
      </x:c>
      <x:c r="I2002" s="19" t="n">
        <x:v>0</x:v>
      </x:c>
      <x:c r="J2002" s="11" t="n">
        <x:v>0</x:v>
      </x:c>
      <x:c r="K2002" s="20" t="n">
        <x:v>340</x:v>
      </x:c>
      <x:c r="L2002" s="20" t="n">
        <x:v>0</x:v>
      </x:c>
      <x:c r="M2002" s="20" t="n">
        <x:v>220</x:v>
      </x:c>
      <x:c r="N2002" s="20" t="n">
        <x:f>IF(J2002=1,0,K2002-L2002)</x:f>
        <x:v>340</x:v>
      </x:c>
      <x:c r="O2002" s="20" t="n">
        <x:f>N2002-M2002</x:f>
        <x:v>120</x:v>
      </x:c>
    </x:row>
    <x:row r="2003" ht="22" customHeight="1">
      <x:c r="A2003" s="11" t="n">
        <x:v>1999</x:v>
      </x:c>
      <x:c r="B2003" s="11" t="n">
        <x:v>1009</x:v>
      </x:c>
      <x:c r="C2003" s="18" t="n">
        <x:v>45375</x:v>
      </x:c>
      <x:c r="D2003" s="11" t="str">
        <x:v>2024-03</x:v>
      </x:c>
      <x:c r="E2003" s="11" t="str">
        <x:v>West</x:v>
      </x:c>
      <x:c r="F2003" s="11" t="str">
        <x:v>Office Supplies</x:v>
      </x:c>
      <x:c r="G2003" s="11" t="str">
        <x:v>Notebook pack</x:v>
      </x:c>
      <x:c r="H2003" s="11" t="n">
        <x:v>1</x:v>
      </x:c>
      <x:c r="I2003" s="19" t="n">
        <x:v>0</x:v>
      </x:c>
      <x:c r="J2003" s="11" t="n">
        <x:v>0</x:v>
      </x:c>
      <x:c r="K2003" s="20" t="n">
        <x:v>18</x:v>
      </x:c>
      <x:c r="L2003" s="20" t="n">
        <x:v>0</x:v>
      </x:c>
      <x:c r="M2003" s="20" t="n">
        <x:v>7</x:v>
      </x:c>
      <x:c r="N2003" s="20" t="n">
        <x:f>IF(J2003=1,0,K2003-L2003)</x:f>
        <x:v>18</x:v>
      </x:c>
      <x:c r="O2003" s="20" t="n">
        <x:f>N2003-M2003</x:f>
        <x:v>11</x:v>
      </x:c>
    </x:row>
    <x:row r="2004" ht="22" customHeight="1">
      <x:c r="A2004" s="11" t="n">
        <x:v>2000</x:v>
      </x:c>
      <x:c r="B2004" s="11" t="n">
        <x:v>1009</x:v>
      </x:c>
      <x:c r="C2004" s="18" t="n">
        <x:v>45375</x:v>
      </x:c>
      <x:c r="D2004" s="11" t="str">
        <x:v>2024-03</x:v>
      </x:c>
      <x:c r="E2004" s="11" t="str">
        <x:v>West</x:v>
      </x:c>
      <x:c r="F2004" s="11" t="str">
        <x:v>Technology</x:v>
      </x:c>
      <x:c r="G2004" s="11" t="str">
        <x:v>Keyboard</x:v>
      </x:c>
      <x:c r="H2004" s="11" t="n">
        <x:v>3</x:v>
      </x:c>
      <x:c r="I2004" s="19" t="n">
        <x:v>0.15</x:v>
      </x:c>
      <x:c r="J2004" s="11" t="n">
        <x:v>0</x:v>
      </x:c>
      <x:c r="K2004" s="20" t="n">
        <x:v>195</x:v>
      </x:c>
      <x:c r="L2004" s="20" t="n">
        <x:v>29.25</x:v>
      </x:c>
      <x:c r="M2004" s="20" t="n">
        <x:v>96</x:v>
      </x:c>
      <x:c r="N2004" s="20" t="n">
        <x:f>IF(J2004=1,0,K2004-L2004)</x:f>
        <x:v>165.75</x:v>
      </x:c>
      <x:c r="O2004" s="20" t="n">
        <x:f>N2004-M2004</x:f>
        <x:v>69.75</x:v>
      </x:c>
    </x:row>
    <x:row r="2005" ht="22" customHeight="1">
      <x:c r="A2005" s="11" t="n">
        <x:v>2001</x:v>
      </x:c>
      <x:c r="B2005" s="11" t="n">
        <x:v>1010</x:v>
      </x:c>
      <x:c r="C2005" s="18" t="n">
        <x:v>45773</x:v>
      </x:c>
      <x:c r="D2005" s="11" t="str">
        <x:v>2025-04</x:v>
      </x:c>
      <x:c r="E2005" s="11" t="str">
        <x:v>Central</x:v>
      </x:c>
      <x:c r="F2005" s="11" t="str">
        <x:v>Furniture</x:v>
      </x:c>
      <x:c r="G2005" s="11" t="str">
        <x:v>Desk</x:v>
      </x:c>
      <x:c r="H2005" s="11" t="n">
        <x:v>4</x:v>
      </x:c>
      <x:c r="I2005" s="19" t="n">
        <x:v>0</x:v>
      </x:c>
      <x:c r="J2005" s="11" t="n">
        <x:v>0</x:v>
      </x:c>
      <x:c r="K2005" s="20" t="n">
        <x:v>1120</x:v>
      </x:c>
      <x:c r="L2005" s="20" t="n">
        <x:v>0</x:v>
      </x:c>
      <x:c r="M2005" s="20" t="n">
        <x:v>760</x:v>
      </x:c>
      <x:c r="N2005" s="20" t="n">
        <x:f>IF(J2005=1,0,K2005-L2005)</x:f>
        <x:v>1120</x:v>
      </x:c>
      <x:c r="O2005" s="20" t="n">
        <x:f>N2005-M2005</x:f>
        <x:v>360</x:v>
      </x:c>
    </x:row>
    <x:row r="2006" ht="22" customHeight="1">
      <x:c r="A2006" s="11" t="n">
        <x:v>2002</x:v>
      </x:c>
      <x:c r="B2006" s="11" t="n">
        <x:v>1011</x:v>
      </x:c>
      <x:c r="C2006" s="18" t="n">
        <x:v>45366</x:v>
      </x:c>
      <x:c r="D2006" s="11" t="str">
        <x:v>2024-03</x:v>
      </x:c>
      <x:c r="E2006" s="11" t="str">
        <x:v>West</x:v>
      </x:c>
      <x:c r="F2006" s="11" t="str">
        <x:v>Technology</x:v>
      </x:c>
      <x:c r="G2006" s="11" t="str">
        <x:v>Monitor</x:v>
      </x:c>
      <x:c r="H2006" s="11" t="n">
        <x:v>4</x:v>
      </x:c>
      <x:c r="I2006" s="19" t="n">
        <x:v>0.15</x:v>
      </x:c>
      <x:c r="J2006" s="11" t="n">
        <x:v>0</x:v>
      </x:c>
      <x:c r="K2006" s="20" t="n">
        <x:v>960</x:v>
      </x:c>
      <x:c r="L2006" s="20" t="n">
        <x:v>144</x:v>
      </x:c>
      <x:c r="M2006" s="20" t="n">
        <x:v>640</x:v>
      </x:c>
      <x:c r="N2006" s="20" t="n">
        <x:f>IF(J2006=1,0,K2006-L2006)</x:f>
        <x:v>816</x:v>
      </x:c>
      <x:c r="O2006" s="20" t="n">
        <x:f>N2006-M2006</x:f>
        <x:v>176</x:v>
      </x:c>
    </x:row>
    <x:row r="2007" ht="22" customHeight="1">
      <x:c r="A2007" s="11" t="n">
        <x:v>2003</x:v>
      </x:c>
      <x:c r="B2007" s="11" t="n">
        <x:v>1011</x:v>
      </x:c>
      <x:c r="C2007" s="18" t="n">
        <x:v>45366</x:v>
      </x:c>
      <x:c r="D2007" s="11" t="str">
        <x:v>2024-03</x:v>
      </x:c>
      <x:c r="E2007" s="11" t="str">
        <x:v>West</x:v>
      </x:c>
      <x:c r="F2007" s="11" t="str">
        <x:v>Furniture</x:v>
      </x:c>
      <x:c r="G2007" s="11" t="str">
        <x:v>Chair</x:v>
      </x:c>
      <x:c r="H2007" s="11" t="n">
        <x:v>3</x:v>
      </x:c>
      <x:c r="I2007" s="19" t="n">
        <x:v>0</x:v>
      </x:c>
      <x:c r="J2007" s="11" t="n">
        <x:v>0</x:v>
      </x:c>
      <x:c r="K2007" s="20" t="n">
        <x:v>510</x:v>
      </x:c>
      <x:c r="L2007" s="20" t="n">
        <x:v>0</x:v>
      </x:c>
      <x:c r="M2007" s="20" t="n">
        <x:v>330</x:v>
      </x:c>
      <x:c r="N2007" s="20" t="n">
        <x:f>IF(J2007=1,0,K2007-L2007)</x:f>
        <x:v>510</x:v>
      </x:c>
      <x:c r="O2007" s="20" t="n">
        <x:f>N2007-M2007</x:f>
        <x:v>180</x:v>
      </x:c>
    </x:row>
    <x:row r="2008" ht="22" customHeight="1">
      <x:c r="A2008" s="11" t="n">
        <x:v>2004</x:v>
      </x:c>
      <x:c r="B2008" s="11" t="n">
        <x:v>1012</x:v>
      </x:c>
      <x:c r="C2008" s="18" t="n">
        <x:v>45636</x:v>
      </x:c>
      <x:c r="D2008" s="11" t="str">
        <x:v>2024-12</x:v>
      </x:c>
      <x:c r="E2008" s="11" t="str">
        <x:v>East</x:v>
      </x:c>
      <x:c r="F2008" s="11" t="str">
        <x:v>Furniture</x:v>
      </x:c>
      <x:c r="G2008" s="11" t="str">
        <x:v>Desk</x:v>
      </x:c>
      <x:c r="H2008" s="11" t="n">
        <x:v>4</x:v>
      </x:c>
      <x:c r="I2008" s="19" t="n">
        <x:v>0.25</x:v>
      </x:c>
      <x:c r="J2008" s="11" t="n">
        <x:v>0</x:v>
      </x:c>
      <x:c r="K2008" s="20" t="n">
        <x:v>1120</x:v>
      </x:c>
      <x:c r="L2008" s="20" t="n">
        <x:v>280</x:v>
      </x:c>
      <x:c r="M2008" s="20" t="n">
        <x:v>760</x:v>
      </x:c>
      <x:c r="N2008" s="20" t="n">
        <x:f>IF(J2008=1,0,K2008-L2008)</x:f>
        <x:v>840</x:v>
      </x:c>
      <x:c r="O2008" s="20" t="n">
        <x:f>N2008-M2008</x:f>
        <x:v>80</x:v>
      </x:c>
    </x:row>
    <x:row r="2009" ht="22" customHeight="1">
      <x:c r="A2009" s="11" t="n">
        <x:v>2005</x:v>
      </x:c>
      <x:c r="B2009" s="11" t="n">
        <x:v>1012</x:v>
      </x:c>
      <x:c r="C2009" s="18" t="n">
        <x:v>45636</x:v>
      </x:c>
      <x:c r="D2009" s="11" t="str">
        <x:v>2024-12</x:v>
      </x:c>
      <x:c r="E2009" s="11" t="str">
        <x:v>East</x:v>
      </x:c>
      <x:c r="F2009" s="11" t="str">
        <x:v>Office Supplies</x:v>
      </x:c>
      <x:c r="G2009" s="11" t="str">
        <x:v>Storage box</x:v>
      </x:c>
      <x:c r="H2009" s="11" t="n">
        <x:v>4</x:v>
      </x:c>
      <x:c r="I2009" s="19" t="n">
        <x:v>0.05</x:v>
      </x:c>
      <x:c r="J2009" s="11" t="n">
        <x:v>0</x:v>
      </x:c>
      <x:c r="K2009" s="20" t="n">
        <x:v>104</x:v>
      </x:c>
      <x:c r="L2009" s="20" t="n">
        <x:v>5.2</x:v>
      </x:c>
      <x:c r="M2009" s="20" t="n">
        <x:v>48</x:v>
      </x:c>
      <x:c r="N2009" s="20" t="n">
        <x:f>IF(J2009=1,0,K2009-L2009)</x:f>
        <x:v>98.8</x:v>
      </x:c>
      <x:c r="O2009" s="20" t="n">
        <x:f>N2009-M2009</x:f>
        <x:v>50.8</x:v>
      </x:c>
    </x:row>
    <x:row r="2010" ht="22" customHeight="1">
      <x:c r="A2010" s="11" t="n">
        <x:v>2006</x:v>
      </x:c>
      <x:c r="B2010" s="11" t="n">
        <x:v>1012</x:v>
      </x:c>
      <x:c r="C2010" s="18" t="n">
        <x:v>45636</x:v>
      </x:c>
      <x:c r="D2010" s="11" t="str">
        <x:v>2024-12</x:v>
      </x:c>
      <x:c r="E2010" s="11" t="str">
        <x:v>East</x:v>
      </x:c>
      <x:c r="F2010" s="11" t="str">
        <x:v>Technology</x:v>
      </x:c>
      <x:c r="G2010" s="11" t="str">
        <x:v>Monitor</x:v>
      </x:c>
      <x:c r="H2010" s="11" t="n">
        <x:v>2</x:v>
      </x:c>
      <x:c r="I2010" s="19" t="n">
        <x:v>0</x:v>
      </x:c>
      <x:c r="J2010" s="11" t="n">
        <x:v>0</x:v>
      </x:c>
      <x:c r="K2010" s="20" t="n">
        <x:v>480</x:v>
      </x:c>
      <x:c r="L2010" s="20" t="n">
        <x:v>0</x:v>
      </x:c>
      <x:c r="M2010" s="20" t="n">
        <x:v>320</x:v>
      </x:c>
      <x:c r="N2010" s="20" t="n">
        <x:f>IF(J2010=1,0,K2010-L2010)</x:f>
        <x:v>480</x:v>
      </x:c>
      <x:c r="O2010" s="20" t="n">
        <x:f>N2010-M2010</x:f>
        <x:v>160</x:v>
      </x:c>
    </x:row>
    <x:row r="2011" ht="22" customHeight="1">
      <x:c r="A2011" s="11" t="n">
        <x:v>2007</x:v>
      </x:c>
      <x:c r="B2011" s="11" t="n">
        <x:v>1013</x:v>
      </x:c>
      <x:c r="C2011" s="18" t="n">
        <x:v>45895</x:v>
      </x:c>
      <x:c r="D2011" s="11" t="str">
        <x:v>2025-08</x:v>
      </x:c>
      <x:c r="E2011" s="11" t="str">
        <x:v>Central</x:v>
      </x:c>
      <x:c r="F2011" s="11" t="str">
        <x:v>Furniture</x:v>
      </x:c>
      <x:c r="G2011" s="11" t="str">
        <x:v>Desk</x:v>
      </x:c>
      <x:c r="H2011" s="11" t="n">
        <x:v>5</x:v>
      </x:c>
      <x:c r="I2011" s="19" t="n">
        <x:v>0.15</x:v>
      </x:c>
      <x:c r="J2011" s="11" t="n">
        <x:v>0</x:v>
      </x:c>
      <x:c r="K2011" s="20" t="n">
        <x:v>1400</x:v>
      </x:c>
      <x:c r="L2011" s="20" t="n">
        <x:v>210</x:v>
      </x:c>
      <x:c r="M2011" s="20" t="n">
        <x:v>950</x:v>
      </x:c>
      <x:c r="N2011" s="20" t="n">
        <x:f>IF(J2011=1,0,K2011-L2011)</x:f>
        <x:v>1190</x:v>
      </x:c>
      <x:c r="O2011" s="20" t="n">
        <x:f>N2011-M2011</x:f>
        <x:v>240</x:v>
      </x:c>
    </x:row>
    <x:row r="2012" ht="22" customHeight="1">
      <x:c r="A2012" s="11" t="n">
        <x:v>2008</x:v>
      </x:c>
      <x:c r="B2012" s="11" t="n">
        <x:v>1014</x:v>
      </x:c>
      <x:c r="C2012" s="18" t="n">
        <x:v>45756</x:v>
      </x:c>
      <x:c r="D2012" s="11" t="str">
        <x:v>2025-04</x:v>
      </x:c>
      <x:c r="E2012" s="11" t="str">
        <x:v>Central</x:v>
      </x:c>
      <x:c r="F2012" s="11" t="str">
        <x:v>Furniture</x:v>
      </x:c>
      <x:c r="G2012" s="11" t="str">
        <x:v>Chair</x:v>
      </x:c>
      <x:c r="H2012" s="11" t="n">
        <x:v>5</x:v>
      </x:c>
      <x:c r="I2012" s="19" t="n">
        <x:v>0.1</x:v>
      </x:c>
      <x:c r="J2012" s="11" t="n">
        <x:v>0</x:v>
      </x:c>
      <x:c r="K2012" s="20" t="n">
        <x:v>850</x:v>
      </x:c>
      <x:c r="L2012" s="20" t="n">
        <x:v>85</x:v>
      </x:c>
      <x:c r="M2012" s="20" t="n">
        <x:v>550</x:v>
      </x:c>
      <x:c r="N2012" s="20" t="n">
        <x:f>IF(J2012=1,0,K2012-L2012)</x:f>
        <x:v>765</x:v>
      </x:c>
      <x:c r="O2012" s="20" t="n">
        <x:f>N2012-M2012</x:f>
        <x:v>215</x:v>
      </x:c>
    </x:row>
    <x:row r="2013" ht="22" customHeight="1">
      <x:c r="A2013" s="11" t="n">
        <x:v>2009</x:v>
      </x:c>
      <x:c r="B2013" s="11" t="n">
        <x:v>1014</x:v>
      </x:c>
      <x:c r="C2013" s="18" t="n">
        <x:v>45756</x:v>
      </x:c>
      <x:c r="D2013" s="11" t="str">
        <x:v>2025-04</x:v>
      </x:c>
      <x:c r="E2013" s="11" t="str">
        <x:v>Central</x:v>
      </x:c>
      <x:c r="F2013" s="11" t="str">
        <x:v>Office Supplies</x:v>
      </x:c>
      <x:c r="G2013" s="11" t="str">
        <x:v>Notebook pack</x:v>
      </x:c>
      <x:c r="H2013" s="11" t="n">
        <x:v>1</x:v>
      </x:c>
      <x:c r="I2013" s="19" t="n">
        <x:v>0</x:v>
      </x:c>
      <x:c r="J2013" s="11" t="n">
        <x:v>0</x:v>
      </x:c>
      <x:c r="K2013" s="20" t="n">
        <x:v>18</x:v>
      </x:c>
      <x:c r="L2013" s="20" t="n">
        <x:v>0</x:v>
      </x:c>
      <x:c r="M2013" s="20" t="n">
        <x:v>7</x:v>
      </x:c>
      <x:c r="N2013" s="20" t="n">
        <x:f>IF(J2013=1,0,K2013-L2013)</x:f>
        <x:v>18</x:v>
      </x:c>
      <x:c r="O2013" s="20" t="n">
        <x:f>N2013-M2013</x:f>
        <x:v>11</x:v>
      </x:c>
    </x:row>
    <x:row r="2014" ht="22" customHeight="1">
      <x:c r="A2014" s="11" t="n">
        <x:v>2010</x:v>
      </x:c>
      <x:c r="B2014" s="11" t="n">
        <x:v>1015</x:v>
      </x:c>
      <x:c r="C2014" s="18" t="n">
        <x:v>45641</x:v>
      </x:c>
      <x:c r="D2014" s="11" t="str">
        <x:v>2024-12</x:v>
      </x:c>
      <x:c r="E2014" s="11" t="str">
        <x:v>Central</x:v>
      </x:c>
      <x:c r="F2014" s="11" t="str">
        <x:v>Technology</x:v>
      </x:c>
      <x:c r="G2014" s="11" t="str">
        <x:v>Monitor</x:v>
      </x:c>
      <x:c r="H2014" s="11" t="n">
        <x:v>3</x:v>
      </x:c>
      <x:c r="I2014" s="19" t="n">
        <x:v>0</x:v>
      </x:c>
      <x:c r="J2014" s="11" t="n">
        <x:v>0</x:v>
      </x:c>
      <x:c r="K2014" s="20" t="n">
        <x:v>720</x:v>
      </x:c>
      <x:c r="L2014" s="20" t="n">
        <x:v>0</x:v>
      </x:c>
      <x:c r="M2014" s="20" t="n">
        <x:v>480</x:v>
      </x:c>
      <x:c r="N2014" s="20" t="n">
        <x:f>IF(J2014=1,0,K2014-L2014)</x:f>
        <x:v>720</x:v>
      </x:c>
      <x:c r="O2014" s="20" t="n">
        <x:f>N2014-M2014</x:f>
        <x:v>240</x:v>
      </x:c>
    </x:row>
    <x:row r="2015" ht="22" customHeight="1">
      <x:c r="A2015" s="11" t="n">
        <x:v>2011</x:v>
      </x:c>
      <x:c r="B2015" s="11" t="n">
        <x:v>1015</x:v>
      </x:c>
      <x:c r="C2015" s="18" t="n">
        <x:v>45641</x:v>
      </x:c>
      <x:c r="D2015" s="11" t="str">
        <x:v>2024-12</x:v>
      </x:c>
      <x:c r="E2015" s="11" t="str">
        <x:v>Central</x:v>
      </x:c>
      <x:c r="F2015" s="11" t="str">
        <x:v>Technology</x:v>
      </x:c>
      <x:c r="G2015" s="11" t="str">
        <x:v>Keyboard</x:v>
      </x:c>
      <x:c r="H2015" s="11" t="n">
        <x:v>1</x:v>
      </x:c>
      <x:c r="I2015" s="19" t="n">
        <x:v>0</x:v>
      </x:c>
      <x:c r="J2015" s="11" t="n">
        <x:v>0</x:v>
      </x:c>
      <x:c r="K2015" s="20" t="n">
        <x:v>65</x:v>
      </x:c>
      <x:c r="L2015" s="20" t="n">
        <x:v>0</x:v>
      </x:c>
      <x:c r="M2015" s="20" t="n">
        <x:v>32</x:v>
      </x:c>
      <x:c r="N2015" s="20" t="n">
        <x:f>IF(J2015=1,0,K2015-L2015)</x:f>
        <x:v>65</x:v>
      </x:c>
      <x:c r="O2015" s="20" t="n">
        <x:f>N2015-M2015</x:f>
        <x:v>33</x:v>
      </x:c>
    </x:row>
    <x:row r="2016" ht="22" customHeight="1">
      <x:c r="A2016" s="11" t="n">
        <x:v>2012</x:v>
      </x:c>
      <x:c r="B2016" s="11" t="n">
        <x:v>1016</x:v>
      </x:c>
      <x:c r="C2016" s="18" t="n">
        <x:v>45576</x:v>
      </x:c>
      <x:c r="D2016" s="11" t="str">
        <x:v>2024-10</x:v>
      </x:c>
      <x:c r="E2016" s="11" t="str">
        <x:v>Central</x:v>
      </x:c>
      <x:c r="F2016" s="11" t="str">
        <x:v>Technology</x:v>
      </x:c>
      <x:c r="G2016" s="11" t="str">
        <x:v>Monitor</x:v>
      </x:c>
      <x:c r="H2016" s="11" t="n">
        <x:v>3</x:v>
      </x:c>
      <x:c r="I2016" s="19" t="n">
        <x:v>0</x:v>
      </x:c>
      <x:c r="J2016" s="11" t="n">
        <x:v>0</x:v>
      </x:c>
      <x:c r="K2016" s="20" t="n">
        <x:v>720</x:v>
      </x:c>
      <x:c r="L2016" s="20" t="n">
        <x:v>0</x:v>
      </x:c>
      <x:c r="M2016" s="20" t="n">
        <x:v>480</x:v>
      </x:c>
      <x:c r="N2016" s="20" t="n">
        <x:f>IF(J2016=1,0,K2016-L2016)</x:f>
        <x:v>720</x:v>
      </x:c>
      <x:c r="O2016" s="20" t="n">
        <x:f>N2016-M2016</x:f>
        <x:v>240</x:v>
      </x:c>
    </x:row>
    <x:row r="2017" ht="22" customHeight="1">
      <x:c r="A2017" s="11" t="n">
        <x:v>2013</x:v>
      </x:c>
      <x:c r="B2017" s="11" t="n">
        <x:v>1017</x:v>
      </x:c>
      <x:c r="C2017" s="18" t="n">
        <x:v>45572</x:v>
      </x:c>
      <x:c r="D2017" s="11" t="str">
        <x:v>2024-10</x:v>
      </x:c>
      <x:c r="E2017" s="11" t="str">
        <x:v>Central</x:v>
      </x:c>
      <x:c r="F2017" s="11" t="str">
        <x:v>Furniture</x:v>
      </x:c>
      <x:c r="G2017" s="11" t="str">
        <x:v>Chair</x:v>
      </x:c>
      <x:c r="H2017" s="11" t="n">
        <x:v>3</x:v>
      </x:c>
      <x:c r="I2017" s="19" t="n">
        <x:v>0.1</x:v>
      </x:c>
      <x:c r="J2017" s="11" t="n">
        <x:v>0</x:v>
      </x:c>
      <x:c r="K2017" s="20" t="n">
        <x:v>510</x:v>
      </x:c>
      <x:c r="L2017" s="20" t="n">
        <x:v>51</x:v>
      </x:c>
      <x:c r="M2017" s="20" t="n">
        <x:v>330</x:v>
      </x:c>
      <x:c r="N2017" s="20" t="n">
        <x:f>IF(J2017=1,0,K2017-L2017)</x:f>
        <x:v>459</x:v>
      </x:c>
      <x:c r="O2017" s="20" t="n">
        <x:f>N2017-M2017</x:f>
        <x:v>129</x:v>
      </x:c>
    </x:row>
    <x:row r="2018" ht="22" customHeight="1">
      <x:c r="A2018" s="11" t="n">
        <x:v>2014</x:v>
      </x:c>
      <x:c r="B2018" s="11" t="n">
        <x:v>1018</x:v>
      </x:c>
      <x:c r="C2018" s="18" t="n">
        <x:v>45400</x:v>
      </x:c>
      <x:c r="D2018" s="11" t="str">
        <x:v>2024-04</x:v>
      </x:c>
      <x:c r="E2018" s="11" t="str">
        <x:v>West</x:v>
      </x:c>
      <x:c r="F2018" s="11" t="str">
        <x:v>Furniture</x:v>
      </x:c>
      <x:c r="G2018" s="11" t="str">
        <x:v>Desk</x:v>
      </x:c>
      <x:c r="H2018" s="11" t="n">
        <x:v>2</x:v>
      </x:c>
      <x:c r="I2018" s="19" t="n">
        <x:v>0</x:v>
      </x:c>
      <x:c r="J2018" s="11" t="n">
        <x:v>1</x:v>
      </x:c>
      <x:c r="K2018" s="20" t="n">
        <x:v>560</x:v>
      </x:c>
      <x:c r="L2018" s="20" t="n">
        <x:v>0</x:v>
      </x:c>
      <x:c r="M2018" s="20" t="n">
        <x:v>0</x:v>
      </x:c>
      <x:c r="N2018" s="20" t="n">
        <x:f>IF(J2018=1,0,K2018-L2018)</x:f>
        <x:v>0</x:v>
      </x:c>
      <x:c r="O2018" s="20" t="n">
        <x:f>N2018-M2018</x:f>
        <x:v>0</x:v>
      </x:c>
    </x:row>
    <x:row r="2019" ht="22" customHeight="1">
      <x:c r="A2019" s="11" t="n">
        <x:v>2015</x:v>
      </x:c>
      <x:c r="B2019" s="11" t="n">
        <x:v>1019</x:v>
      </x:c>
      <x:c r="C2019" s="18" t="n">
        <x:v>45332</x:v>
      </x:c>
      <x:c r="D2019" s="11" t="str">
        <x:v>2024-02</x:v>
      </x:c>
      <x:c r="E2019" s="11" t="str">
        <x:v>East</x:v>
      </x:c>
      <x:c r="F2019" s="11" t="str">
        <x:v>Technology</x:v>
      </x:c>
      <x:c r="G2019" s="11" t="str">
        <x:v>Keyboard</x:v>
      </x:c>
      <x:c r="H2019" s="11" t="n">
        <x:v>1</x:v>
      </x:c>
      <x:c r="I2019" s="19" t="n">
        <x:v>0.05</x:v>
      </x:c>
      <x:c r="J2019" s="11" t="n">
        <x:v>0</x:v>
      </x:c>
      <x:c r="K2019" s="20" t="n">
        <x:v>65</x:v>
      </x:c>
      <x:c r="L2019" s="20" t="n">
        <x:v>3.25</x:v>
      </x:c>
      <x:c r="M2019" s="20" t="n">
        <x:v>32</x:v>
      </x:c>
      <x:c r="N2019" s="20" t="n">
        <x:f>IF(J2019=1,0,K2019-L2019)</x:f>
        <x:v>61.75</x:v>
      </x:c>
      <x:c r="O2019" s="20" t="n">
        <x:f>N2019-M2019</x:f>
        <x:v>29.75</x:v>
      </x:c>
    </x:row>
    <x:row r="2020" ht="22" customHeight="1">
      <x:c r="A2020" s="11" t="n">
        <x:v>2016</x:v>
      </x:c>
      <x:c r="B2020" s="11" t="n">
        <x:v>1020</x:v>
      </x:c>
      <x:c r="C2020" s="18" t="n">
        <x:v>45876</x:v>
      </x:c>
      <x:c r="D2020" s="11" t="str">
        <x:v>2025-08</x:v>
      </x:c>
      <x:c r="E2020" s="11" t="str">
        <x:v>South</x:v>
      </x:c>
      <x:c r="F2020" s="11" t="str">
        <x:v>Furniture</x:v>
      </x:c>
      <x:c r="G2020" s="11" t="str">
        <x:v>Chair</x:v>
      </x:c>
      <x:c r="H2020" s="11" t="n">
        <x:v>1</x:v>
      </x:c>
      <x:c r="I2020" s="19" t="n">
        <x:v>0</x:v>
      </x:c>
      <x:c r="J2020" s="11" t="n">
        <x:v>0</x:v>
      </x:c>
      <x:c r="K2020" s="20" t="n">
        <x:v>170</x:v>
      </x:c>
      <x:c r="L2020" s="20" t="n">
        <x:v>0</x:v>
      </x:c>
      <x:c r="M2020" s="20" t="n">
        <x:v>110</x:v>
      </x:c>
      <x:c r="N2020" s="20" t="n">
        <x:f>IF(J2020=1,0,K2020-L2020)</x:f>
        <x:v>170</x:v>
      </x:c>
      <x:c r="O2020" s="20" t="n">
        <x:f>N2020-M2020</x:f>
        <x:v>60</x:v>
      </x:c>
    </x:row>
    <x:row r="2021" ht="22" customHeight="1">
      <x:c r="A2021" s="11" t="n">
        <x:v>2017</x:v>
      </x:c>
      <x:c r="B2021" s="11" t="n">
        <x:v>1020</x:v>
      </x:c>
      <x:c r="C2021" s="18" t="n">
        <x:v>45876</x:v>
      </x:c>
      <x:c r="D2021" s="11" t="str">
        <x:v>2025-08</x:v>
      </x:c>
      <x:c r="E2021" s="11" t="str">
        <x:v>South</x:v>
      </x:c>
      <x:c r="F2021" s="11" t="str">
        <x:v>Technology</x:v>
      </x:c>
      <x:c r="G2021" s="11" t="str">
        <x:v>Keyboard</x:v>
      </x:c>
      <x:c r="H2021" s="11" t="n">
        <x:v>4</x:v>
      </x:c>
      <x:c r="I2021" s="19" t="n">
        <x:v>0.1</x:v>
      </x:c>
      <x:c r="J2021" s="11" t="n">
        <x:v>0</x:v>
      </x:c>
      <x:c r="K2021" s="20" t="n">
        <x:v>260</x:v>
      </x:c>
      <x:c r="L2021" s="20" t="n">
        <x:v>26</x:v>
      </x:c>
      <x:c r="M2021" s="20" t="n">
        <x:v>128</x:v>
      </x:c>
      <x:c r="N2021" s="20" t="n">
        <x:f>IF(J2021=1,0,K2021-L2021)</x:f>
        <x:v>234</x:v>
      </x:c>
      <x:c r="O2021" s="20" t="n">
        <x:f>N2021-M2021</x:f>
        <x:v>106</x:v>
      </x:c>
    </x:row>
    <x:row r="2022" ht="22" customHeight="1">
      <x:c r="A2022" s="11" t="n">
        <x:v>2018</x:v>
      </x:c>
      <x:c r="B2022" s="11" t="n">
        <x:v>1020</x:v>
      </x:c>
      <x:c r="C2022" s="18" t="n">
        <x:v>45876</x:v>
      </x:c>
      <x:c r="D2022" s="11" t="str">
        <x:v>2025-08</x:v>
      </x:c>
      <x:c r="E2022" s="11" t="str">
        <x:v>South</x:v>
      </x:c>
      <x:c r="F2022" s="11" t="str">
        <x:v>Technology</x:v>
      </x:c>
      <x:c r="G2022" s="11" t="str">
        <x:v>Monitor</x:v>
      </x:c>
      <x:c r="H2022" s="11" t="n">
        <x:v>2</x:v>
      </x:c>
      <x:c r="I2022" s="19" t="n">
        <x:v>0.05</x:v>
      </x:c>
      <x:c r="J2022" s="11" t="n">
        <x:v>0</x:v>
      </x:c>
      <x:c r="K2022" s="20" t="n">
        <x:v>480</x:v>
      </x:c>
      <x:c r="L2022" s="20" t="n">
        <x:v>24</x:v>
      </x:c>
      <x:c r="M2022" s="20" t="n">
        <x:v>320</x:v>
      </x:c>
      <x:c r="N2022" s="20" t="n">
        <x:f>IF(J2022=1,0,K2022-L2022)</x:f>
        <x:v>456</x:v>
      </x:c>
      <x:c r="O2022" s="20" t="n">
        <x:f>N2022-M2022</x:f>
        <x:v>136</x:v>
      </x:c>
    </x:row>
    <x:row r="2023" ht="22" customHeight="1">
      <x:c r="A2023" s="11" t="n">
        <x:v>2019</x:v>
      </x:c>
      <x:c r="B2023" s="11" t="n">
        <x:v>1021</x:v>
      </x:c>
      <x:c r="C2023" s="18" t="n">
        <x:v>45411</x:v>
      </x:c>
      <x:c r="D2023" s="11" t="str">
        <x:v>2024-04</x:v>
      </x:c>
      <x:c r="E2023" s="11" t="str">
        <x:v>South</x:v>
      </x:c>
      <x:c r="F2023" s="11" t="str">
        <x:v>Furniture</x:v>
      </x:c>
      <x:c r="G2023" s="11" t="str">
        <x:v>Chair</x:v>
      </x:c>
      <x:c r="H2023" s="11" t="n">
        <x:v>2</x:v>
      </x:c>
      <x:c r="I2023" s="19" t="n">
        <x:v>0.15</x:v>
      </x:c>
      <x:c r="J2023" s="11" t="n">
        <x:v>0</x:v>
      </x:c>
      <x:c r="K2023" s="20" t="n">
        <x:v>340</x:v>
      </x:c>
      <x:c r="L2023" s="20" t="n">
        <x:v>51</x:v>
      </x:c>
      <x:c r="M2023" s="20" t="n">
        <x:v>220</x:v>
      </x:c>
      <x:c r="N2023" s="20" t="n">
        <x:f>IF(J2023=1,0,K2023-L2023)</x:f>
        <x:v>289</x:v>
      </x:c>
      <x:c r="O2023" s="20" t="n">
        <x:f>N2023-M2023</x:f>
        <x:v>69</x:v>
      </x:c>
    </x:row>
    <x:row r="2024" ht="22" customHeight="1">
      <x:c r="A2024" s="11" t="n">
        <x:v>2020</x:v>
      </x:c>
      <x:c r="B2024" s="11" t="n">
        <x:v>1021</x:v>
      </x:c>
      <x:c r="C2024" s="18" t="n">
        <x:v>45411</x:v>
      </x:c>
      <x:c r="D2024" s="11" t="str">
        <x:v>2024-04</x:v>
      </x:c>
      <x:c r="E2024" s="11" t="str">
        <x:v>South</x:v>
      </x:c>
      <x:c r="F2024" s="11" t="str">
        <x:v>Furniture</x:v>
      </x:c>
      <x:c r="G2024" s="11" t="str">
        <x:v>Desk</x:v>
      </x:c>
      <x:c r="H2024" s="11" t="n">
        <x:v>5</x:v>
      </x:c>
      <x:c r="I2024" s="19" t="n">
        <x:v>0</x:v>
      </x:c>
      <x:c r="J2024" s="11" t="n">
        <x:v>0</x:v>
      </x:c>
      <x:c r="K2024" s="20" t="n">
        <x:v>1400</x:v>
      </x:c>
      <x:c r="L2024" s="20" t="n">
        <x:v>0</x:v>
      </x:c>
      <x:c r="M2024" s="20" t="n">
        <x:v>950</x:v>
      </x:c>
      <x:c r="N2024" s="20" t="n">
        <x:f>IF(J2024=1,0,K2024-L2024)</x:f>
        <x:v>1400</x:v>
      </x:c>
      <x:c r="O2024" s="20" t="n">
        <x:f>N2024-M2024</x:f>
        <x:v>450</x:v>
      </x:c>
    </x:row>
    <x:row r="2025" ht="22" customHeight="1">
      <x:c r="A2025" s="11" t="n">
        <x:v>2021</x:v>
      </x:c>
      <x:c r="B2025" s="11" t="n">
        <x:v>1021</x:v>
      </x:c>
      <x:c r="C2025" s="18" t="n">
        <x:v>45411</x:v>
      </x:c>
      <x:c r="D2025" s="11" t="str">
        <x:v>2024-04</x:v>
      </x:c>
      <x:c r="E2025" s="11" t="str">
        <x:v>South</x:v>
      </x:c>
      <x:c r="F2025" s="11" t="str">
        <x:v>Technology</x:v>
      </x:c>
      <x:c r="G2025" s="11" t="str">
        <x:v>Monitor</x:v>
      </x:c>
      <x:c r="H2025" s="11" t="n">
        <x:v>3</x:v>
      </x:c>
      <x:c r="I2025" s="19" t="n">
        <x:v>0</x:v>
      </x:c>
      <x:c r="J2025" s="11" t="n">
        <x:v>0</x:v>
      </x:c>
      <x:c r="K2025" s="20" t="n">
        <x:v>720</x:v>
      </x:c>
      <x:c r="L2025" s="20" t="n">
        <x:v>0</x:v>
      </x:c>
      <x:c r="M2025" s="20" t="n">
        <x:v>480</x:v>
      </x:c>
      <x:c r="N2025" s="20" t="n">
        <x:f>IF(J2025=1,0,K2025-L2025)</x:f>
        <x:v>720</x:v>
      </x:c>
      <x:c r="O2025" s="20" t="n">
        <x:f>N2025-M2025</x:f>
        <x:v>240</x:v>
      </x:c>
    </x:row>
    <x:row r="2026" ht="22" customHeight="1">
      <x:c r="A2026" s="11" t="n">
        <x:v>2022</x:v>
      </x:c>
      <x:c r="B2026" s="11" t="n">
        <x:v>1022</x:v>
      </x:c>
      <x:c r="C2026" s="18" t="n">
        <x:v>46014</x:v>
      </x:c>
      <x:c r="D2026" s="11" t="str">
        <x:v>2025-12</x:v>
      </x:c>
      <x:c r="E2026" s="11" t="str">
        <x:v>Central</x:v>
      </x:c>
      <x:c r="F2026" s="11" t="str">
        <x:v>Office Supplies</x:v>
      </x:c>
      <x:c r="G2026" s="11" t="str">
        <x:v>Notebook pack</x:v>
      </x:c>
      <x:c r="H2026" s="11" t="n">
        <x:v>1</x:v>
      </x:c>
      <x:c r="I2026" s="19" t="n">
        <x:v>0</x:v>
      </x:c>
      <x:c r="J2026" s="11" t="n">
        <x:v>0</x:v>
      </x:c>
      <x:c r="K2026" s="20" t="n">
        <x:v>18</x:v>
      </x:c>
      <x:c r="L2026" s="20" t="n">
        <x:v>0</x:v>
      </x:c>
      <x:c r="M2026" s="20" t="n">
        <x:v>7</x:v>
      </x:c>
      <x:c r="N2026" s="20" t="n">
        <x:f>IF(J2026=1,0,K2026-L2026)</x:f>
        <x:v>18</x:v>
      </x:c>
      <x:c r="O2026" s="20" t="n">
        <x:f>N2026-M2026</x:f>
        <x:v>11</x:v>
      </x:c>
    </x:row>
    <x:row r="2027" ht="22" customHeight="1">
      <x:c r="A2027" s="11" t="n">
        <x:v>2023</x:v>
      </x:c>
      <x:c r="B2027" s="11" t="n">
        <x:v>1023</x:v>
      </x:c>
      <x:c r="C2027" s="18" t="n">
        <x:v>45892</x:v>
      </x:c>
      <x:c r="D2027" s="11" t="str">
        <x:v>2025-08</x:v>
      </x:c>
      <x:c r="E2027" s="11" t="str">
        <x:v>South</x:v>
      </x:c>
      <x:c r="F2027" s="11" t="str">
        <x:v>Furniture</x:v>
      </x:c>
      <x:c r="G2027" s="11" t="str">
        <x:v>Chair</x:v>
      </x:c>
      <x:c r="H2027" s="11" t="n">
        <x:v>2</x:v>
      </x:c>
      <x:c r="I2027" s="19" t="n">
        <x:v>0.35</x:v>
      </x:c>
      <x:c r="J2027" s="11" t="n">
        <x:v>0</x:v>
      </x:c>
      <x:c r="K2027" s="20" t="n">
        <x:v>340</x:v>
      </x:c>
      <x:c r="L2027" s="20" t="n">
        <x:v>119</x:v>
      </x:c>
      <x:c r="M2027" s="20" t="n">
        <x:v>220</x:v>
      </x:c>
      <x:c r="N2027" s="20" t="n">
        <x:f>IF(J2027=1,0,K2027-L2027)</x:f>
        <x:v>221</x:v>
      </x:c>
      <x:c r="O2027" s="20" t="n">
        <x:f>N2027-M2027</x:f>
        <x:v>1</x:v>
      </x:c>
    </x:row>
    <x:row r="2028" ht="22" customHeight="1">
      <x:c r="A2028" s="11" t="n">
        <x:v>2024</x:v>
      </x:c>
      <x:c r="B2028" s="11" t="n">
        <x:v>1023</x:v>
      </x:c>
      <x:c r="C2028" s="18" t="n">
        <x:v>45892</x:v>
      </x:c>
      <x:c r="D2028" s="11" t="str">
        <x:v>2025-08</x:v>
      </x:c>
      <x:c r="E2028" s="11" t="str">
        <x:v>South</x:v>
      </x:c>
      <x:c r="F2028" s="11" t="str">
        <x:v>Technology</x:v>
      </x:c>
      <x:c r="G2028" s="11" t="str">
        <x:v>Monitor</x:v>
      </x:c>
      <x:c r="H2028" s="11" t="n">
        <x:v>4</x:v>
      </x:c>
      <x:c r="I2028" s="19" t="n">
        <x:v>0.05</x:v>
      </x:c>
      <x:c r="J2028" s="11" t="n">
        <x:v>0</x:v>
      </x:c>
      <x:c r="K2028" s="20" t="n">
        <x:v>960</x:v>
      </x:c>
      <x:c r="L2028" s="20" t="n">
        <x:v>48</x:v>
      </x:c>
      <x:c r="M2028" s="20" t="n">
        <x:v>640</x:v>
      </x:c>
      <x:c r="N2028" s="20" t="n">
        <x:f>IF(J2028=1,0,K2028-L2028)</x:f>
        <x:v>912</x:v>
      </x:c>
      <x:c r="O2028" s="20" t="n">
        <x:f>N2028-M2028</x:f>
        <x:v>272</x:v>
      </x:c>
    </x:row>
    <x:row r="2029" ht="22" customHeight="1">
      <x:c r="A2029" s="11" t="n">
        <x:v>2025</x:v>
      </x:c>
      <x:c r="B2029" s="11" t="n">
        <x:v>1023</x:v>
      </x:c>
      <x:c r="C2029" s="18" t="n">
        <x:v>45892</x:v>
      </x:c>
      <x:c r="D2029" s="11" t="str">
        <x:v>2025-08</x:v>
      </x:c>
      <x:c r="E2029" s="11" t="str">
        <x:v>South</x:v>
      </x:c>
      <x:c r="F2029" s="11" t="str">
        <x:v>Technology</x:v>
      </x:c>
      <x:c r="G2029" s="11" t="str">
        <x:v>Keyboard</x:v>
      </x:c>
      <x:c r="H2029" s="11" t="n">
        <x:v>1</x:v>
      </x:c>
      <x:c r="I2029" s="19" t="n">
        <x:v>0.15</x:v>
      </x:c>
      <x:c r="J2029" s="11" t="n">
        <x:v>0</x:v>
      </x:c>
      <x:c r="K2029" s="20" t="n">
        <x:v>65</x:v>
      </x:c>
      <x:c r="L2029" s="20" t="n">
        <x:v>9.75</x:v>
      </x:c>
      <x:c r="M2029" s="20" t="n">
        <x:v>32</x:v>
      </x:c>
      <x:c r="N2029" s="20" t="n">
        <x:f>IF(J2029=1,0,K2029-L2029)</x:f>
        <x:v>55.25</x:v>
      </x:c>
      <x:c r="O2029" s="20" t="n">
        <x:f>N2029-M2029</x:f>
        <x:v>23.25</x:v>
      </x:c>
    </x:row>
    <x:row r="2030" ht="22" customHeight="1">
      <x:c r="A2030" s="11" t="n">
        <x:v>2026</x:v>
      </x:c>
      <x:c r="B2030" s="11" t="n">
        <x:v>1024</x:v>
      </x:c>
      <x:c r="C2030" s="18" t="n">
        <x:v>45511</x:v>
      </x:c>
      <x:c r="D2030" s="11" t="str">
        <x:v>2024-08</x:v>
      </x:c>
      <x:c r="E2030" s="11" t="str">
        <x:v>East</x:v>
      </x:c>
      <x:c r="F2030" s="11" t="str">
        <x:v>Technology</x:v>
      </x:c>
      <x:c r="G2030" s="11" t="str">
        <x:v>Keyboard</x:v>
      </x:c>
      <x:c r="H2030" s="11" t="n">
        <x:v>5</x:v>
      </x:c>
      <x:c r="I2030" s="19" t="n">
        <x:v>0.15</x:v>
      </x:c>
      <x:c r="J2030" s="11" t="n">
        <x:v>0</x:v>
      </x:c>
      <x:c r="K2030" s="20" t="n">
        <x:v>325</x:v>
      </x:c>
      <x:c r="L2030" s="20" t="n">
        <x:v>48.75</x:v>
      </x:c>
      <x:c r="M2030" s="20" t="n">
        <x:v>160</x:v>
      </x:c>
      <x:c r="N2030" s="20" t="n">
        <x:f>IF(J2030=1,0,K2030-L2030)</x:f>
        <x:v>276.25</x:v>
      </x:c>
      <x:c r="O2030" s="20" t="n">
        <x:f>N2030-M2030</x:f>
        <x:v>116.25</x:v>
      </x:c>
    </x:row>
    <x:row r="2031" ht="22" customHeight="1">
      <x:c r="A2031" s="11" t="n">
        <x:v>2027</x:v>
      </x:c>
      <x:c r="B2031" s="11" t="n">
        <x:v>1025</x:v>
      </x:c>
      <x:c r="C2031" s="18" t="n">
        <x:v>45474</x:v>
      </x:c>
      <x:c r="D2031" s="11" t="str">
        <x:v>2024-07</x:v>
      </x:c>
      <x:c r="E2031" s="11" t="str">
        <x:v>South</x:v>
      </x:c>
      <x:c r="F2031" s="11" t="str">
        <x:v>Technology</x:v>
      </x:c>
      <x:c r="G2031" s="11" t="str">
        <x:v>Monitor</x:v>
      </x:c>
      <x:c r="H2031" s="11" t="n">
        <x:v>5</x:v>
      </x:c>
      <x:c r="I2031" s="19" t="n">
        <x:v>0</x:v>
      </x:c>
      <x:c r="J2031" s="11" t="n">
        <x:v>0</x:v>
      </x:c>
      <x:c r="K2031" s="20" t="n">
        <x:v>1200</x:v>
      </x:c>
      <x:c r="L2031" s="20" t="n">
        <x:v>0</x:v>
      </x:c>
      <x:c r="M2031" s="20" t="n">
        <x:v>800</x:v>
      </x:c>
      <x:c r="N2031" s="20" t="n">
        <x:f>IF(J2031=1,0,K2031-L2031)</x:f>
        <x:v>1200</x:v>
      </x:c>
      <x:c r="O2031" s="20" t="n">
        <x:f>N2031-M2031</x:f>
        <x:v>400</x:v>
      </x:c>
    </x:row>
    <x:row r="2032" ht="22" customHeight="1">
      <x:c r="A2032" s="11" t="n">
        <x:v>2028</x:v>
      </x:c>
      <x:c r="B2032" s="11" t="n">
        <x:v>1025</x:v>
      </x:c>
      <x:c r="C2032" s="18" t="n">
        <x:v>45474</x:v>
      </x:c>
      <x:c r="D2032" s="11" t="str">
        <x:v>2024-07</x:v>
      </x:c>
      <x:c r="E2032" s="11" t="str">
        <x:v>South</x:v>
      </x:c>
      <x:c r="F2032" s="11" t="str">
        <x:v>Office Supplies</x:v>
      </x:c>
      <x:c r="G2032" s="11" t="str">
        <x:v>Notebook pack</x:v>
      </x:c>
      <x:c r="H2032" s="11" t="n">
        <x:v>4</x:v>
      </x:c>
      <x:c r="I2032" s="19" t="n">
        <x:v>0.15</x:v>
      </x:c>
      <x:c r="J2032" s="11" t="n">
        <x:v>0</x:v>
      </x:c>
      <x:c r="K2032" s="20" t="n">
        <x:v>72</x:v>
      </x:c>
      <x:c r="L2032" s="20" t="n">
        <x:v>10.8</x:v>
      </x:c>
      <x:c r="M2032" s="20" t="n">
        <x:v>28</x:v>
      </x:c>
      <x:c r="N2032" s="20" t="n">
        <x:f>IF(J2032=1,0,K2032-L2032)</x:f>
        <x:v>61.2</x:v>
      </x:c>
      <x:c r="O2032" s="20" t="n">
        <x:f>N2032-M2032</x:f>
        <x:v>33.2</x:v>
      </x:c>
    </x:row>
    <x:row r="2033" ht="22" customHeight="1">
      <x:c r="A2033" s="11" t="n">
        <x:v>2029</x:v>
      </x:c>
      <x:c r="B2033" s="11" t="n">
        <x:v>1025</x:v>
      </x:c>
      <x:c r="C2033" s="18" t="n">
        <x:v>45474</x:v>
      </x:c>
      <x:c r="D2033" s="11" t="str">
        <x:v>2024-07</x:v>
      </x:c>
      <x:c r="E2033" s="11" t="str">
        <x:v>South</x:v>
      </x:c>
      <x:c r="F2033" s="11" t="str">
        <x:v>Technology</x:v>
      </x:c>
      <x:c r="G2033" s="11" t="str">
        <x:v>Keyboard</x:v>
      </x:c>
      <x:c r="H2033" s="11" t="n">
        <x:v>2</x:v>
      </x:c>
      <x:c r="I2033" s="19" t="n">
        <x:v>0.05</x:v>
      </x:c>
      <x:c r="J2033" s="11" t="n">
        <x:v>0</x:v>
      </x:c>
      <x:c r="K2033" s="20" t="n">
        <x:v>130</x:v>
      </x:c>
      <x:c r="L2033" s="20" t="n">
        <x:v>6.5</x:v>
      </x:c>
      <x:c r="M2033" s="20" t="n">
        <x:v>64</x:v>
      </x:c>
      <x:c r="N2033" s="20" t="n">
        <x:f>IF(J2033=1,0,K2033-L2033)</x:f>
        <x:v>123.5</x:v>
      </x:c>
      <x:c r="O2033" s="20" t="n">
        <x:f>N2033-M2033</x:f>
        <x:v>59.5</x:v>
      </x:c>
    </x:row>
    <x:row r="2034" ht="22" customHeight="1">
      <x:c r="A2034" s="11" t="n">
        <x:v>2030</x:v>
      </x:c>
      <x:c r="B2034" s="11" t="n">
        <x:v>1026</x:v>
      </x:c>
      <x:c r="C2034" s="18" t="n">
        <x:v>45591</x:v>
      </x:c>
      <x:c r="D2034" s="11" t="str">
        <x:v>2024-10</x:v>
      </x:c>
      <x:c r="E2034" s="11" t="str">
        <x:v>South</x:v>
      </x:c>
      <x:c r="F2034" s="11" t="str">
        <x:v>Office Supplies</x:v>
      </x:c>
      <x:c r="G2034" s="11" t="str">
        <x:v>Storage box</x:v>
      </x:c>
      <x:c r="H2034" s="11" t="n">
        <x:v>5</x:v>
      </x:c>
      <x:c r="I2034" s="19" t="n">
        <x:v>0.05</x:v>
      </x:c>
      <x:c r="J2034" s="11" t="n">
        <x:v>0</x:v>
      </x:c>
      <x:c r="K2034" s="20" t="n">
        <x:v>130</x:v>
      </x:c>
      <x:c r="L2034" s="20" t="n">
        <x:v>6.5</x:v>
      </x:c>
      <x:c r="M2034" s="20" t="n">
        <x:v>60</x:v>
      </x:c>
      <x:c r="N2034" s="20" t="n">
        <x:f>IF(J2034=1,0,K2034-L2034)</x:f>
        <x:v>123.5</x:v>
      </x:c>
      <x:c r="O2034" s="20" t="n">
        <x:f>N2034-M2034</x:f>
        <x:v>63.5</x:v>
      </x:c>
    </x:row>
    <x:row r="2035" ht="22" customHeight="1">
      <x:c r="A2035" s="11" t="n">
        <x:v>2031</x:v>
      </x:c>
      <x:c r="B2035" s="11" t="n">
        <x:v>1026</x:v>
      </x:c>
      <x:c r="C2035" s="18" t="n">
        <x:v>45591</x:v>
      </x:c>
      <x:c r="D2035" s="11" t="str">
        <x:v>2024-10</x:v>
      </x:c>
      <x:c r="E2035" s="11" t="str">
        <x:v>South</x:v>
      </x:c>
      <x:c r="F2035" s="11" t="str">
        <x:v>Technology</x:v>
      </x:c>
      <x:c r="G2035" s="11" t="str">
        <x:v>Keyboard</x:v>
      </x:c>
      <x:c r="H2035" s="11" t="n">
        <x:v>3</x:v>
      </x:c>
      <x:c r="I2035" s="19" t="n">
        <x:v>0</x:v>
      </x:c>
      <x:c r="J2035" s="11" t="n">
        <x:v>0</x:v>
      </x:c>
      <x:c r="K2035" s="20" t="n">
        <x:v>195</x:v>
      </x:c>
      <x:c r="L2035" s="20" t="n">
        <x:v>0</x:v>
      </x:c>
      <x:c r="M2035" s="20" t="n">
        <x:v>96</x:v>
      </x:c>
      <x:c r="N2035" s="20" t="n">
        <x:f>IF(J2035=1,0,K2035-L2035)</x:f>
        <x:v>195</x:v>
      </x:c>
      <x:c r="O2035" s="20" t="n">
        <x:f>N2035-M2035</x:f>
        <x:v>99</x:v>
      </x:c>
    </x:row>
    <x:row r="2036" ht="22" customHeight="1">
      <x:c r="A2036" s="11" t="n">
        <x:v>2032</x:v>
      </x:c>
      <x:c r="B2036" s="11" t="n">
        <x:v>1027</x:v>
      </x:c>
      <x:c r="C2036" s="18" t="n">
        <x:v>45586</x:v>
      </x:c>
      <x:c r="D2036" s="11" t="str">
        <x:v>2024-10</x:v>
      </x:c>
      <x:c r="E2036" s="11" t="str">
        <x:v>South</x:v>
      </x:c>
      <x:c r="F2036" s="11" t="str">
        <x:v>Furniture</x:v>
      </x:c>
      <x:c r="G2036" s="11" t="str">
        <x:v>Chair</x:v>
      </x:c>
      <x:c r="H2036" s="11" t="n">
        <x:v>1</x:v>
      </x:c>
      <x:c r="I2036" s="19" t="n">
        <x:v>0</x:v>
      </x:c>
      <x:c r="J2036" s="11" t="n">
        <x:v>0</x:v>
      </x:c>
      <x:c r="K2036" s="20" t="n">
        <x:v>170</x:v>
      </x:c>
      <x:c r="L2036" s="20" t="n">
        <x:v>0</x:v>
      </x:c>
      <x:c r="M2036" s="20" t="n">
        <x:v>110</x:v>
      </x:c>
      <x:c r="N2036" s="20" t="n">
        <x:f>IF(J2036=1,0,K2036-L2036)</x:f>
        <x:v>170</x:v>
      </x:c>
      <x:c r="O2036" s="20" t="n">
        <x:f>N2036-M2036</x:f>
        <x:v>60</x:v>
      </x:c>
    </x:row>
    <x:row r="2037" ht="22" customHeight="1">
      <x:c r="A2037" s="11" t="n">
        <x:v>2033</x:v>
      </x:c>
      <x:c r="B2037" s="11" t="n">
        <x:v>1027</x:v>
      </x:c>
      <x:c r="C2037" s="18" t="n">
        <x:v>45586</x:v>
      </x:c>
      <x:c r="D2037" s="11" t="str">
        <x:v>2024-10</x:v>
      </x:c>
      <x:c r="E2037" s="11" t="str">
        <x:v>South</x:v>
      </x:c>
      <x:c r="F2037" s="11" t="str">
        <x:v>Technology</x:v>
      </x:c>
      <x:c r="G2037" s="11" t="str">
        <x:v>Keyboard</x:v>
      </x:c>
      <x:c r="H2037" s="11" t="n">
        <x:v>3</x:v>
      </x:c>
      <x:c r="I2037" s="19" t="n">
        <x:v>0</x:v>
      </x:c>
      <x:c r="J2037" s="11" t="n">
        <x:v>0</x:v>
      </x:c>
      <x:c r="K2037" s="20" t="n">
        <x:v>195</x:v>
      </x:c>
      <x:c r="L2037" s="20" t="n">
        <x:v>0</x:v>
      </x:c>
      <x:c r="M2037" s="20" t="n">
        <x:v>96</x:v>
      </x:c>
      <x:c r="N2037" s="20" t="n">
        <x:f>IF(J2037=1,0,K2037-L2037)</x:f>
        <x:v>195</x:v>
      </x:c>
      <x:c r="O2037" s="20" t="n">
        <x:f>N2037-M2037</x:f>
        <x:v>99</x:v>
      </x:c>
    </x:row>
    <x:row r="2038" ht="22" customHeight="1">
      <x:c r="A2038" s="11" t="n">
        <x:v>2034</x:v>
      </x:c>
      <x:c r="B2038" s="11" t="n">
        <x:v>1028</x:v>
      </x:c>
      <x:c r="C2038" s="18" t="n">
        <x:v>45699</x:v>
      </x:c>
      <x:c r="D2038" s="11" t="str">
        <x:v>2025-02</x:v>
      </x:c>
      <x:c r="E2038" s="11" t="str">
        <x:v>South</x:v>
      </x:c>
      <x:c r="F2038" s="11" t="str">
        <x:v>Technology</x:v>
      </x:c>
      <x:c r="G2038" s="11" t="str">
        <x:v>Keyboard</x:v>
      </x:c>
      <x:c r="H2038" s="11" t="n">
        <x:v>4</x:v>
      </x:c>
      <x:c r="I2038" s="19" t="n">
        <x:v>0</x:v>
      </x:c>
      <x:c r="J2038" s="11" t="n">
        <x:v>1</x:v>
      </x:c>
      <x:c r="K2038" s="20" t="n">
        <x:v>260</x:v>
      </x:c>
      <x:c r="L2038" s="20" t="n">
        <x:v>0</x:v>
      </x:c>
      <x:c r="M2038" s="20" t="n">
        <x:v>0</x:v>
      </x:c>
      <x:c r="N2038" s="20" t="n">
        <x:f>IF(J2038=1,0,K2038-L2038)</x:f>
        <x:v>0</x:v>
      </x:c>
      <x:c r="O2038" s="20" t="n">
        <x:f>N2038-M2038</x:f>
        <x:v>0</x:v>
      </x:c>
    </x:row>
    <x:row r="2039" ht="22" customHeight="1">
      <x:c r="A2039" s="11" t="n">
        <x:v>2035</x:v>
      </x:c>
      <x:c r="B2039" s="11" t="n">
        <x:v>1028</x:v>
      </x:c>
      <x:c r="C2039" s="18" t="n">
        <x:v>45699</x:v>
      </x:c>
      <x:c r="D2039" s="11" t="str">
        <x:v>2025-02</x:v>
      </x:c>
      <x:c r="E2039" s="11" t="str">
        <x:v>South</x:v>
      </x:c>
      <x:c r="F2039" s="11" t="str">
        <x:v>Office Supplies</x:v>
      </x:c>
      <x:c r="G2039" s="11" t="str">
        <x:v>Notebook pack</x:v>
      </x:c>
      <x:c r="H2039" s="11" t="n">
        <x:v>3</x:v>
      </x:c>
      <x:c r="I2039" s="19" t="n">
        <x:v>0.15</x:v>
      </x:c>
      <x:c r="J2039" s="11" t="n">
        <x:v>0</x:v>
      </x:c>
      <x:c r="K2039" s="20" t="n">
        <x:v>54</x:v>
      </x:c>
      <x:c r="L2039" s="20" t="n">
        <x:v>8.1</x:v>
      </x:c>
      <x:c r="M2039" s="20" t="n">
        <x:v>21</x:v>
      </x:c>
      <x:c r="N2039" s="20" t="n">
        <x:f>IF(J2039=1,0,K2039-L2039)</x:f>
        <x:v>45.9</x:v>
      </x:c>
      <x:c r="O2039" s="20" t="n">
        <x:f>N2039-M2039</x:f>
        <x:v>24.9</x:v>
      </x:c>
    </x:row>
    <x:row r="2040" ht="22" customHeight="1">
      <x:c r="A2040" s="11" t="n">
        <x:v>2036</x:v>
      </x:c>
      <x:c r="B2040" s="11" t="n">
        <x:v>1029</x:v>
      </x:c>
      <x:c r="C2040" s="18" t="n">
        <x:v>45710</x:v>
      </x:c>
      <x:c r="D2040" s="11" t="str">
        <x:v>2025-02</x:v>
      </x:c>
      <x:c r="E2040" s="11" t="str">
        <x:v>South</x:v>
      </x:c>
      <x:c r="F2040" s="11" t="str">
        <x:v>Office Supplies</x:v>
      </x:c>
      <x:c r="G2040" s="11" t="str">
        <x:v>Storage box</x:v>
      </x:c>
      <x:c r="H2040" s="11" t="n">
        <x:v>4</x:v>
      </x:c>
      <x:c r="I2040" s="19" t="n">
        <x:v>0.1</x:v>
      </x:c>
      <x:c r="J2040" s="11" t="n">
        <x:v>0</x:v>
      </x:c>
      <x:c r="K2040" s="20" t="n">
        <x:v>104</x:v>
      </x:c>
      <x:c r="L2040" s="20" t="n">
        <x:v>10.4</x:v>
      </x:c>
      <x:c r="M2040" s="20" t="n">
        <x:v>48</x:v>
      </x:c>
      <x:c r="N2040" s="20" t="n">
        <x:f>IF(J2040=1,0,K2040-L2040)</x:f>
        <x:v>93.6</x:v>
      </x:c>
      <x:c r="O2040" s="20" t="n">
        <x:f>N2040-M2040</x:f>
        <x:v>45.599999999999994</x:v>
      </x:c>
    </x:row>
    <x:row r="2041" ht="22" customHeight="1">
      <x:c r="A2041" s="11" t="n">
        <x:v>2037</x:v>
      </x:c>
      <x:c r="B2041" s="11" t="n">
        <x:v>1029</x:v>
      </x:c>
      <x:c r="C2041" s="18" t="n">
        <x:v>45710</x:v>
      </x:c>
      <x:c r="D2041" s="11" t="str">
        <x:v>2025-02</x:v>
      </x:c>
      <x:c r="E2041" s="11" t="str">
        <x:v>South</x:v>
      </x:c>
      <x:c r="F2041" s="11" t="str">
        <x:v>Technology</x:v>
      </x:c>
      <x:c r="G2041" s="11" t="str">
        <x:v>Monitor</x:v>
      </x:c>
      <x:c r="H2041" s="11" t="n">
        <x:v>4</x:v>
      </x:c>
      <x:c r="I2041" s="19" t="n">
        <x:v>0.1</x:v>
      </x:c>
      <x:c r="J2041" s="11" t="n">
        <x:v>0</x:v>
      </x:c>
      <x:c r="K2041" s="20" t="n">
        <x:v>960</x:v>
      </x:c>
      <x:c r="L2041" s="20" t="n">
        <x:v>96</x:v>
      </x:c>
      <x:c r="M2041" s="20" t="n">
        <x:v>640</x:v>
      </x:c>
      <x:c r="N2041" s="20" t="n">
        <x:f>IF(J2041=1,0,K2041-L2041)</x:f>
        <x:v>864</x:v>
      </x:c>
      <x:c r="O2041" s="20" t="n">
        <x:f>N2041-M2041</x:f>
        <x:v>224</x:v>
      </x:c>
    </x:row>
    <x:row r="2042" ht="22" customHeight="1">
      <x:c r="A2042" s="11" t="n">
        <x:v>2038</x:v>
      </x:c>
      <x:c r="B2042" s="11" t="n">
        <x:v>1030</x:v>
      </x:c>
      <x:c r="C2042" s="18" t="n">
        <x:v>45347</x:v>
      </x:c>
      <x:c r="D2042" s="11" t="str">
        <x:v>2024-02</x:v>
      </x:c>
      <x:c r="E2042" s="11" t="str">
        <x:v>West</x:v>
      </x:c>
      <x:c r="F2042" s="11" t="str">
        <x:v>Furniture</x:v>
      </x:c>
      <x:c r="G2042" s="11" t="str">
        <x:v>Chair</x:v>
      </x:c>
      <x:c r="H2042" s="11" t="n">
        <x:v>3</x:v>
      </x:c>
      <x:c r="I2042" s="19" t="n">
        <x:v>0.35</x:v>
      </x:c>
      <x:c r="J2042" s="11" t="n">
        <x:v>0</x:v>
      </x:c>
      <x:c r="K2042" s="20" t="n">
        <x:v>510</x:v>
      </x:c>
      <x:c r="L2042" s="20" t="n">
        <x:v>178.5</x:v>
      </x:c>
      <x:c r="M2042" s="20" t="n">
        <x:v>330</x:v>
      </x:c>
      <x:c r="N2042" s="20" t="n">
        <x:f>IF(J2042=1,0,K2042-L2042)</x:f>
        <x:v>331.5</x:v>
      </x:c>
      <x:c r="O2042" s="20" t="n">
        <x:f>N2042-M2042</x:f>
        <x:v>1.5</x:v>
      </x:c>
    </x:row>
    <x:row r="2043" ht="22" customHeight="1">
      <x:c r="A2043" s="11" t="n">
        <x:v>2039</x:v>
      </x:c>
      <x:c r="B2043" s="11" t="n">
        <x:v>1030</x:v>
      </x:c>
      <x:c r="C2043" s="18" t="n">
        <x:v>45347</x:v>
      </x:c>
      <x:c r="D2043" s="11" t="str">
        <x:v>2024-02</x:v>
      </x:c>
      <x:c r="E2043" s="11" t="str">
        <x:v>West</x:v>
      </x:c>
      <x:c r="F2043" s="11" t="str">
        <x:v>Technology</x:v>
      </x:c>
      <x:c r="G2043" s="11" t="str">
        <x:v>Monitor</x:v>
      </x:c>
      <x:c r="H2043" s="11" t="n">
        <x:v>5</x:v>
      </x:c>
      <x:c r="I2043" s="19" t="n">
        <x:v>0</x:v>
      </x:c>
      <x:c r="J2043" s="11" t="n">
        <x:v>0</x:v>
      </x:c>
      <x:c r="K2043" s="20" t="n">
        <x:v>1200</x:v>
      </x:c>
      <x:c r="L2043" s="20" t="n">
        <x:v>0</x:v>
      </x:c>
      <x:c r="M2043" s="20" t="n">
        <x:v>800</x:v>
      </x:c>
      <x:c r="N2043" s="20" t="n">
        <x:f>IF(J2043=1,0,K2043-L2043)</x:f>
        <x:v>1200</x:v>
      </x:c>
      <x:c r="O2043" s="20" t="n">
        <x:f>N2043-M2043</x:f>
        <x:v>400</x:v>
      </x:c>
    </x:row>
    <x:row r="2044" ht="22" customHeight="1">
      <x:c r="A2044" s="11" t="n">
        <x:v>2040</x:v>
      </x:c>
      <x:c r="B2044" s="11" t="n">
        <x:v>1030</x:v>
      </x:c>
      <x:c r="C2044" s="18" t="n">
        <x:v>45347</x:v>
      </x:c>
      <x:c r="D2044" s="11" t="str">
        <x:v>2024-02</x:v>
      </x:c>
      <x:c r="E2044" s="11" t="str">
        <x:v>West</x:v>
      </x:c>
      <x:c r="F2044" s="11" t="str">
        <x:v>Furniture</x:v>
      </x:c>
      <x:c r="G2044" s="11" t="str">
        <x:v>Desk</x:v>
      </x:c>
      <x:c r="H2044" s="11" t="n">
        <x:v>1</x:v>
      </x:c>
      <x:c r="I2044" s="19" t="n">
        <x:v>0.15</x:v>
      </x:c>
      <x:c r="J2044" s="11" t="n">
        <x:v>0</x:v>
      </x:c>
      <x:c r="K2044" s="20" t="n">
        <x:v>280</x:v>
      </x:c>
      <x:c r="L2044" s="20" t="n">
        <x:v>42</x:v>
      </x:c>
      <x:c r="M2044" s="20" t="n">
        <x:v>190</x:v>
      </x:c>
      <x:c r="N2044" s="20" t="n">
        <x:f>IF(J2044=1,0,K2044-L2044)</x:f>
        <x:v>238</x:v>
      </x:c>
      <x:c r="O2044" s="20" t="n">
        <x:f>N2044-M2044</x:f>
        <x:v>48</x:v>
      </x:c>
    </x:row>
    <x:row r="2045" ht="22" customHeight="1">
      <x:c r="A2045" s="11" t="n">
        <x:v>2041</x:v>
      </x:c>
      <x:c r="B2045" s="11" t="n">
        <x:v>1031</x:v>
      </x:c>
      <x:c r="C2045" s="18" t="n">
        <x:v>45844</x:v>
      </x:c>
      <x:c r="D2045" s="11" t="str">
        <x:v>2025-07</x:v>
      </x:c>
      <x:c r="E2045" s="11" t="str">
        <x:v>East</x:v>
      </x:c>
      <x:c r="F2045" s="11" t="str">
        <x:v>Furniture</x:v>
      </x:c>
      <x:c r="G2045" s="11" t="str">
        <x:v>Desk</x:v>
      </x:c>
      <x:c r="H2045" s="11" t="n">
        <x:v>3</x:v>
      </x:c>
      <x:c r="I2045" s="19" t="n">
        <x:v>0</x:v>
      </x:c>
      <x:c r="J2045" s="11" t="n">
        <x:v>0</x:v>
      </x:c>
      <x:c r="K2045" s="20" t="n">
        <x:v>840</x:v>
      </x:c>
      <x:c r="L2045" s="20" t="n">
        <x:v>0</x:v>
      </x:c>
      <x:c r="M2045" s="20" t="n">
        <x:v>570</x:v>
      </x:c>
      <x:c r="N2045" s="20" t="n">
        <x:f>IF(J2045=1,0,K2045-L2045)</x:f>
        <x:v>840</x:v>
      </x:c>
      <x:c r="O2045" s="20" t="n">
        <x:f>N2045-M2045</x:f>
        <x:v>270</x:v>
      </x:c>
    </x:row>
    <x:row r="2046" ht="22" customHeight="1">
      <x:c r="A2046" s="11" t="n">
        <x:v>2042</x:v>
      </x:c>
      <x:c r="B2046" s="11" t="n">
        <x:v>1031</x:v>
      </x:c>
      <x:c r="C2046" s="18" t="n">
        <x:v>45844</x:v>
      </x:c>
      <x:c r="D2046" s="11" t="str">
        <x:v>2025-07</x:v>
      </x:c>
      <x:c r="E2046" s="11" t="str">
        <x:v>East</x:v>
      </x:c>
      <x:c r="F2046" s="11" t="str">
        <x:v>Technology</x:v>
      </x:c>
      <x:c r="G2046" s="11" t="str">
        <x:v>Monitor</x:v>
      </x:c>
      <x:c r="H2046" s="11" t="n">
        <x:v>5</x:v>
      </x:c>
      <x:c r="I2046" s="19" t="n">
        <x:v>0</x:v>
      </x:c>
      <x:c r="J2046" s="11" t="n">
        <x:v>0</x:v>
      </x:c>
      <x:c r="K2046" s="20" t="n">
        <x:v>1200</x:v>
      </x:c>
      <x:c r="L2046" s="20" t="n">
        <x:v>0</x:v>
      </x:c>
      <x:c r="M2046" s="20" t="n">
        <x:v>800</x:v>
      </x:c>
      <x:c r="N2046" s="20" t="n">
        <x:f>IF(J2046=1,0,K2046-L2046)</x:f>
        <x:v>1200</x:v>
      </x:c>
      <x:c r="O2046" s="20" t="n">
        <x:f>N2046-M2046</x:f>
        <x:v>400</x:v>
      </x:c>
    </x:row>
    <x:row r="2047" ht="22" customHeight="1">
      <x:c r="A2047" s="11" t="n">
        <x:v>2043</x:v>
      </x:c>
      <x:c r="B2047" s="11" t="n">
        <x:v>1032</x:v>
      </x:c>
      <x:c r="C2047" s="18" t="n">
        <x:v>45495</x:v>
      </x:c>
      <x:c r="D2047" s="11" t="str">
        <x:v>2024-07</x:v>
      </x:c>
      <x:c r="E2047" s="11" t="str">
        <x:v>South</x:v>
      </x:c>
      <x:c r="F2047" s="11" t="str">
        <x:v>Furniture</x:v>
      </x:c>
      <x:c r="G2047" s="11" t="str">
        <x:v>Chair</x:v>
      </x:c>
      <x:c r="H2047" s="11" t="n">
        <x:v>3</x:v>
      </x:c>
      <x:c r="I2047" s="19" t="n">
        <x:v>0.15</x:v>
      </x:c>
      <x:c r="J2047" s="11" t="n">
        <x:v>0</x:v>
      </x:c>
      <x:c r="K2047" s="20" t="n">
        <x:v>510</x:v>
      </x:c>
      <x:c r="L2047" s="20" t="n">
        <x:v>76.5</x:v>
      </x:c>
      <x:c r="M2047" s="20" t="n">
        <x:v>330</x:v>
      </x:c>
      <x:c r="N2047" s="20" t="n">
        <x:f>IF(J2047=1,0,K2047-L2047)</x:f>
        <x:v>433.5</x:v>
      </x:c>
      <x:c r="O2047" s="20" t="n">
        <x:f>N2047-M2047</x:f>
        <x:v>103.5</x:v>
      </x:c>
    </x:row>
    <x:row r="2048" ht="22" customHeight="1">
      <x:c r="A2048" s="11" t="n">
        <x:v>2044</x:v>
      </x:c>
      <x:c r="B2048" s="11" t="n">
        <x:v>1032</x:v>
      </x:c>
      <x:c r="C2048" s="18" t="n">
        <x:v>45495</x:v>
      </x:c>
      <x:c r="D2048" s="11" t="str">
        <x:v>2024-07</x:v>
      </x:c>
      <x:c r="E2048" s="11" t="str">
        <x:v>South</x:v>
      </x:c>
      <x:c r="F2048" s="11" t="str">
        <x:v>Technology</x:v>
      </x:c>
      <x:c r="G2048" s="11" t="str">
        <x:v>Monitor</x:v>
      </x:c>
      <x:c r="H2048" s="11" t="n">
        <x:v>5</x:v>
      </x:c>
      <x:c r="I2048" s="19" t="n">
        <x:v>0</x:v>
      </x:c>
      <x:c r="J2048" s="11" t="n">
        <x:v>0</x:v>
      </x:c>
      <x:c r="K2048" s="20" t="n">
        <x:v>1200</x:v>
      </x:c>
      <x:c r="L2048" s="20" t="n">
        <x:v>0</x:v>
      </x:c>
      <x:c r="M2048" s="20" t="n">
        <x:v>800</x:v>
      </x:c>
      <x:c r="N2048" s="20" t="n">
        <x:f>IF(J2048=1,0,K2048-L2048)</x:f>
        <x:v>1200</x:v>
      </x:c>
      <x:c r="O2048" s="20" t="n">
        <x:f>N2048-M2048</x:f>
        <x:v>400</x:v>
      </x:c>
    </x:row>
    <x:row r="2049" ht="22" customHeight="1">
      <x:c r="A2049" s="11" t="n">
        <x:v>2045</x:v>
      </x:c>
      <x:c r="B2049" s="11" t="n">
        <x:v>1032</x:v>
      </x:c>
      <x:c r="C2049" s="18" t="n">
        <x:v>45495</x:v>
      </x:c>
      <x:c r="D2049" s="11" t="str">
        <x:v>2024-07</x:v>
      </x:c>
      <x:c r="E2049" s="11" t="str">
        <x:v>South</x:v>
      </x:c>
      <x:c r="F2049" s="11" t="str">
        <x:v>Office Supplies</x:v>
      </x:c>
      <x:c r="G2049" s="11" t="str">
        <x:v>Storage box</x:v>
      </x:c>
      <x:c r="H2049" s="11" t="n">
        <x:v>1</x:v>
      </x:c>
      <x:c r="I2049" s="19" t="n">
        <x:v>0</x:v>
      </x:c>
      <x:c r="J2049" s="11" t="n">
        <x:v>0</x:v>
      </x:c>
      <x:c r="K2049" s="20" t="n">
        <x:v>26</x:v>
      </x:c>
      <x:c r="L2049" s="20" t="n">
        <x:v>0</x:v>
      </x:c>
      <x:c r="M2049" s="20" t="n">
        <x:v>12</x:v>
      </x:c>
      <x:c r="N2049" s="20" t="n">
        <x:f>IF(J2049=1,0,K2049-L2049)</x:f>
        <x:v>26</x:v>
      </x:c>
      <x:c r="O2049" s="20" t="n">
        <x:f>N2049-M2049</x:f>
        <x:v>14</x:v>
      </x:c>
    </x:row>
    <x:row r="2050" ht="22" customHeight="1">
      <x:c r="A2050" s="11" t="n">
        <x:v>2046</x:v>
      </x:c>
      <x:c r="B2050" s="11" t="n">
        <x:v>1033</x:v>
      </x:c>
      <x:c r="C2050" s="18" t="n">
        <x:v>45831</x:v>
      </x:c>
      <x:c r="D2050" s="11" t="str">
        <x:v>2025-06</x:v>
      </x:c>
      <x:c r="E2050" s="11" t="str">
        <x:v>South</x:v>
      </x:c>
      <x:c r="F2050" s="11" t="str">
        <x:v>Furniture</x:v>
      </x:c>
      <x:c r="G2050" s="11" t="str">
        <x:v>Desk</x:v>
      </x:c>
      <x:c r="H2050" s="11" t="n">
        <x:v>3</x:v>
      </x:c>
      <x:c r="I2050" s="19" t="n">
        <x:v>0.1</x:v>
      </x:c>
      <x:c r="J2050" s="11" t="n">
        <x:v>1</x:v>
      </x:c>
      <x:c r="K2050" s="20" t="n">
        <x:v>840</x:v>
      </x:c>
      <x:c r="L2050" s="20" t="n">
        <x:v>84</x:v>
      </x:c>
      <x:c r="M2050" s="20" t="n">
        <x:v>0</x:v>
      </x:c>
      <x:c r="N2050" s="20" t="n">
        <x:f>IF(J2050=1,0,K2050-L2050)</x:f>
        <x:v>0</x:v>
      </x:c>
      <x:c r="O2050" s="20" t="n">
        <x:f>N2050-M2050</x:f>
        <x:v>0</x:v>
      </x:c>
    </x:row>
    <x:row r="2051" ht="22" customHeight="1">
      <x:c r="A2051" s="11" t="n">
        <x:v>2047</x:v>
      </x:c>
      <x:c r="B2051" s="11" t="n">
        <x:v>1033</x:v>
      </x:c>
      <x:c r="C2051" s="18" t="n">
        <x:v>45831</x:v>
      </x:c>
      <x:c r="D2051" s="11" t="str">
        <x:v>2025-06</x:v>
      </x:c>
      <x:c r="E2051" s="11" t="str">
        <x:v>South</x:v>
      </x:c>
      <x:c r="F2051" s="11" t="str">
        <x:v>Furniture</x:v>
      </x:c>
      <x:c r="G2051" s="11" t="str">
        <x:v>Chair</x:v>
      </x:c>
      <x:c r="H2051" s="11" t="n">
        <x:v>2</x:v>
      </x:c>
      <x:c r="I2051" s="19" t="n">
        <x:v>0</x:v>
      </x:c>
      <x:c r="J2051" s="11" t="n">
        <x:v>0</x:v>
      </x:c>
      <x:c r="K2051" s="20" t="n">
        <x:v>340</x:v>
      </x:c>
      <x:c r="L2051" s="20" t="n">
        <x:v>0</x:v>
      </x:c>
      <x:c r="M2051" s="20" t="n">
        <x:v>220</x:v>
      </x:c>
      <x:c r="N2051" s="20" t="n">
        <x:f>IF(J2051=1,0,K2051-L2051)</x:f>
        <x:v>340</x:v>
      </x:c>
      <x:c r="O2051" s="20" t="n">
        <x:f>N2051-M2051</x:f>
        <x:v>120</x:v>
      </x:c>
    </x:row>
    <x:row r="2052" ht="22" customHeight="1">
      <x:c r="A2052" s="11" t="n">
        <x:v>2048</x:v>
      </x:c>
      <x:c r="B2052" s="11" t="n">
        <x:v>1034</x:v>
      </x:c>
      <x:c r="C2052" s="18" t="n">
        <x:v>45418</x:v>
      </x:c>
      <x:c r="D2052" s="11" t="str">
        <x:v>2024-05</x:v>
      </x:c>
      <x:c r="E2052" s="11" t="str">
        <x:v>South</x:v>
      </x:c>
      <x:c r="F2052" s="11" t="str">
        <x:v>Office Supplies</x:v>
      </x:c>
      <x:c r="G2052" s="11" t="str">
        <x:v>Storage box</x:v>
      </x:c>
      <x:c r="H2052" s="11" t="n">
        <x:v>3</x:v>
      </x:c>
      <x:c r="I2052" s="19" t="n">
        <x:v>0</x:v>
      </x:c>
      <x:c r="J2052" s="11" t="n">
        <x:v>0</x:v>
      </x:c>
      <x:c r="K2052" s="20" t="n">
        <x:v>78</x:v>
      </x:c>
      <x:c r="L2052" s="20" t="n">
        <x:v>0</x:v>
      </x:c>
      <x:c r="M2052" s="20" t="n">
        <x:v>36</x:v>
      </x:c>
      <x:c r="N2052" s="20" t="n">
        <x:f>IF(J2052=1,0,K2052-L2052)</x:f>
        <x:v>78</x:v>
      </x:c>
      <x:c r="O2052" s="20" t="n">
        <x:f>N2052-M2052</x:f>
        <x:v>42</x:v>
      </x:c>
    </x:row>
    <x:row r="2053" ht="22" customHeight="1">
      <x:c r="A2053" s="11" t="n">
        <x:v>2049</x:v>
      </x:c>
      <x:c r="B2053" s="11" t="n">
        <x:v>1035</x:v>
      </x:c>
      <x:c r="C2053" s="18" t="n">
        <x:v>45808</x:v>
      </x:c>
      <x:c r="D2053" s="11" t="str">
        <x:v>2025-05</x:v>
      </x:c>
      <x:c r="E2053" s="11" t="str">
        <x:v>West</x:v>
      </x:c>
      <x:c r="F2053" s="11" t="str">
        <x:v>Furniture</x:v>
      </x:c>
      <x:c r="G2053" s="11" t="str">
        <x:v>Desk</x:v>
      </x:c>
      <x:c r="H2053" s="11" t="n">
        <x:v>5</x:v>
      </x:c>
      <x:c r="I2053" s="19" t="n">
        <x:v>0</x:v>
      </x:c>
      <x:c r="J2053" s="11" t="n">
        <x:v>0</x:v>
      </x:c>
      <x:c r="K2053" s="20" t="n">
        <x:v>1400</x:v>
      </x:c>
      <x:c r="L2053" s="20" t="n">
        <x:v>0</x:v>
      </x:c>
      <x:c r="M2053" s="20" t="n">
        <x:v>950</x:v>
      </x:c>
      <x:c r="N2053" s="20" t="n">
        <x:f>IF(J2053=1,0,K2053-L2053)</x:f>
        <x:v>1400</x:v>
      </x:c>
      <x:c r="O2053" s="20" t="n">
        <x:f>N2053-M2053</x:f>
        <x:v>450</x:v>
      </x:c>
    </x:row>
    <x:row r="2054" ht="22" customHeight="1">
      <x:c r="A2054" s="11" t="n">
        <x:v>2050</x:v>
      </x:c>
      <x:c r="B2054" s="11" t="n">
        <x:v>1036</x:v>
      </x:c>
      <x:c r="C2054" s="18" t="n">
        <x:v>45894</x:v>
      </x:c>
      <x:c r="D2054" s="11" t="str">
        <x:v>2025-08</x:v>
      </x:c>
      <x:c r="E2054" s="11" t="str">
        <x:v>East</x:v>
      </x:c>
      <x:c r="F2054" s="11" t="str">
        <x:v>Technology</x:v>
      </x:c>
      <x:c r="G2054" s="11" t="str">
        <x:v>Monitor</x:v>
      </x:c>
      <x:c r="H2054" s="11" t="n">
        <x:v>5</x:v>
      </x:c>
      <x:c r="I2054" s="19" t="n">
        <x:v>0</x:v>
      </x:c>
      <x:c r="J2054" s="11" t="n">
        <x:v>0</x:v>
      </x:c>
      <x:c r="K2054" s="20" t="n">
        <x:v>1200</x:v>
      </x:c>
      <x:c r="L2054" s="20" t="n">
        <x:v>0</x:v>
      </x:c>
      <x:c r="M2054" s="20" t="n">
        <x:v>800</x:v>
      </x:c>
      <x:c r="N2054" s="20" t="n">
        <x:f>IF(J2054=1,0,K2054-L2054)</x:f>
        <x:v>1200</x:v>
      </x:c>
      <x:c r="O2054" s="20" t="n">
        <x:f>N2054-M2054</x:f>
        <x:v>400</x:v>
      </x:c>
    </x:row>
    <x:row r="2055" ht="22" customHeight="1">
      <x:c r="A2055" s="11" t="n">
        <x:v>2051</x:v>
      </x:c>
      <x:c r="B2055" s="11" t="n">
        <x:v>1036</x:v>
      </x:c>
      <x:c r="C2055" s="18" t="n">
        <x:v>45894</x:v>
      </x:c>
      <x:c r="D2055" s="11" t="str">
        <x:v>2025-08</x:v>
      </x:c>
      <x:c r="E2055" s="11" t="str">
        <x:v>East</x:v>
      </x:c>
      <x:c r="F2055" s="11" t="str">
        <x:v>Office Supplies</x:v>
      </x:c>
      <x:c r="G2055" s="11" t="str">
        <x:v>Storage box</x:v>
      </x:c>
      <x:c r="H2055" s="11" t="n">
        <x:v>4</x:v>
      </x:c>
      <x:c r="I2055" s="19" t="n">
        <x:v>0</x:v>
      </x:c>
      <x:c r="J2055" s="11" t="n">
        <x:v>0</x:v>
      </x:c>
      <x:c r="K2055" s="20" t="n">
        <x:v>104</x:v>
      </x:c>
      <x:c r="L2055" s="20" t="n">
        <x:v>0</x:v>
      </x:c>
      <x:c r="M2055" s="20" t="n">
        <x:v>48</x:v>
      </x:c>
      <x:c r="N2055" s="20" t="n">
        <x:f>IF(J2055=1,0,K2055-L2055)</x:f>
        <x:v>104</x:v>
      </x:c>
      <x:c r="O2055" s="20" t="n">
        <x:f>N2055-M2055</x:f>
        <x:v>56</x:v>
      </x:c>
    </x:row>
    <x:row r="2056" ht="22" customHeight="1">
      <x:c r="A2056" s="11" t="n">
        <x:v>2052</x:v>
      </x:c>
      <x:c r="B2056" s="11" t="n">
        <x:v>1036</x:v>
      </x:c>
      <x:c r="C2056" s="18" t="n">
        <x:v>45894</x:v>
      </x:c>
      <x:c r="D2056" s="11" t="str">
        <x:v>2025-08</x:v>
      </x:c>
      <x:c r="E2056" s="11" t="str">
        <x:v>East</x:v>
      </x:c>
      <x:c r="F2056" s="11" t="str">
        <x:v>Technology</x:v>
      </x:c>
      <x:c r="G2056" s="11" t="str">
        <x:v>Keyboard</x:v>
      </x:c>
      <x:c r="H2056" s="11" t="n">
        <x:v>5</x:v>
      </x:c>
      <x:c r="I2056" s="19" t="n">
        <x:v>0.1</x:v>
      </x:c>
      <x:c r="J2056" s="11" t="n">
        <x:v>0</x:v>
      </x:c>
      <x:c r="K2056" s="20" t="n">
        <x:v>325</x:v>
      </x:c>
      <x:c r="L2056" s="20" t="n">
        <x:v>32.5</x:v>
      </x:c>
      <x:c r="M2056" s="20" t="n">
        <x:v>160</x:v>
      </x:c>
      <x:c r="N2056" s="20" t="n">
        <x:f>IF(J2056=1,0,K2056-L2056)</x:f>
        <x:v>292.5</x:v>
      </x:c>
      <x:c r="O2056" s="20" t="n">
        <x:f>N2056-M2056</x:f>
        <x:v>132.5</x:v>
      </x:c>
    </x:row>
    <x:row r="2057" ht="22" customHeight="1">
      <x:c r="A2057" s="11" t="n">
        <x:v>2053</x:v>
      </x:c>
      <x:c r="B2057" s="11" t="n">
        <x:v>1037</x:v>
      </x:c>
      <x:c r="C2057" s="18" t="n">
        <x:v>45731</x:v>
      </x:c>
      <x:c r="D2057" s="11" t="str">
        <x:v>2025-03</x:v>
      </x:c>
      <x:c r="E2057" s="11" t="str">
        <x:v>Central</x:v>
      </x:c>
      <x:c r="F2057" s="11" t="str">
        <x:v>Office Supplies</x:v>
      </x:c>
      <x:c r="G2057" s="11" t="str">
        <x:v>Notebook pack</x:v>
      </x:c>
      <x:c r="H2057" s="11" t="n">
        <x:v>4</x:v>
      </x:c>
      <x:c r="I2057" s="19" t="n">
        <x:v>0.05</x:v>
      </x:c>
      <x:c r="J2057" s="11" t="n">
        <x:v>0</x:v>
      </x:c>
      <x:c r="K2057" s="20" t="n">
        <x:v>72</x:v>
      </x:c>
      <x:c r="L2057" s="20" t="n">
        <x:v>3.6</x:v>
      </x:c>
      <x:c r="M2057" s="20" t="n">
        <x:v>28</x:v>
      </x:c>
      <x:c r="N2057" s="20" t="n">
        <x:f>IF(J2057=1,0,K2057-L2057)</x:f>
        <x:v>68.4</x:v>
      </x:c>
      <x:c r="O2057" s="20" t="n">
        <x:f>N2057-M2057</x:f>
        <x:v>40.400000000000006</x:v>
      </x:c>
    </x:row>
    <x:row r="2058" ht="22" customHeight="1">
      <x:c r="A2058" s="11" t="n">
        <x:v>2054</x:v>
      </x:c>
      <x:c r="B2058" s="11" t="n">
        <x:v>1037</x:v>
      </x:c>
      <x:c r="C2058" s="18" t="n">
        <x:v>45731</x:v>
      </x:c>
      <x:c r="D2058" s="11" t="str">
        <x:v>2025-03</x:v>
      </x:c>
      <x:c r="E2058" s="11" t="str">
        <x:v>Central</x:v>
      </x:c>
      <x:c r="F2058" s="11" t="str">
        <x:v>Technology</x:v>
      </x:c>
      <x:c r="G2058" s="11" t="str">
        <x:v>Monitor</x:v>
      </x:c>
      <x:c r="H2058" s="11" t="n">
        <x:v>5</x:v>
      </x:c>
      <x:c r="I2058" s="19" t="n">
        <x:v>0.15</x:v>
      </x:c>
      <x:c r="J2058" s="11" t="n">
        <x:v>0</x:v>
      </x:c>
      <x:c r="K2058" s="20" t="n">
        <x:v>1200</x:v>
      </x:c>
      <x:c r="L2058" s="20" t="n">
        <x:v>180</x:v>
      </x:c>
      <x:c r="M2058" s="20" t="n">
        <x:v>800</x:v>
      </x:c>
      <x:c r="N2058" s="20" t="n">
        <x:f>IF(J2058=1,0,K2058-L2058)</x:f>
        <x:v>1020</x:v>
      </x:c>
      <x:c r="O2058" s="20" t="n">
        <x:f>N2058-M2058</x:f>
        <x:v>220</x:v>
      </x:c>
    </x:row>
    <x:row r="2059" ht="22" customHeight="1">
      <x:c r="A2059" s="11" t="n">
        <x:v>2055</x:v>
      </x:c>
      <x:c r="B2059" s="11" t="n">
        <x:v>1038</x:v>
      </x:c>
      <x:c r="C2059" s="18" t="n">
        <x:v>45309</x:v>
      </x:c>
      <x:c r="D2059" s="11" t="str">
        <x:v>2024-01</x:v>
      </x:c>
      <x:c r="E2059" s="11" t="str">
        <x:v>East</x:v>
      </x:c>
      <x:c r="F2059" s="11" t="str">
        <x:v>Office Supplies</x:v>
      </x:c>
      <x:c r="G2059" s="11" t="str">
        <x:v>Notebook pack</x:v>
      </x:c>
      <x:c r="H2059" s="11" t="n">
        <x:v>4</x:v>
      </x:c>
      <x:c r="I2059" s="19" t="n">
        <x:v>0</x:v>
      </x:c>
      <x:c r="J2059" s="11" t="n">
        <x:v>0</x:v>
      </x:c>
      <x:c r="K2059" s="20" t="n">
        <x:v>72</x:v>
      </x:c>
      <x:c r="L2059" s="20" t="n">
        <x:v>0</x:v>
      </x:c>
      <x:c r="M2059" s="20" t="n">
        <x:v>28</x:v>
      </x:c>
      <x:c r="N2059" s="20" t="n">
        <x:f>IF(J2059=1,0,K2059-L2059)</x:f>
        <x:v>72</x:v>
      </x:c>
      <x:c r="O2059" s="20" t="n">
        <x:f>N2059-M2059</x:f>
        <x:v>44</x:v>
      </x:c>
    </x:row>
    <x:row r="2060" ht="22" customHeight="1">
      <x:c r="A2060" s="11" t="n">
        <x:v>2056</x:v>
      </x:c>
      <x:c r="B2060" s="11" t="n">
        <x:v>1038</x:v>
      </x:c>
      <x:c r="C2060" s="18" t="n">
        <x:v>45309</x:v>
      </x:c>
      <x:c r="D2060" s="11" t="str">
        <x:v>2024-01</x:v>
      </x:c>
      <x:c r="E2060" s="11" t="str">
        <x:v>East</x:v>
      </x:c>
      <x:c r="F2060" s="11" t="str">
        <x:v>Furniture</x:v>
      </x:c>
      <x:c r="G2060" s="11" t="str">
        <x:v>Desk</x:v>
      </x:c>
      <x:c r="H2060" s="11" t="n">
        <x:v>1</x:v>
      </x:c>
      <x:c r="I2060" s="19" t="n">
        <x:v>0.25</x:v>
      </x:c>
      <x:c r="J2060" s="11" t="n">
        <x:v>0</x:v>
      </x:c>
      <x:c r="K2060" s="20" t="n">
        <x:v>280</x:v>
      </x:c>
      <x:c r="L2060" s="20" t="n">
        <x:v>70</x:v>
      </x:c>
      <x:c r="M2060" s="20" t="n">
        <x:v>190</x:v>
      </x:c>
      <x:c r="N2060" s="20" t="n">
        <x:f>IF(J2060=1,0,K2060-L2060)</x:f>
        <x:v>210</x:v>
      </x:c>
      <x:c r="O2060" s="20" t="n">
        <x:f>N2060-M2060</x:f>
        <x:v>20</x:v>
      </x:c>
    </x:row>
    <x:row r="2061" ht="22" customHeight="1">
      <x:c r="A2061" s="11" t="n">
        <x:v>2057</x:v>
      </x:c>
      <x:c r="B2061" s="11" t="n">
        <x:v>1039</x:v>
      </x:c>
      <x:c r="C2061" s="18" t="n">
        <x:v>45749</x:v>
      </x:c>
      <x:c r="D2061" s="11" t="str">
        <x:v>2025-04</x:v>
      </x:c>
      <x:c r="E2061" s="11" t="str">
        <x:v>West</x:v>
      </x:c>
      <x:c r="F2061" s="11" t="str">
        <x:v>Furniture</x:v>
      </x:c>
      <x:c r="G2061" s="11" t="str">
        <x:v>Desk</x:v>
      </x:c>
      <x:c r="H2061" s="11" t="n">
        <x:v>2</x:v>
      </x:c>
      <x:c r="I2061" s="19" t="n">
        <x:v>0</x:v>
      </x:c>
      <x:c r="J2061" s="11" t="n">
        <x:v>0</x:v>
      </x:c>
      <x:c r="K2061" s="20" t="n">
        <x:v>560</x:v>
      </x:c>
      <x:c r="L2061" s="20" t="n">
        <x:v>0</x:v>
      </x:c>
      <x:c r="M2061" s="20" t="n">
        <x:v>380</x:v>
      </x:c>
      <x:c r="N2061" s="20" t="n">
        <x:f>IF(J2061=1,0,K2061-L2061)</x:f>
        <x:v>560</x:v>
      </x:c>
      <x:c r="O2061" s="20" t="n">
        <x:f>N2061-M2061</x:f>
        <x:v>180</x:v>
      </x:c>
    </x:row>
    <x:row r="2062" ht="22" customHeight="1">
      <x:c r="A2062" s="11" t="n">
        <x:v>2058</x:v>
      </x:c>
      <x:c r="B2062" s="11" t="n">
        <x:v>1039</x:v>
      </x:c>
      <x:c r="C2062" s="18" t="n">
        <x:v>45749</x:v>
      </x:c>
      <x:c r="D2062" s="11" t="str">
        <x:v>2025-04</x:v>
      </x:c>
      <x:c r="E2062" s="11" t="str">
        <x:v>West</x:v>
      </x:c>
      <x:c r="F2062" s="11" t="str">
        <x:v>Technology</x:v>
      </x:c>
      <x:c r="G2062" s="11" t="str">
        <x:v>Monitor</x:v>
      </x:c>
      <x:c r="H2062" s="11" t="n">
        <x:v>2</x:v>
      </x:c>
      <x:c r="I2062" s="19" t="n">
        <x:v>0</x:v>
      </x:c>
      <x:c r="J2062" s="11" t="n">
        <x:v>0</x:v>
      </x:c>
      <x:c r="K2062" s="20" t="n">
        <x:v>480</x:v>
      </x:c>
      <x:c r="L2062" s="20" t="n">
        <x:v>0</x:v>
      </x:c>
      <x:c r="M2062" s="20" t="n">
        <x:v>320</x:v>
      </x:c>
      <x:c r="N2062" s="20" t="n">
        <x:f>IF(J2062=1,0,K2062-L2062)</x:f>
        <x:v>480</x:v>
      </x:c>
      <x:c r="O2062" s="20" t="n">
        <x:f>N2062-M2062</x:f>
        <x:v>160</x:v>
      </x:c>
    </x:row>
    <x:row r="2063" ht="22" customHeight="1">
      <x:c r="A2063" s="11" t="n">
        <x:v>2059</x:v>
      </x:c>
      <x:c r="B2063" s="11" t="n">
        <x:v>1039</x:v>
      </x:c>
      <x:c r="C2063" s="18" t="n">
        <x:v>45749</x:v>
      </x:c>
      <x:c r="D2063" s="11" t="str">
        <x:v>2025-04</x:v>
      </x:c>
      <x:c r="E2063" s="11" t="str">
        <x:v>West</x:v>
      </x:c>
      <x:c r="F2063" s="11" t="str">
        <x:v>Office Supplies</x:v>
      </x:c>
      <x:c r="G2063" s="11" t="str">
        <x:v>Notebook pack</x:v>
      </x:c>
      <x:c r="H2063" s="11" t="n">
        <x:v>4</x:v>
      </x:c>
      <x:c r="I2063" s="19" t="n">
        <x:v>0.15</x:v>
      </x:c>
      <x:c r="J2063" s="11" t="n">
        <x:v>0</x:v>
      </x:c>
      <x:c r="K2063" s="20" t="n">
        <x:v>72</x:v>
      </x:c>
      <x:c r="L2063" s="20" t="n">
        <x:v>10.8</x:v>
      </x:c>
      <x:c r="M2063" s="20" t="n">
        <x:v>28</x:v>
      </x:c>
      <x:c r="N2063" s="20" t="n">
        <x:f>IF(J2063=1,0,K2063-L2063)</x:f>
        <x:v>61.2</x:v>
      </x:c>
      <x:c r="O2063" s="20" t="n">
        <x:f>N2063-M2063</x:f>
        <x:v>33.2</x:v>
      </x:c>
    </x:row>
    <x:row r="2064" ht="22" customHeight="1">
      <x:c r="A2064" s="11" t="n">
        <x:v>2060</x:v>
      </x:c>
      <x:c r="B2064" s="11" t="n">
        <x:v>1040</x:v>
      </x:c>
      <x:c r="C2064" s="18" t="n">
        <x:v>45436</x:v>
      </x:c>
      <x:c r="D2064" s="11" t="str">
        <x:v>2024-05</x:v>
      </x:c>
      <x:c r="E2064" s="11" t="str">
        <x:v>South</x:v>
      </x:c>
      <x:c r="F2064" s="11" t="str">
        <x:v>Office Supplies</x:v>
      </x:c>
      <x:c r="G2064" s="11" t="str">
        <x:v>Storage box</x:v>
      </x:c>
      <x:c r="H2064" s="11" t="n">
        <x:v>1</x:v>
      </x:c>
      <x:c r="I2064" s="19" t="n">
        <x:v>0.1</x:v>
      </x:c>
      <x:c r="J2064" s="11" t="n">
        <x:v>0</x:v>
      </x:c>
      <x:c r="K2064" s="20" t="n">
        <x:v>26</x:v>
      </x:c>
      <x:c r="L2064" s="20" t="n">
        <x:v>2.6</x:v>
      </x:c>
      <x:c r="M2064" s="20" t="n">
        <x:v>12</x:v>
      </x:c>
      <x:c r="N2064" s="20" t="n">
        <x:f>IF(J2064=1,0,K2064-L2064)</x:f>
        <x:v>23.4</x:v>
      </x:c>
      <x:c r="O2064" s="20" t="n">
        <x:f>N2064-M2064</x:f>
        <x:v>11.399999999999999</x:v>
      </x:c>
    </x:row>
    <x:row r="2065" ht="22" customHeight="1">
      <x:c r="A2065" s="11" t="n">
        <x:v>2061</x:v>
      </x:c>
      <x:c r="B2065" s="11" t="n">
        <x:v>1040</x:v>
      </x:c>
      <x:c r="C2065" s="18" t="n">
        <x:v>45436</x:v>
      </x:c>
      <x:c r="D2065" s="11" t="str">
        <x:v>2024-05</x:v>
      </x:c>
      <x:c r="E2065" s="11" t="str">
        <x:v>South</x:v>
      </x:c>
      <x:c r="F2065" s="11" t="str">
        <x:v>Office Supplies</x:v>
      </x:c>
      <x:c r="G2065" s="11" t="str">
        <x:v>Notebook pack</x:v>
      </x:c>
      <x:c r="H2065" s="11" t="n">
        <x:v>3</x:v>
      </x:c>
      <x:c r="I2065" s="19" t="n">
        <x:v>0.05</x:v>
      </x:c>
      <x:c r="J2065" s="11" t="n">
        <x:v>0</x:v>
      </x:c>
      <x:c r="K2065" s="20" t="n">
        <x:v>54</x:v>
      </x:c>
      <x:c r="L2065" s="20" t="n">
        <x:v>2.7</x:v>
      </x:c>
      <x:c r="M2065" s="20" t="n">
        <x:v>21</x:v>
      </x:c>
      <x:c r="N2065" s="20" t="n">
        <x:f>IF(J2065=1,0,K2065-L2065)</x:f>
        <x:v>51.3</x:v>
      </x:c>
      <x:c r="O2065" s="20" t="n">
        <x:f>N2065-M2065</x:f>
        <x:v>30.299999999999997</x:v>
      </x:c>
    </x:row>
    <x:row r="2066" ht="22" customHeight="1">
      <x:c r="A2066" s="11" t="n">
        <x:v>2062</x:v>
      </x:c>
      <x:c r="B2066" s="11" t="n">
        <x:v>1040</x:v>
      </x:c>
      <x:c r="C2066" s="18" t="n">
        <x:v>45436</x:v>
      </x:c>
      <x:c r="D2066" s="11" t="str">
        <x:v>2024-05</x:v>
      </x:c>
      <x:c r="E2066" s="11" t="str">
        <x:v>South</x:v>
      </x:c>
      <x:c r="F2066" s="11" t="str">
        <x:v>Furniture</x:v>
      </x:c>
      <x:c r="G2066" s="11" t="str">
        <x:v>Chair</x:v>
      </x:c>
      <x:c r="H2066" s="11" t="n">
        <x:v>1</x:v>
      </x:c>
      <x:c r="I2066" s="19" t="n">
        <x:v>0.15</x:v>
      </x:c>
      <x:c r="J2066" s="11" t="n">
        <x:v>0</x:v>
      </x:c>
      <x:c r="K2066" s="20" t="n">
        <x:v>170</x:v>
      </x:c>
      <x:c r="L2066" s="20" t="n">
        <x:v>25.5</x:v>
      </x:c>
      <x:c r="M2066" s="20" t="n">
        <x:v>110</x:v>
      </x:c>
      <x:c r="N2066" s="20" t="n">
        <x:f>IF(J2066=1,0,K2066-L2066)</x:f>
        <x:v>144.5</x:v>
      </x:c>
      <x:c r="O2066" s="20" t="n">
        <x:f>N2066-M2066</x:f>
        <x:v>34.5</x:v>
      </x:c>
    </x:row>
    <x:row r="2067" ht="22" customHeight="1">
      <x:c r="A2067" s="11" t="n">
        <x:v>2063</x:v>
      </x:c>
      <x:c r="B2067" s="11" t="n">
        <x:v>1041</x:v>
      </x:c>
      <x:c r="C2067" s="18" t="n">
        <x:v>45905</x:v>
      </x:c>
      <x:c r="D2067" s="11" t="str">
        <x:v>2025-09</x:v>
      </x:c>
      <x:c r="E2067" s="11" t="str">
        <x:v>West</x:v>
      </x:c>
      <x:c r="F2067" s="11" t="str">
        <x:v>Office Supplies</x:v>
      </x:c>
      <x:c r="G2067" s="11" t="str">
        <x:v>Storage box</x:v>
      </x:c>
      <x:c r="H2067" s="11" t="n">
        <x:v>5</x:v>
      </x:c>
      <x:c r="I2067" s="19" t="n">
        <x:v>0.1</x:v>
      </x:c>
      <x:c r="J2067" s="11" t="n">
        <x:v>0</x:v>
      </x:c>
      <x:c r="K2067" s="20" t="n">
        <x:v>130</x:v>
      </x:c>
      <x:c r="L2067" s="20" t="n">
        <x:v>13</x:v>
      </x:c>
      <x:c r="M2067" s="20" t="n">
        <x:v>60</x:v>
      </x:c>
      <x:c r="N2067" s="20" t="n">
        <x:f>IF(J2067=1,0,K2067-L2067)</x:f>
        <x:v>117</x:v>
      </x:c>
      <x:c r="O2067" s="20" t="n">
        <x:f>N2067-M2067</x:f>
        <x:v>57</x:v>
      </x:c>
    </x:row>
    <x:row r="2068" ht="22" customHeight="1">
      <x:c r="A2068" s="11" t="n">
        <x:v>2064</x:v>
      </x:c>
      <x:c r="B2068" s="11" t="n">
        <x:v>1041</x:v>
      </x:c>
      <x:c r="C2068" s="18" t="n">
        <x:v>45905</x:v>
      </x:c>
      <x:c r="D2068" s="11" t="str">
        <x:v>2025-09</x:v>
      </x:c>
      <x:c r="E2068" s="11" t="str">
        <x:v>West</x:v>
      </x:c>
      <x:c r="F2068" s="11" t="str">
        <x:v>Furniture</x:v>
      </x:c>
      <x:c r="G2068" s="11" t="str">
        <x:v>Chair</x:v>
      </x:c>
      <x:c r="H2068" s="11" t="n">
        <x:v>3</x:v>
      </x:c>
      <x:c r="I2068" s="19" t="n">
        <x:v>0.05</x:v>
      </x:c>
      <x:c r="J2068" s="11" t="n">
        <x:v>0</x:v>
      </x:c>
      <x:c r="K2068" s="20" t="n">
        <x:v>510</x:v>
      </x:c>
      <x:c r="L2068" s="20" t="n">
        <x:v>25.5</x:v>
      </x:c>
      <x:c r="M2068" s="20" t="n">
        <x:v>330</x:v>
      </x:c>
      <x:c r="N2068" s="20" t="n">
        <x:f>IF(J2068=1,0,K2068-L2068)</x:f>
        <x:v>484.5</x:v>
      </x:c>
      <x:c r="O2068" s="20" t="n">
        <x:f>N2068-M2068</x:f>
        <x:v>154.5</x:v>
      </x:c>
    </x:row>
    <x:row r="2069" ht="22" customHeight="1">
      <x:c r="A2069" s="11" t="n">
        <x:v>2065</x:v>
      </x:c>
      <x:c r="B2069" s="11" t="n">
        <x:v>1042</x:v>
      </x:c>
      <x:c r="C2069" s="18" t="n">
        <x:v>46017</x:v>
      </x:c>
      <x:c r="D2069" s="11" t="str">
        <x:v>2025-12</x:v>
      </x:c>
      <x:c r="E2069" s="11" t="str">
        <x:v>Central</x:v>
      </x:c>
      <x:c r="F2069" s="11" t="str">
        <x:v>Technology</x:v>
      </x:c>
      <x:c r="G2069" s="11" t="str">
        <x:v>Keyboard</x:v>
      </x:c>
      <x:c r="H2069" s="11" t="n">
        <x:v>1</x:v>
      </x:c>
      <x:c r="I2069" s="19" t="n">
        <x:v>0.1</x:v>
      </x:c>
      <x:c r="J2069" s="11" t="n">
        <x:v>0</x:v>
      </x:c>
      <x:c r="K2069" s="20" t="n">
        <x:v>65</x:v>
      </x:c>
      <x:c r="L2069" s="20" t="n">
        <x:v>6.5</x:v>
      </x:c>
      <x:c r="M2069" s="20" t="n">
        <x:v>32</x:v>
      </x:c>
      <x:c r="N2069" s="20" t="n">
        <x:f>IF(J2069=1,0,K2069-L2069)</x:f>
        <x:v>58.5</x:v>
      </x:c>
      <x:c r="O2069" s="20" t="n">
        <x:f>N2069-M2069</x:f>
        <x:v>26.5</x:v>
      </x:c>
    </x:row>
    <x:row r="2070" ht="22" customHeight="1">
      <x:c r="A2070" s="11" t="n">
        <x:v>2066</x:v>
      </x:c>
      <x:c r="B2070" s="11" t="n">
        <x:v>1043</x:v>
      </x:c>
      <x:c r="C2070" s="18" t="n">
        <x:v>45305</x:v>
      </x:c>
      <x:c r="D2070" s="11" t="str">
        <x:v>2024-01</x:v>
      </x:c>
      <x:c r="E2070" s="11" t="str">
        <x:v>Central</x:v>
      </x:c>
      <x:c r="F2070" s="11" t="str">
        <x:v>Furniture</x:v>
      </x:c>
      <x:c r="G2070" s="11" t="str">
        <x:v>Chair</x:v>
      </x:c>
      <x:c r="H2070" s="11" t="n">
        <x:v>4</x:v>
      </x:c>
      <x:c r="I2070" s="19" t="n">
        <x:v>0</x:v>
      </x:c>
      <x:c r="J2070" s="11" t="n">
        <x:v>1</x:v>
      </x:c>
      <x:c r="K2070" s="20" t="n">
        <x:v>680</x:v>
      </x:c>
      <x:c r="L2070" s="20" t="n">
        <x:v>0</x:v>
      </x:c>
      <x:c r="M2070" s="20" t="n">
        <x:v>0</x:v>
      </x:c>
      <x:c r="N2070" s="20" t="n">
        <x:f>IF(J2070=1,0,K2070-L2070)</x:f>
        <x:v>0</x:v>
      </x:c>
      <x:c r="O2070" s="20" t="n">
        <x:f>N2070-M2070</x:f>
        <x:v>0</x:v>
      </x:c>
    </x:row>
    <x:row r="2071" ht="22" customHeight="1">
      <x:c r="A2071" s="11" t="n">
        <x:v>2067</x:v>
      </x:c>
      <x:c r="B2071" s="11" t="n">
        <x:v>1044</x:v>
      </x:c>
      <x:c r="C2071" s="18" t="n">
        <x:v>45726</x:v>
      </x:c>
      <x:c r="D2071" s="11" t="str">
        <x:v>2025-03</x:v>
      </x:c>
      <x:c r="E2071" s="11" t="str">
        <x:v>South</x:v>
      </x:c>
      <x:c r="F2071" s="11" t="str">
        <x:v>Office Supplies</x:v>
      </x:c>
      <x:c r="G2071" s="11" t="str">
        <x:v>Notebook pack</x:v>
      </x:c>
      <x:c r="H2071" s="11" t="n">
        <x:v>5</x:v>
      </x:c>
      <x:c r="I2071" s="19" t="n">
        <x:v>0.1</x:v>
      </x:c>
      <x:c r="J2071" s="11" t="n">
        <x:v>0</x:v>
      </x:c>
      <x:c r="K2071" s="20" t="n">
        <x:v>90</x:v>
      </x:c>
      <x:c r="L2071" s="20" t="n">
        <x:v>9</x:v>
      </x:c>
      <x:c r="M2071" s="20" t="n">
        <x:v>35</x:v>
      </x:c>
      <x:c r="N2071" s="20" t="n">
        <x:f>IF(J2071=1,0,K2071-L2071)</x:f>
        <x:v>81</x:v>
      </x:c>
      <x:c r="O2071" s="20" t="n">
        <x:f>N2071-M2071</x:f>
        <x:v>46</x:v>
      </x:c>
    </x:row>
    <x:row r="2072" ht="22" customHeight="1">
      <x:c r="A2072" s="11" t="n">
        <x:v>2068</x:v>
      </x:c>
      <x:c r="B2072" s="11" t="n">
        <x:v>1044</x:v>
      </x:c>
      <x:c r="C2072" s="18" t="n">
        <x:v>45726</x:v>
      </x:c>
      <x:c r="D2072" s="11" t="str">
        <x:v>2025-03</x:v>
      </x:c>
      <x:c r="E2072" s="11" t="str">
        <x:v>South</x:v>
      </x:c>
      <x:c r="F2072" s="11" t="str">
        <x:v>Technology</x:v>
      </x:c>
      <x:c r="G2072" s="11" t="str">
        <x:v>Keyboard</x:v>
      </x:c>
      <x:c r="H2072" s="11" t="n">
        <x:v>3</x:v>
      </x:c>
      <x:c r="I2072" s="19" t="n">
        <x:v>0</x:v>
      </x:c>
      <x:c r="J2072" s="11" t="n">
        <x:v>0</x:v>
      </x:c>
      <x:c r="K2072" s="20" t="n">
        <x:v>195</x:v>
      </x:c>
      <x:c r="L2072" s="20" t="n">
        <x:v>0</x:v>
      </x:c>
      <x:c r="M2072" s="20" t="n">
        <x:v>96</x:v>
      </x:c>
      <x:c r="N2072" s="20" t="n">
        <x:f>IF(J2072=1,0,K2072-L2072)</x:f>
        <x:v>195</x:v>
      </x:c>
      <x:c r="O2072" s="20" t="n">
        <x:f>N2072-M2072</x:f>
        <x:v>99</x:v>
      </x:c>
    </x:row>
    <x:row r="2073" ht="22" customHeight="1">
      <x:c r="A2073" s="11" t="n">
        <x:v>2069</x:v>
      </x:c>
      <x:c r="B2073" s="11" t="n">
        <x:v>1044</x:v>
      </x:c>
      <x:c r="C2073" s="18" t="n">
        <x:v>45726</x:v>
      </x:c>
      <x:c r="D2073" s="11" t="str">
        <x:v>2025-03</x:v>
      </x:c>
      <x:c r="E2073" s="11" t="str">
        <x:v>South</x:v>
      </x:c>
      <x:c r="F2073" s="11" t="str">
        <x:v>Furniture</x:v>
      </x:c>
      <x:c r="G2073" s="11" t="str">
        <x:v>Chair</x:v>
      </x:c>
      <x:c r="H2073" s="11" t="n">
        <x:v>3</x:v>
      </x:c>
      <x:c r="I2073" s="19" t="n">
        <x:v>0.1</x:v>
      </x:c>
      <x:c r="J2073" s="11" t="n">
        <x:v>0</x:v>
      </x:c>
      <x:c r="K2073" s="20" t="n">
        <x:v>510</x:v>
      </x:c>
      <x:c r="L2073" s="20" t="n">
        <x:v>51</x:v>
      </x:c>
      <x:c r="M2073" s="20" t="n">
        <x:v>330</x:v>
      </x:c>
      <x:c r="N2073" s="20" t="n">
        <x:f>IF(J2073=1,0,K2073-L2073)</x:f>
        <x:v>459</x:v>
      </x:c>
      <x:c r="O2073" s="20" t="n">
        <x:f>N2073-M2073</x:f>
        <x:v>129</x:v>
      </x:c>
    </x:row>
    <x:row r="2074" ht="22" customHeight="1">
      <x:c r="A2074" s="11" t="n">
        <x:v>2070</x:v>
      </x:c>
      <x:c r="B2074" s="11" t="n">
        <x:v>1045</x:v>
      </x:c>
      <x:c r="C2074" s="18" t="n">
        <x:v>45921</x:v>
      </x:c>
      <x:c r="D2074" s="11" t="str">
        <x:v>2025-09</x:v>
      </x:c>
      <x:c r="E2074" s="11" t="str">
        <x:v>South</x:v>
      </x:c>
      <x:c r="F2074" s="11" t="str">
        <x:v>Technology</x:v>
      </x:c>
      <x:c r="G2074" s="11" t="str">
        <x:v>Monitor</x:v>
      </x:c>
      <x:c r="H2074" s="11" t="n">
        <x:v>5</x:v>
      </x:c>
      <x:c r="I2074" s="19" t="n">
        <x:v>0</x:v>
      </x:c>
      <x:c r="J2074" s="11" t="n">
        <x:v>0</x:v>
      </x:c>
      <x:c r="K2074" s="20" t="n">
        <x:v>1200</x:v>
      </x:c>
      <x:c r="L2074" s="20" t="n">
        <x:v>0</x:v>
      </x:c>
      <x:c r="M2074" s="20" t="n">
        <x:v>800</x:v>
      </x:c>
      <x:c r="N2074" s="20" t="n">
        <x:f>IF(J2074=1,0,K2074-L2074)</x:f>
        <x:v>1200</x:v>
      </x:c>
      <x:c r="O2074" s="20" t="n">
        <x:f>N2074-M2074</x:f>
        <x:v>400</x:v>
      </x:c>
    </x:row>
    <x:row r="2075" ht="22" customHeight="1">
      <x:c r="A2075" s="11" t="n">
        <x:v>2071</x:v>
      </x:c>
      <x:c r="B2075" s="11" t="n">
        <x:v>1046</x:v>
      </x:c>
      <x:c r="C2075" s="18" t="n">
        <x:v>45672</x:v>
      </x:c>
      <x:c r="D2075" s="11" t="str">
        <x:v>2025-01</x:v>
      </x:c>
      <x:c r="E2075" s="11" t="str">
        <x:v>West</x:v>
      </x:c>
      <x:c r="F2075" s="11" t="str">
        <x:v>Technology</x:v>
      </x:c>
      <x:c r="G2075" s="11" t="str">
        <x:v>Keyboard</x:v>
      </x:c>
      <x:c r="H2075" s="11" t="n">
        <x:v>3</x:v>
      </x:c>
      <x:c r="I2075" s="19" t="n">
        <x:v>0</x:v>
      </x:c>
      <x:c r="J2075" s="11" t="n">
        <x:v>0</x:v>
      </x:c>
      <x:c r="K2075" s="20" t="n">
        <x:v>195</x:v>
      </x:c>
      <x:c r="L2075" s="20" t="n">
        <x:v>0</x:v>
      </x:c>
      <x:c r="M2075" s="20" t="n">
        <x:v>96</x:v>
      </x:c>
      <x:c r="N2075" s="20" t="n">
        <x:f>IF(J2075=1,0,K2075-L2075)</x:f>
        <x:v>195</x:v>
      </x:c>
      <x:c r="O2075" s="20" t="n">
        <x:f>N2075-M2075</x:f>
        <x:v>99</x:v>
      </x:c>
    </x:row>
    <x:row r="2076" ht="22" customHeight="1">
      <x:c r="A2076" s="11" t="n">
        <x:v>2072</x:v>
      </x:c>
      <x:c r="B2076" s="11" t="n">
        <x:v>1046</x:v>
      </x:c>
      <x:c r="C2076" s="18" t="n">
        <x:v>45672</x:v>
      </x:c>
      <x:c r="D2076" s="11" t="str">
        <x:v>2025-01</x:v>
      </x:c>
      <x:c r="E2076" s="11" t="str">
        <x:v>West</x:v>
      </x:c>
      <x:c r="F2076" s="11" t="str">
        <x:v>Furniture</x:v>
      </x:c>
      <x:c r="G2076" s="11" t="str">
        <x:v>Chair</x:v>
      </x:c>
      <x:c r="H2076" s="11" t="n">
        <x:v>4</x:v>
      </x:c>
      <x:c r="I2076" s="19" t="n">
        <x:v>0</x:v>
      </x:c>
      <x:c r="J2076" s="11" t="n">
        <x:v>0</x:v>
      </x:c>
      <x:c r="K2076" s="20" t="n">
        <x:v>680</x:v>
      </x:c>
      <x:c r="L2076" s="20" t="n">
        <x:v>0</x:v>
      </x:c>
      <x:c r="M2076" s="20" t="n">
        <x:v>440</x:v>
      </x:c>
      <x:c r="N2076" s="20" t="n">
        <x:f>IF(J2076=1,0,K2076-L2076)</x:f>
        <x:v>680</x:v>
      </x:c>
      <x:c r="O2076" s="20" t="n">
        <x:f>N2076-M2076</x:f>
        <x:v>240</x:v>
      </x:c>
    </x:row>
    <x:row r="2077" ht="22" customHeight="1">
      <x:c r="A2077" s="11" t="n">
        <x:v>2073</x:v>
      </x:c>
      <x:c r="B2077" s="11" t="n">
        <x:v>1047</x:v>
      </x:c>
      <x:c r="C2077" s="18" t="n">
        <x:v>45475</x:v>
      </x:c>
      <x:c r="D2077" s="11" t="str">
        <x:v>2024-07</x:v>
      </x:c>
      <x:c r="E2077" s="11" t="str">
        <x:v>Central</x:v>
      </x:c>
      <x:c r="F2077" s="11" t="str">
        <x:v>Furniture</x:v>
      </x:c>
      <x:c r="G2077" s="11" t="str">
        <x:v>Desk</x:v>
      </x:c>
      <x:c r="H2077" s="11" t="n">
        <x:v>3</x:v>
      </x:c>
      <x:c r="I2077" s="19" t="n">
        <x:v>0.05</x:v>
      </x:c>
      <x:c r="J2077" s="11" t="n">
        <x:v>0</x:v>
      </x:c>
      <x:c r="K2077" s="20" t="n">
        <x:v>840</x:v>
      </x:c>
      <x:c r="L2077" s="20" t="n">
        <x:v>42</x:v>
      </x:c>
      <x:c r="M2077" s="20" t="n">
        <x:v>570</x:v>
      </x:c>
      <x:c r="N2077" s="20" t="n">
        <x:f>IF(J2077=1,0,K2077-L2077)</x:f>
        <x:v>798</x:v>
      </x:c>
      <x:c r="O2077" s="20" t="n">
        <x:f>N2077-M2077</x:f>
        <x:v>228</x:v>
      </x:c>
    </x:row>
    <x:row r="2078" ht="22" customHeight="1">
      <x:c r="A2078" s="11" t="n">
        <x:v>2074</x:v>
      </x:c>
      <x:c r="B2078" s="11" t="n">
        <x:v>1048</x:v>
      </x:c>
      <x:c r="C2078" s="18" t="n">
        <x:v>45388</x:v>
      </x:c>
      <x:c r="D2078" s="11" t="str">
        <x:v>2024-04</x:v>
      </x:c>
      <x:c r="E2078" s="11" t="str">
        <x:v>Central</x:v>
      </x:c>
      <x:c r="F2078" s="11" t="str">
        <x:v>Furniture</x:v>
      </x:c>
      <x:c r="G2078" s="11" t="str">
        <x:v>Desk</x:v>
      </x:c>
      <x:c r="H2078" s="11" t="n">
        <x:v>5</x:v>
      </x:c>
      <x:c r="I2078" s="19" t="n">
        <x:v>0.35</x:v>
      </x:c>
      <x:c r="J2078" s="11" t="n">
        <x:v>0</x:v>
      </x:c>
      <x:c r="K2078" s="20" t="n">
        <x:v>1400</x:v>
      </x:c>
      <x:c r="L2078" s="20" t="n">
        <x:v>490</x:v>
      </x:c>
      <x:c r="M2078" s="20" t="n">
        <x:v>950</x:v>
      </x:c>
      <x:c r="N2078" s="20" t="n">
        <x:f>IF(J2078=1,0,K2078-L2078)</x:f>
        <x:v>910</x:v>
      </x:c>
      <x:c r="O2078" s="20" t="n">
        <x:f>N2078-M2078</x:f>
        <x:v>-40</x:v>
      </x:c>
    </x:row>
    <x:row r="2079" ht="22" customHeight="1">
      <x:c r="A2079" s="11" t="n">
        <x:v>2075</x:v>
      </x:c>
      <x:c r="B2079" s="11" t="n">
        <x:v>1048</x:v>
      </x:c>
      <x:c r="C2079" s="18" t="n">
        <x:v>45388</x:v>
      </x:c>
      <x:c r="D2079" s="11" t="str">
        <x:v>2024-04</x:v>
      </x:c>
      <x:c r="E2079" s="11" t="str">
        <x:v>Central</x:v>
      </x:c>
      <x:c r="F2079" s="11" t="str">
        <x:v>Office Supplies</x:v>
      </x:c>
      <x:c r="G2079" s="11" t="str">
        <x:v>Storage box</x:v>
      </x:c>
      <x:c r="H2079" s="11" t="n">
        <x:v>1</x:v>
      </x:c>
      <x:c r="I2079" s="19" t="n">
        <x:v>0.05</x:v>
      </x:c>
      <x:c r="J2079" s="11" t="n">
        <x:v>0</x:v>
      </x:c>
      <x:c r="K2079" s="20" t="n">
        <x:v>26</x:v>
      </x:c>
      <x:c r="L2079" s="20" t="n">
        <x:v>1.3</x:v>
      </x:c>
      <x:c r="M2079" s="20" t="n">
        <x:v>12</x:v>
      </x:c>
      <x:c r="N2079" s="20" t="n">
        <x:f>IF(J2079=1,0,K2079-L2079)</x:f>
        <x:v>24.7</x:v>
      </x:c>
      <x:c r="O2079" s="20" t="n">
        <x:f>N2079-M2079</x:f>
        <x:v>12.7</x:v>
      </x:c>
    </x:row>
    <x:row r="2080" ht="22" customHeight="1">
      <x:c r="A2080" s="11" t="n">
        <x:v>2076</x:v>
      </x:c>
      <x:c r="B2080" s="11" t="n">
        <x:v>1049</x:v>
      </x:c>
      <x:c r="C2080" s="18" t="n">
        <x:v>45523</x:v>
      </x:c>
      <x:c r="D2080" s="11" t="str">
        <x:v>2024-08</x:v>
      </x:c>
      <x:c r="E2080" s="11" t="str">
        <x:v>South</x:v>
      </x:c>
      <x:c r="F2080" s="11" t="str">
        <x:v>Technology</x:v>
      </x:c>
      <x:c r="G2080" s="11" t="str">
        <x:v>Monitor</x:v>
      </x:c>
      <x:c r="H2080" s="11" t="n">
        <x:v>3</x:v>
      </x:c>
      <x:c r="I2080" s="19" t="n">
        <x:v>0.1</x:v>
      </x:c>
      <x:c r="J2080" s="11" t="n">
        <x:v>0</x:v>
      </x:c>
      <x:c r="K2080" s="20" t="n">
        <x:v>720</x:v>
      </x:c>
      <x:c r="L2080" s="20" t="n">
        <x:v>72</x:v>
      </x:c>
      <x:c r="M2080" s="20" t="n">
        <x:v>480</x:v>
      </x:c>
      <x:c r="N2080" s="20" t="n">
        <x:f>IF(J2080=1,0,K2080-L2080)</x:f>
        <x:v>648</x:v>
      </x:c>
      <x:c r="O2080" s="20" t="n">
        <x:f>N2080-M2080</x:f>
        <x:v>168</x:v>
      </x:c>
    </x:row>
    <x:row r="2081" ht="22" customHeight="1">
      <x:c r="A2081" s="11" t="n">
        <x:v>2077</x:v>
      </x:c>
      <x:c r="B2081" s="11" t="n">
        <x:v>1050</x:v>
      </x:c>
      <x:c r="C2081" s="18" t="n">
        <x:v>45605</x:v>
      </x:c>
      <x:c r="D2081" s="11" t="str">
        <x:v>2024-11</x:v>
      </x:c>
      <x:c r="E2081" s="11" t="str">
        <x:v>West</x:v>
      </x:c>
      <x:c r="F2081" s="11" t="str">
        <x:v>Office Supplies</x:v>
      </x:c>
      <x:c r="G2081" s="11" t="str">
        <x:v>Notebook pack</x:v>
      </x:c>
      <x:c r="H2081" s="11" t="n">
        <x:v>2</x:v>
      </x:c>
      <x:c r="I2081" s="19" t="n">
        <x:v>0</x:v>
      </x:c>
      <x:c r="J2081" s="11" t="n">
        <x:v>0</x:v>
      </x:c>
      <x:c r="K2081" s="20" t="n">
        <x:v>36</x:v>
      </x:c>
      <x:c r="L2081" s="20" t="n">
        <x:v>0</x:v>
      </x:c>
      <x:c r="M2081" s="20" t="n">
        <x:v>14</x:v>
      </x:c>
      <x:c r="N2081" s="20" t="n">
        <x:f>IF(J2081=1,0,K2081-L2081)</x:f>
        <x:v>36</x:v>
      </x:c>
      <x:c r="O2081" s="20" t="n">
        <x:f>N2081-M2081</x:f>
        <x:v>22</x:v>
      </x:c>
    </x:row>
    <x:row r="2082" ht="22" customHeight="1">
      <x:c r="A2082" s="11" t="n">
        <x:v>2078</x:v>
      </x:c>
      <x:c r="B2082" s="11" t="n">
        <x:v>1050</x:v>
      </x:c>
      <x:c r="C2082" s="18" t="n">
        <x:v>45605</x:v>
      </x:c>
      <x:c r="D2082" s="11" t="str">
        <x:v>2024-11</x:v>
      </x:c>
      <x:c r="E2082" s="11" t="str">
        <x:v>West</x:v>
      </x:c>
      <x:c r="F2082" s="11" t="str">
        <x:v>Office Supplies</x:v>
      </x:c>
      <x:c r="G2082" s="11" t="str">
        <x:v>Storage box</x:v>
      </x:c>
      <x:c r="H2082" s="11" t="n">
        <x:v>1</x:v>
      </x:c>
      <x:c r="I2082" s="19" t="n">
        <x:v>0</x:v>
      </x:c>
      <x:c r="J2082" s="11" t="n">
        <x:v>0</x:v>
      </x:c>
      <x:c r="K2082" s="20" t="n">
        <x:v>26</x:v>
      </x:c>
      <x:c r="L2082" s="20" t="n">
        <x:v>0</x:v>
      </x:c>
      <x:c r="M2082" s="20" t="n">
        <x:v>12</x:v>
      </x:c>
      <x:c r="N2082" s="20" t="n">
        <x:f>IF(J2082=1,0,K2082-L2082)</x:f>
        <x:v>26</x:v>
      </x:c>
      <x:c r="O2082" s="20" t="n">
        <x:f>N2082-M2082</x:f>
        <x:v>14</x:v>
      </x:c>
    </x:row>
    <x:row r="2083" ht="22" customHeight="1">
      <x:c r="A2083" s="11" t="n">
        <x:v>2079</x:v>
      </x:c>
      <x:c r="B2083" s="11" t="n">
        <x:v>1051</x:v>
      </x:c>
      <x:c r="C2083" s="18" t="n">
        <x:v>45561</x:v>
      </x:c>
      <x:c r="D2083" s="11" t="str">
        <x:v>2024-09</x:v>
      </x:c>
      <x:c r="E2083" s="11" t="str">
        <x:v>South</x:v>
      </x:c>
      <x:c r="F2083" s="11" t="str">
        <x:v>Office Supplies</x:v>
      </x:c>
      <x:c r="G2083" s="11" t="str">
        <x:v>Notebook pack</x:v>
      </x:c>
      <x:c r="H2083" s="11" t="n">
        <x:v>5</x:v>
      </x:c>
      <x:c r="I2083" s="19" t="n">
        <x:v>0.1</x:v>
      </x:c>
      <x:c r="J2083" s="11" t="n">
        <x:v>0</x:v>
      </x:c>
      <x:c r="K2083" s="20" t="n">
        <x:v>90</x:v>
      </x:c>
      <x:c r="L2083" s="20" t="n">
        <x:v>9</x:v>
      </x:c>
      <x:c r="M2083" s="20" t="n">
        <x:v>35</x:v>
      </x:c>
      <x:c r="N2083" s="20" t="n">
        <x:f>IF(J2083=1,0,K2083-L2083)</x:f>
        <x:v>81</x:v>
      </x:c>
      <x:c r="O2083" s="20" t="n">
        <x:f>N2083-M2083</x:f>
        <x:v>46</x:v>
      </x:c>
    </x:row>
    <x:row r="2084" ht="22" customHeight="1">
      <x:c r="A2084" s="11" t="n">
        <x:v>2080</x:v>
      </x:c>
      <x:c r="B2084" s="11" t="n">
        <x:v>1052</x:v>
      </x:c>
      <x:c r="C2084" s="18" t="n">
        <x:v>45898</x:v>
      </x:c>
      <x:c r="D2084" s="11" t="str">
        <x:v>2025-08</x:v>
      </x:c>
      <x:c r="E2084" s="11" t="str">
        <x:v>Central</x:v>
      </x:c>
      <x:c r="F2084" s="11" t="str">
        <x:v>Office Supplies</x:v>
      </x:c>
      <x:c r="G2084" s="11" t="str">
        <x:v>Notebook pack</x:v>
      </x:c>
      <x:c r="H2084" s="11" t="n">
        <x:v>2</x:v>
      </x:c>
      <x:c r="I2084" s="19" t="n">
        <x:v>0</x:v>
      </x:c>
      <x:c r="J2084" s="11" t="n">
        <x:v>0</x:v>
      </x:c>
      <x:c r="K2084" s="20" t="n">
        <x:v>36</x:v>
      </x:c>
      <x:c r="L2084" s="20" t="n">
        <x:v>0</x:v>
      </x:c>
      <x:c r="M2084" s="20" t="n">
        <x:v>14</x:v>
      </x:c>
      <x:c r="N2084" s="20" t="n">
        <x:f>IF(J2084=1,0,K2084-L2084)</x:f>
        <x:v>36</x:v>
      </x:c>
      <x:c r="O2084" s="20" t="n">
        <x:f>N2084-M2084</x:f>
        <x:v>22</x:v>
      </x:c>
    </x:row>
    <x:row r="2085" ht="22" customHeight="1">
      <x:c r="A2085" s="11" t="n">
        <x:v>2081</x:v>
      </x:c>
      <x:c r="B2085" s="11" t="n">
        <x:v>1052</x:v>
      </x:c>
      <x:c r="C2085" s="18" t="n">
        <x:v>45898</x:v>
      </x:c>
      <x:c r="D2085" s="11" t="str">
        <x:v>2025-08</x:v>
      </x:c>
      <x:c r="E2085" s="11" t="str">
        <x:v>Central</x:v>
      </x:c>
      <x:c r="F2085" s="11" t="str">
        <x:v>Technology</x:v>
      </x:c>
      <x:c r="G2085" s="11" t="str">
        <x:v>Keyboard</x:v>
      </x:c>
      <x:c r="H2085" s="11" t="n">
        <x:v>2</x:v>
      </x:c>
      <x:c r="I2085" s="19" t="n">
        <x:v>0</x:v>
      </x:c>
      <x:c r="J2085" s="11" t="n">
        <x:v>0</x:v>
      </x:c>
      <x:c r="K2085" s="20" t="n">
        <x:v>130</x:v>
      </x:c>
      <x:c r="L2085" s="20" t="n">
        <x:v>0</x:v>
      </x:c>
      <x:c r="M2085" s="20" t="n">
        <x:v>64</x:v>
      </x:c>
      <x:c r="N2085" s="20" t="n">
        <x:f>IF(J2085=1,0,K2085-L2085)</x:f>
        <x:v>130</x:v>
      </x:c>
      <x:c r="O2085" s="20" t="n">
        <x:f>N2085-M2085</x:f>
        <x:v>66</x:v>
      </x:c>
    </x:row>
    <x:row r="2086" ht="22" customHeight="1">
      <x:c r="A2086" s="11" t="n">
        <x:v>2082</x:v>
      </x:c>
      <x:c r="B2086" s="11" t="n">
        <x:v>1052</x:v>
      </x:c>
      <x:c r="C2086" s="18" t="n">
        <x:v>45898</x:v>
      </x:c>
      <x:c r="D2086" s="11" t="str">
        <x:v>2025-08</x:v>
      </x:c>
      <x:c r="E2086" s="11" t="str">
        <x:v>Central</x:v>
      </x:c>
      <x:c r="F2086" s="11" t="str">
        <x:v>Furniture</x:v>
      </x:c>
      <x:c r="G2086" s="11" t="str">
        <x:v>Chair</x:v>
      </x:c>
      <x:c r="H2086" s="11" t="n">
        <x:v>5</x:v>
      </x:c>
      <x:c r="I2086" s="19" t="n">
        <x:v>0</x:v>
      </x:c>
      <x:c r="J2086" s="11" t="n">
        <x:v>0</x:v>
      </x:c>
      <x:c r="K2086" s="20" t="n">
        <x:v>850</x:v>
      </x:c>
      <x:c r="L2086" s="20" t="n">
        <x:v>0</x:v>
      </x:c>
      <x:c r="M2086" s="20" t="n">
        <x:v>550</x:v>
      </x:c>
      <x:c r="N2086" s="20" t="n">
        <x:f>IF(J2086=1,0,K2086-L2086)</x:f>
        <x:v>850</x:v>
      </x:c>
      <x:c r="O2086" s="20" t="n">
        <x:f>N2086-M2086</x:f>
        <x:v>300</x:v>
      </x:c>
    </x:row>
    <x:row r="2087" ht="22" customHeight="1">
      <x:c r="A2087" s="11" t="n">
        <x:v>2083</x:v>
      </x:c>
      <x:c r="B2087" s="11" t="n">
        <x:v>1053</x:v>
      </x:c>
      <x:c r="C2087" s="18" t="n">
        <x:v>45778</x:v>
      </x:c>
      <x:c r="D2087" s="11" t="str">
        <x:v>2025-05</x:v>
      </x:c>
      <x:c r="E2087" s="11" t="str">
        <x:v>East</x:v>
      </x:c>
      <x:c r="F2087" s="11" t="str">
        <x:v>Furniture</x:v>
      </x:c>
      <x:c r="G2087" s="11" t="str">
        <x:v>Desk</x:v>
      </x:c>
      <x:c r="H2087" s="11" t="n">
        <x:v>2</x:v>
      </x:c>
      <x:c r="I2087" s="19" t="n">
        <x:v>0.35</x:v>
      </x:c>
      <x:c r="J2087" s="11" t="n">
        <x:v>0</x:v>
      </x:c>
      <x:c r="K2087" s="20" t="n">
        <x:v>560</x:v>
      </x:c>
      <x:c r="L2087" s="20" t="n">
        <x:v>196</x:v>
      </x:c>
      <x:c r="M2087" s="20" t="n">
        <x:v>380</x:v>
      </x:c>
      <x:c r="N2087" s="20" t="n">
        <x:f>IF(J2087=1,0,K2087-L2087)</x:f>
        <x:v>364</x:v>
      </x:c>
      <x:c r="O2087" s="20" t="n">
        <x:f>N2087-M2087</x:f>
        <x:v>-16</x:v>
      </x:c>
    </x:row>
    <x:row r="2088" ht="22" customHeight="1">
      <x:c r="A2088" s="11" t="n">
        <x:v>2084</x:v>
      </x:c>
      <x:c r="B2088" s="11" t="n">
        <x:v>1054</x:v>
      </x:c>
      <x:c r="C2088" s="18" t="n">
        <x:v>45775</x:v>
      </x:c>
      <x:c r="D2088" s="11" t="str">
        <x:v>2025-04</x:v>
      </x:c>
      <x:c r="E2088" s="11" t="str">
        <x:v>South</x:v>
      </x:c>
      <x:c r="F2088" s="11" t="str">
        <x:v>Furniture</x:v>
      </x:c>
      <x:c r="G2088" s="11" t="str">
        <x:v>Desk</x:v>
      </x:c>
      <x:c r="H2088" s="11" t="n">
        <x:v>4</x:v>
      </x:c>
      <x:c r="I2088" s="19" t="n">
        <x:v>0.25</x:v>
      </x:c>
      <x:c r="J2088" s="11" t="n">
        <x:v>0</x:v>
      </x:c>
      <x:c r="K2088" s="20" t="n">
        <x:v>1120</x:v>
      </x:c>
      <x:c r="L2088" s="20" t="n">
        <x:v>280</x:v>
      </x:c>
      <x:c r="M2088" s="20" t="n">
        <x:v>760</x:v>
      </x:c>
      <x:c r="N2088" s="20" t="n">
        <x:f>IF(J2088=1,0,K2088-L2088)</x:f>
        <x:v>840</x:v>
      </x:c>
      <x:c r="O2088" s="20" t="n">
        <x:f>N2088-M2088</x:f>
        <x:v>80</x:v>
      </x:c>
    </x:row>
    <x:row r="2089" ht="22" customHeight="1">
      <x:c r="A2089" s="11" t="n">
        <x:v>2085</x:v>
      </x:c>
      <x:c r="B2089" s="11" t="n">
        <x:v>1054</x:v>
      </x:c>
      <x:c r="C2089" s="18" t="n">
        <x:v>45775</x:v>
      </x:c>
      <x:c r="D2089" s="11" t="str">
        <x:v>2025-04</x:v>
      </x:c>
      <x:c r="E2089" s="11" t="str">
        <x:v>South</x:v>
      </x:c>
      <x:c r="F2089" s="11" t="str">
        <x:v>Furniture</x:v>
      </x:c>
      <x:c r="G2089" s="11" t="str">
        <x:v>Chair</x:v>
      </x:c>
      <x:c r="H2089" s="11" t="n">
        <x:v>3</x:v>
      </x:c>
      <x:c r="I2089" s="19" t="n">
        <x:v>0.1</x:v>
      </x:c>
      <x:c r="J2089" s="11" t="n">
        <x:v>0</x:v>
      </x:c>
      <x:c r="K2089" s="20" t="n">
        <x:v>510</x:v>
      </x:c>
      <x:c r="L2089" s="20" t="n">
        <x:v>51</x:v>
      </x:c>
      <x:c r="M2089" s="20" t="n">
        <x:v>330</x:v>
      </x:c>
      <x:c r="N2089" s="20" t="n">
        <x:f>IF(J2089=1,0,K2089-L2089)</x:f>
        <x:v>459</x:v>
      </x:c>
      <x:c r="O2089" s="20" t="n">
        <x:f>N2089-M2089</x:f>
        <x:v>129</x:v>
      </x:c>
    </x:row>
    <x:row r="2090" ht="22" customHeight="1">
      <x:c r="A2090" s="11" t="n">
        <x:v>2086</x:v>
      </x:c>
      <x:c r="B2090" s="11" t="n">
        <x:v>1054</x:v>
      </x:c>
      <x:c r="C2090" s="18" t="n">
        <x:v>45775</x:v>
      </x:c>
      <x:c r="D2090" s="11" t="str">
        <x:v>2025-04</x:v>
      </x:c>
      <x:c r="E2090" s="11" t="str">
        <x:v>South</x:v>
      </x:c>
      <x:c r="F2090" s="11" t="str">
        <x:v>Technology</x:v>
      </x:c>
      <x:c r="G2090" s="11" t="str">
        <x:v>Keyboard</x:v>
      </x:c>
      <x:c r="H2090" s="11" t="n">
        <x:v>3</x:v>
      </x:c>
      <x:c r="I2090" s="19" t="n">
        <x:v>0.15</x:v>
      </x:c>
      <x:c r="J2090" s="11" t="n">
        <x:v>0</x:v>
      </x:c>
      <x:c r="K2090" s="20" t="n">
        <x:v>195</x:v>
      </x:c>
      <x:c r="L2090" s="20" t="n">
        <x:v>29.25</x:v>
      </x:c>
      <x:c r="M2090" s="20" t="n">
        <x:v>96</x:v>
      </x:c>
      <x:c r="N2090" s="20" t="n">
        <x:f>IF(J2090=1,0,K2090-L2090)</x:f>
        <x:v>165.75</x:v>
      </x:c>
      <x:c r="O2090" s="20" t="n">
        <x:f>N2090-M2090</x:f>
        <x:v>69.75</x:v>
      </x:c>
    </x:row>
    <x:row r="2091" ht="22" customHeight="1">
      <x:c r="A2091" s="11" t="n">
        <x:v>2087</x:v>
      </x:c>
      <x:c r="B2091" s="11" t="n">
        <x:v>1055</x:v>
      </x:c>
      <x:c r="C2091" s="18" t="n">
        <x:v>45911</x:v>
      </x:c>
      <x:c r="D2091" s="11" t="str">
        <x:v>2025-09</x:v>
      </x:c>
      <x:c r="E2091" s="11" t="str">
        <x:v>Central</x:v>
      </x:c>
      <x:c r="F2091" s="11" t="str">
        <x:v>Technology</x:v>
      </x:c>
      <x:c r="G2091" s="11" t="str">
        <x:v>Monitor</x:v>
      </x:c>
      <x:c r="H2091" s="11" t="n">
        <x:v>5</x:v>
      </x:c>
      <x:c r="I2091" s="19" t="n">
        <x:v>0.1</x:v>
      </x:c>
      <x:c r="J2091" s="11" t="n">
        <x:v>0</x:v>
      </x:c>
      <x:c r="K2091" s="20" t="n">
        <x:v>1200</x:v>
      </x:c>
      <x:c r="L2091" s="20" t="n">
        <x:v>120</x:v>
      </x:c>
      <x:c r="M2091" s="20" t="n">
        <x:v>800</x:v>
      </x:c>
      <x:c r="N2091" s="20" t="n">
        <x:f>IF(J2091=1,0,K2091-L2091)</x:f>
        <x:v>1080</x:v>
      </x:c>
      <x:c r="O2091" s="20" t="n">
        <x:f>N2091-M2091</x:f>
        <x:v>280</x:v>
      </x:c>
    </x:row>
    <x:row r="2092" ht="22" customHeight="1">
      <x:c r="A2092" s="11" t="n">
        <x:v>2088</x:v>
      </x:c>
      <x:c r="B2092" s="11" t="n">
        <x:v>1055</x:v>
      </x:c>
      <x:c r="C2092" s="18" t="n">
        <x:v>45911</x:v>
      </x:c>
      <x:c r="D2092" s="11" t="str">
        <x:v>2025-09</x:v>
      </x:c>
      <x:c r="E2092" s="11" t="str">
        <x:v>Central</x:v>
      </x:c>
      <x:c r="F2092" s="11" t="str">
        <x:v>Furniture</x:v>
      </x:c>
      <x:c r="G2092" s="11" t="str">
        <x:v>Chair</x:v>
      </x:c>
      <x:c r="H2092" s="11" t="n">
        <x:v>3</x:v>
      </x:c>
      <x:c r="I2092" s="19" t="n">
        <x:v>0</x:v>
      </x:c>
      <x:c r="J2092" s="11" t="n">
        <x:v>0</x:v>
      </x:c>
      <x:c r="K2092" s="20" t="n">
        <x:v>510</x:v>
      </x:c>
      <x:c r="L2092" s="20" t="n">
        <x:v>0</x:v>
      </x:c>
      <x:c r="M2092" s="20" t="n">
        <x:v>330</x:v>
      </x:c>
      <x:c r="N2092" s="20" t="n">
        <x:f>IF(J2092=1,0,K2092-L2092)</x:f>
        <x:v>510</x:v>
      </x:c>
      <x:c r="O2092" s="20" t="n">
        <x:f>N2092-M2092</x:f>
        <x:v>180</x:v>
      </x:c>
    </x:row>
    <x:row r="2093" ht="22" customHeight="1">
      <x:c r="A2093" s="11" t="n">
        <x:v>2089</x:v>
      </x:c>
      <x:c r="B2093" s="11" t="n">
        <x:v>1055</x:v>
      </x:c>
      <x:c r="C2093" s="18" t="n">
        <x:v>45911</x:v>
      </x:c>
      <x:c r="D2093" s="11" t="str">
        <x:v>2025-09</x:v>
      </x:c>
      <x:c r="E2093" s="11" t="str">
        <x:v>Central</x:v>
      </x:c>
      <x:c r="F2093" s="11" t="str">
        <x:v>Technology</x:v>
      </x:c>
      <x:c r="G2093" s="11" t="str">
        <x:v>Keyboard</x:v>
      </x:c>
      <x:c r="H2093" s="11" t="n">
        <x:v>4</x:v>
      </x:c>
      <x:c r="I2093" s="19" t="n">
        <x:v>0.05</x:v>
      </x:c>
      <x:c r="J2093" s="11" t="n">
        <x:v>0</x:v>
      </x:c>
      <x:c r="K2093" s="20" t="n">
        <x:v>260</x:v>
      </x:c>
      <x:c r="L2093" s="20" t="n">
        <x:v>13</x:v>
      </x:c>
      <x:c r="M2093" s="20" t="n">
        <x:v>128</x:v>
      </x:c>
      <x:c r="N2093" s="20" t="n">
        <x:f>IF(J2093=1,0,K2093-L2093)</x:f>
        <x:v>247</x:v>
      </x:c>
      <x:c r="O2093" s="20" t="n">
        <x:f>N2093-M2093</x:f>
        <x:v>119</x:v>
      </x:c>
    </x:row>
    <x:row r="2094" ht="22" customHeight="1">
      <x:c r="A2094" s="11" t="n">
        <x:v>2090</x:v>
      </x:c>
      <x:c r="B2094" s="11" t="n">
        <x:v>1056</x:v>
      </x:c>
      <x:c r="C2094" s="18" t="n">
        <x:v>45666</x:v>
      </x:c>
      <x:c r="D2094" s="11" t="str">
        <x:v>2025-01</x:v>
      </x:c>
      <x:c r="E2094" s="11" t="str">
        <x:v>East</x:v>
      </x:c>
      <x:c r="F2094" s="11" t="str">
        <x:v>Technology</x:v>
      </x:c>
      <x:c r="G2094" s="11" t="str">
        <x:v>Keyboard</x:v>
      </x:c>
      <x:c r="H2094" s="11" t="n">
        <x:v>4</x:v>
      </x:c>
      <x:c r="I2094" s="19" t="n">
        <x:v>0.05</x:v>
      </x:c>
      <x:c r="J2094" s="11" t="n">
        <x:v>0</x:v>
      </x:c>
      <x:c r="K2094" s="20" t="n">
        <x:v>260</x:v>
      </x:c>
      <x:c r="L2094" s="20" t="n">
        <x:v>13</x:v>
      </x:c>
      <x:c r="M2094" s="20" t="n">
        <x:v>128</x:v>
      </x:c>
      <x:c r="N2094" s="20" t="n">
        <x:f>IF(J2094=1,0,K2094-L2094)</x:f>
        <x:v>247</x:v>
      </x:c>
      <x:c r="O2094" s="20" t="n">
        <x:f>N2094-M2094</x:f>
        <x:v>119</x:v>
      </x:c>
    </x:row>
    <x:row r="2095" ht="22" customHeight="1">
      <x:c r="A2095" s="11" t="n">
        <x:v>2091</x:v>
      </x:c>
      <x:c r="B2095" s="11" t="n">
        <x:v>1056</x:v>
      </x:c>
      <x:c r="C2095" s="18" t="n">
        <x:v>45666</x:v>
      </x:c>
      <x:c r="D2095" s="11" t="str">
        <x:v>2025-01</x:v>
      </x:c>
      <x:c r="E2095" s="11" t="str">
        <x:v>East</x:v>
      </x:c>
      <x:c r="F2095" s="11" t="str">
        <x:v>Furniture</x:v>
      </x:c>
      <x:c r="G2095" s="11" t="str">
        <x:v>Chair</x:v>
      </x:c>
      <x:c r="H2095" s="11" t="n">
        <x:v>1</x:v>
      </x:c>
      <x:c r="I2095" s="19" t="n">
        <x:v>0.05</x:v>
      </x:c>
      <x:c r="J2095" s="11" t="n">
        <x:v>0</x:v>
      </x:c>
      <x:c r="K2095" s="20" t="n">
        <x:v>170</x:v>
      </x:c>
      <x:c r="L2095" s="20" t="n">
        <x:v>8.5</x:v>
      </x:c>
      <x:c r="M2095" s="20" t="n">
        <x:v>110</x:v>
      </x:c>
      <x:c r="N2095" s="20" t="n">
        <x:f>IF(J2095=1,0,K2095-L2095)</x:f>
        <x:v>161.5</x:v>
      </x:c>
      <x:c r="O2095" s="20" t="n">
        <x:f>N2095-M2095</x:f>
        <x:v>51.5</x:v>
      </x:c>
    </x:row>
    <x:row r="2096" ht="22" customHeight="1">
      <x:c r="A2096" s="11" t="n">
        <x:v>2092</x:v>
      </x:c>
      <x:c r="B2096" s="11" t="n">
        <x:v>1056</x:v>
      </x:c>
      <x:c r="C2096" s="18" t="n">
        <x:v>45666</x:v>
      </x:c>
      <x:c r="D2096" s="11" t="str">
        <x:v>2025-01</x:v>
      </x:c>
      <x:c r="E2096" s="11" t="str">
        <x:v>East</x:v>
      </x:c>
      <x:c r="F2096" s="11" t="str">
        <x:v>Office Supplies</x:v>
      </x:c>
      <x:c r="G2096" s="11" t="str">
        <x:v>Notebook pack</x:v>
      </x:c>
      <x:c r="H2096" s="11" t="n">
        <x:v>5</x:v>
      </x:c>
      <x:c r="I2096" s="19" t="n">
        <x:v>0</x:v>
      </x:c>
      <x:c r="J2096" s="11" t="n">
        <x:v>1</x:v>
      </x:c>
      <x:c r="K2096" s="20" t="n">
        <x:v>90</x:v>
      </x:c>
      <x:c r="L2096" s="20" t="n">
        <x:v>0</x:v>
      </x:c>
      <x:c r="M2096" s="20" t="n">
        <x:v>0</x:v>
      </x:c>
      <x:c r="N2096" s="20" t="n">
        <x:f>IF(J2096=1,0,K2096-L2096)</x:f>
        <x:v>0</x:v>
      </x:c>
      <x:c r="O2096" s="20" t="n">
        <x:f>N2096-M2096</x:f>
        <x:v>0</x:v>
      </x:c>
    </x:row>
    <x:row r="2097" ht="22" customHeight="1">
      <x:c r="A2097" s="11" t="n">
        <x:v>2093</x:v>
      </x:c>
      <x:c r="B2097" s="11" t="n">
        <x:v>1057</x:v>
      </x:c>
      <x:c r="C2097" s="18" t="n">
        <x:v>45609</x:v>
      </x:c>
      <x:c r="D2097" s="11" t="str">
        <x:v>2024-11</x:v>
      </x:c>
      <x:c r="E2097" s="11" t="str">
        <x:v>West</x:v>
      </x:c>
      <x:c r="F2097" s="11" t="str">
        <x:v>Technology</x:v>
      </x:c>
      <x:c r="G2097" s="11" t="str">
        <x:v>Monitor</x:v>
      </x:c>
      <x:c r="H2097" s="11" t="n">
        <x:v>1</x:v>
      </x:c>
      <x:c r="I2097" s="19" t="n">
        <x:v>0.15</x:v>
      </x:c>
      <x:c r="J2097" s="11" t="n">
        <x:v>0</x:v>
      </x:c>
      <x:c r="K2097" s="20" t="n">
        <x:v>240</x:v>
      </x:c>
      <x:c r="L2097" s="20" t="n">
        <x:v>36</x:v>
      </x:c>
      <x:c r="M2097" s="20" t="n">
        <x:v>160</x:v>
      </x:c>
      <x:c r="N2097" s="20" t="n">
        <x:f>IF(J2097=1,0,K2097-L2097)</x:f>
        <x:v>204</x:v>
      </x:c>
      <x:c r="O2097" s="20" t="n">
        <x:f>N2097-M2097</x:f>
        <x:v>44</x:v>
      </x:c>
    </x:row>
    <x:row r="2098" ht="22" customHeight="1">
      <x:c r="A2098" s="11" t="n">
        <x:v>2094</x:v>
      </x:c>
      <x:c r="B2098" s="11" t="n">
        <x:v>1057</x:v>
      </x:c>
      <x:c r="C2098" s="18" t="n">
        <x:v>45609</x:v>
      </x:c>
      <x:c r="D2098" s="11" t="str">
        <x:v>2024-11</x:v>
      </x:c>
      <x:c r="E2098" s="11" t="str">
        <x:v>West</x:v>
      </x:c>
      <x:c r="F2098" s="11" t="str">
        <x:v>Office Supplies</x:v>
      </x:c>
      <x:c r="G2098" s="11" t="str">
        <x:v>Notebook pack</x:v>
      </x:c>
      <x:c r="H2098" s="11" t="n">
        <x:v>3</x:v>
      </x:c>
      <x:c r="I2098" s="19" t="n">
        <x:v>0.1</x:v>
      </x:c>
      <x:c r="J2098" s="11" t="n">
        <x:v>0</x:v>
      </x:c>
      <x:c r="K2098" s="20" t="n">
        <x:v>54</x:v>
      </x:c>
      <x:c r="L2098" s="20" t="n">
        <x:v>5.4</x:v>
      </x:c>
      <x:c r="M2098" s="20" t="n">
        <x:v>21</x:v>
      </x:c>
      <x:c r="N2098" s="20" t="n">
        <x:f>IF(J2098=1,0,K2098-L2098)</x:f>
        <x:v>48.6</x:v>
      </x:c>
      <x:c r="O2098" s="20" t="n">
        <x:f>N2098-M2098</x:f>
        <x:v>27.6</x:v>
      </x:c>
    </x:row>
    <x:row r="2099" ht="22" customHeight="1">
      <x:c r="A2099" s="11" t="n">
        <x:v>2095</x:v>
      </x:c>
      <x:c r="B2099" s="11" t="n">
        <x:v>1058</x:v>
      </x:c>
      <x:c r="C2099" s="18" t="n">
        <x:v>46004</x:v>
      </x:c>
      <x:c r="D2099" s="11" t="str">
        <x:v>2025-12</x:v>
      </x:c>
      <x:c r="E2099" s="11" t="str">
        <x:v>South</x:v>
      </x:c>
      <x:c r="F2099" s="11" t="str">
        <x:v>Office Supplies</x:v>
      </x:c>
      <x:c r="G2099" s="11" t="str">
        <x:v>Storage box</x:v>
      </x:c>
      <x:c r="H2099" s="11" t="n">
        <x:v>5</x:v>
      </x:c>
      <x:c r="I2099" s="19" t="n">
        <x:v>0</x:v>
      </x:c>
      <x:c r="J2099" s="11" t="n">
        <x:v>0</x:v>
      </x:c>
      <x:c r="K2099" s="20" t="n">
        <x:v>130</x:v>
      </x:c>
      <x:c r="L2099" s="20" t="n">
        <x:v>0</x:v>
      </x:c>
      <x:c r="M2099" s="20" t="n">
        <x:v>60</x:v>
      </x:c>
      <x:c r="N2099" s="20" t="n">
        <x:f>IF(J2099=1,0,K2099-L2099)</x:f>
        <x:v>130</x:v>
      </x:c>
      <x:c r="O2099" s="20" t="n">
        <x:f>N2099-M2099</x:f>
        <x:v>70</x:v>
      </x:c>
    </x:row>
    <x:row r="2100" ht="22" customHeight="1">
      <x:c r="A2100" s="11" t="n">
        <x:v>2096</x:v>
      </x:c>
      <x:c r="B2100" s="11" t="n">
        <x:v>1058</x:v>
      </x:c>
      <x:c r="C2100" s="18" t="n">
        <x:v>46004</x:v>
      </x:c>
      <x:c r="D2100" s="11" t="str">
        <x:v>2025-12</x:v>
      </x:c>
      <x:c r="E2100" s="11" t="str">
        <x:v>South</x:v>
      </x:c>
      <x:c r="F2100" s="11" t="str">
        <x:v>Furniture</x:v>
      </x:c>
      <x:c r="G2100" s="11" t="str">
        <x:v>Desk</x:v>
      </x:c>
      <x:c r="H2100" s="11" t="n">
        <x:v>4</x:v>
      </x:c>
      <x:c r="I2100" s="19" t="n">
        <x:v>0.35</x:v>
      </x:c>
      <x:c r="J2100" s="11" t="n">
        <x:v>0</x:v>
      </x:c>
      <x:c r="K2100" s="20" t="n">
        <x:v>1120</x:v>
      </x:c>
      <x:c r="L2100" s="20" t="n">
        <x:v>392</x:v>
      </x:c>
      <x:c r="M2100" s="20" t="n">
        <x:v>760</x:v>
      </x:c>
      <x:c r="N2100" s="20" t="n">
        <x:f>IF(J2100=1,0,K2100-L2100)</x:f>
        <x:v>728</x:v>
      </x:c>
      <x:c r="O2100" s="20" t="n">
        <x:f>N2100-M2100</x:f>
        <x:v>-32</x:v>
      </x:c>
    </x:row>
    <x:row r="2101" ht="22" customHeight="1">
      <x:c r="A2101" s="11" t="n">
        <x:v>2097</x:v>
      </x:c>
      <x:c r="B2101" s="11" t="n">
        <x:v>1059</x:v>
      </x:c>
      <x:c r="C2101" s="18" t="n">
        <x:v>45776</x:v>
      </x:c>
      <x:c r="D2101" s="11" t="str">
        <x:v>2025-04</x:v>
      </x:c>
      <x:c r="E2101" s="11" t="str">
        <x:v>West</x:v>
      </x:c>
      <x:c r="F2101" s="11" t="str">
        <x:v>Technology</x:v>
      </x:c>
      <x:c r="G2101" s="11" t="str">
        <x:v>Monitor</x:v>
      </x:c>
      <x:c r="H2101" s="11" t="n">
        <x:v>1</x:v>
      </x:c>
      <x:c r="I2101" s="19" t="n">
        <x:v>0.15</x:v>
      </x:c>
      <x:c r="J2101" s="11" t="n">
        <x:v>0</x:v>
      </x:c>
      <x:c r="K2101" s="20" t="n">
        <x:v>240</x:v>
      </x:c>
      <x:c r="L2101" s="20" t="n">
        <x:v>36</x:v>
      </x:c>
      <x:c r="M2101" s="20" t="n">
        <x:v>160</x:v>
      </x:c>
      <x:c r="N2101" s="20" t="n">
        <x:f>IF(J2101=1,0,K2101-L2101)</x:f>
        <x:v>204</x:v>
      </x:c>
      <x:c r="O2101" s="20" t="n">
        <x:f>N2101-M2101</x:f>
        <x:v>44</x:v>
      </x:c>
    </x:row>
    <x:row r="2102" ht="22" customHeight="1">
      <x:c r="A2102" s="11" t="n">
        <x:v>2098</x:v>
      </x:c>
      <x:c r="B2102" s="11" t="n">
        <x:v>1060</x:v>
      </x:c>
      <x:c r="C2102" s="18" t="n">
        <x:v>45448</x:v>
      </x:c>
      <x:c r="D2102" s="11" t="str">
        <x:v>2024-06</x:v>
      </x:c>
      <x:c r="E2102" s="11" t="str">
        <x:v>South</x:v>
      </x:c>
      <x:c r="F2102" s="11" t="str">
        <x:v>Furniture</x:v>
      </x:c>
      <x:c r="G2102" s="11" t="str">
        <x:v>Desk</x:v>
      </x:c>
      <x:c r="H2102" s="11" t="n">
        <x:v>4</x:v>
      </x:c>
      <x:c r="I2102" s="19" t="n">
        <x:v>0</x:v>
      </x:c>
      <x:c r="J2102" s="11" t="n">
        <x:v>1</x:v>
      </x:c>
      <x:c r="K2102" s="20" t="n">
        <x:v>1120</x:v>
      </x:c>
      <x:c r="L2102" s="20" t="n">
        <x:v>0</x:v>
      </x:c>
      <x:c r="M2102" s="20" t="n">
        <x:v>0</x:v>
      </x:c>
      <x:c r="N2102" s="20" t="n">
        <x:f>IF(J2102=1,0,K2102-L2102)</x:f>
        <x:v>0</x:v>
      </x:c>
      <x:c r="O2102" s="20" t="n">
        <x:f>N2102-M2102</x:f>
        <x:v>0</x:v>
      </x:c>
    </x:row>
    <x:row r="2103" ht="22" customHeight="1">
      <x:c r="A2103" s="11" t="n">
        <x:v>2099</x:v>
      </x:c>
      <x:c r="B2103" s="11" t="n">
        <x:v>1061</x:v>
      </x:c>
      <x:c r="C2103" s="18" t="n">
        <x:v>45944</x:v>
      </x:c>
      <x:c r="D2103" s="11" t="str">
        <x:v>2025-10</x:v>
      </x:c>
      <x:c r="E2103" s="11" t="str">
        <x:v>South</x:v>
      </x:c>
      <x:c r="F2103" s="11" t="str">
        <x:v>Furniture</x:v>
      </x:c>
      <x:c r="G2103" s="11" t="str">
        <x:v>Desk</x:v>
      </x:c>
      <x:c r="H2103" s="11" t="n">
        <x:v>3</x:v>
      </x:c>
      <x:c r="I2103" s="19" t="n">
        <x:v>0.05</x:v>
      </x:c>
      <x:c r="J2103" s="11" t="n">
        <x:v>0</x:v>
      </x:c>
      <x:c r="K2103" s="20" t="n">
        <x:v>840</x:v>
      </x:c>
      <x:c r="L2103" s="20" t="n">
        <x:v>42</x:v>
      </x:c>
      <x:c r="M2103" s="20" t="n">
        <x:v>570</x:v>
      </x:c>
      <x:c r="N2103" s="20" t="n">
        <x:f>IF(J2103=1,0,K2103-L2103)</x:f>
        <x:v>798</x:v>
      </x:c>
      <x:c r="O2103" s="20" t="n">
        <x:f>N2103-M2103</x:f>
        <x:v>228</x:v>
      </x:c>
    </x:row>
    <x:row r="2104" ht="22" customHeight="1">
      <x:c r="A2104" s="11" t="n">
        <x:v>2100</x:v>
      </x:c>
      <x:c r="B2104" s="11" t="n">
        <x:v>1061</x:v>
      </x:c>
      <x:c r="C2104" s="18" t="n">
        <x:v>45944</x:v>
      </x:c>
      <x:c r="D2104" s="11" t="str">
        <x:v>2025-10</x:v>
      </x:c>
      <x:c r="E2104" s="11" t="str">
        <x:v>South</x:v>
      </x:c>
      <x:c r="F2104" s="11" t="str">
        <x:v>Office Supplies</x:v>
      </x:c>
      <x:c r="G2104" s="11" t="str">
        <x:v>Notebook pack</x:v>
      </x:c>
      <x:c r="H2104" s="11" t="n">
        <x:v>1</x:v>
      </x:c>
      <x:c r="I2104" s="19" t="n">
        <x:v>0.05</x:v>
      </x:c>
      <x:c r="J2104" s="11" t="n">
        <x:v>0</x:v>
      </x:c>
      <x:c r="K2104" s="20" t="n">
        <x:v>18</x:v>
      </x:c>
      <x:c r="L2104" s="20" t="n">
        <x:v>0.9</x:v>
      </x:c>
      <x:c r="M2104" s="20" t="n">
        <x:v>7</x:v>
      </x:c>
      <x:c r="N2104" s="20" t="n">
        <x:f>IF(J2104=1,0,K2104-L2104)</x:f>
        <x:v>17.1</x:v>
      </x:c>
      <x:c r="O2104" s="20" t="n">
        <x:f>N2104-M2104</x:f>
        <x:v>10.100000000000001</x:v>
      </x:c>
    </x:row>
    <x:row r="2105" ht="22" customHeight="1">
      <x:c r="A2105" s="11" t="n">
        <x:v>2101</x:v>
      </x:c>
      <x:c r="B2105" s="11" t="n">
        <x:v>1062</x:v>
      </x:c>
      <x:c r="C2105" s="18" t="n">
        <x:v>45616</x:v>
      </x:c>
      <x:c r="D2105" s="11" t="str">
        <x:v>2024-11</x:v>
      </x:c>
      <x:c r="E2105" s="11" t="str">
        <x:v>South</x:v>
      </x:c>
      <x:c r="F2105" s="11" t="str">
        <x:v>Office Supplies</x:v>
      </x:c>
      <x:c r="G2105" s="11" t="str">
        <x:v>Storage box</x:v>
      </x:c>
      <x:c r="H2105" s="11" t="n">
        <x:v>4</x:v>
      </x:c>
      <x:c r="I2105" s="19" t="n">
        <x:v>0.1</x:v>
      </x:c>
      <x:c r="J2105" s="11" t="n">
        <x:v>0</x:v>
      </x:c>
      <x:c r="K2105" s="20" t="n">
        <x:v>104</x:v>
      </x:c>
      <x:c r="L2105" s="20" t="n">
        <x:v>10.4</x:v>
      </x:c>
      <x:c r="M2105" s="20" t="n">
        <x:v>48</x:v>
      </x:c>
      <x:c r="N2105" s="20" t="n">
        <x:f>IF(J2105=1,0,K2105-L2105)</x:f>
        <x:v>93.6</x:v>
      </x:c>
      <x:c r="O2105" s="20" t="n">
        <x:f>N2105-M2105</x:f>
        <x:v>45.599999999999994</x:v>
      </x:c>
    </x:row>
    <x:row r="2106" ht="22" customHeight="1">
      <x:c r="A2106" s="11" t="n">
        <x:v>2102</x:v>
      </x:c>
      <x:c r="B2106" s="11" t="n">
        <x:v>1062</x:v>
      </x:c>
      <x:c r="C2106" s="18" t="n">
        <x:v>45616</x:v>
      </x:c>
      <x:c r="D2106" s="11" t="str">
        <x:v>2024-11</x:v>
      </x:c>
      <x:c r="E2106" s="11" t="str">
        <x:v>South</x:v>
      </x:c>
      <x:c r="F2106" s="11" t="str">
        <x:v>Technology</x:v>
      </x:c>
      <x:c r="G2106" s="11" t="str">
        <x:v>Monitor</x:v>
      </x:c>
      <x:c r="H2106" s="11" t="n">
        <x:v>1</x:v>
      </x:c>
      <x:c r="I2106" s="19" t="n">
        <x:v>0</x:v>
      </x:c>
      <x:c r="J2106" s="11" t="n">
        <x:v>0</x:v>
      </x:c>
      <x:c r="K2106" s="20" t="n">
        <x:v>240</x:v>
      </x:c>
      <x:c r="L2106" s="20" t="n">
        <x:v>0</x:v>
      </x:c>
      <x:c r="M2106" s="20" t="n">
        <x:v>160</x:v>
      </x:c>
      <x:c r="N2106" s="20" t="n">
        <x:f>IF(J2106=1,0,K2106-L2106)</x:f>
        <x:v>240</x:v>
      </x:c>
      <x:c r="O2106" s="20" t="n">
        <x:f>N2106-M2106</x:f>
        <x:v>80</x:v>
      </x:c>
    </x:row>
    <x:row r="2107" ht="22" customHeight="1">
      <x:c r="A2107" s="11" t="n">
        <x:v>2103</x:v>
      </x:c>
      <x:c r="B2107" s="11" t="n">
        <x:v>1062</x:v>
      </x:c>
      <x:c r="C2107" s="18" t="n">
        <x:v>45616</x:v>
      </x:c>
      <x:c r="D2107" s="11" t="str">
        <x:v>2024-11</x:v>
      </x:c>
      <x:c r="E2107" s="11" t="str">
        <x:v>South</x:v>
      </x:c>
      <x:c r="F2107" s="11" t="str">
        <x:v>Furniture</x:v>
      </x:c>
      <x:c r="G2107" s="11" t="str">
        <x:v>Desk</x:v>
      </x:c>
      <x:c r="H2107" s="11" t="n">
        <x:v>5</x:v>
      </x:c>
      <x:c r="I2107" s="19" t="n">
        <x:v>0</x:v>
      </x:c>
      <x:c r="J2107" s="11" t="n">
        <x:v>0</x:v>
      </x:c>
      <x:c r="K2107" s="20" t="n">
        <x:v>1400</x:v>
      </x:c>
      <x:c r="L2107" s="20" t="n">
        <x:v>0</x:v>
      </x:c>
      <x:c r="M2107" s="20" t="n">
        <x:v>950</x:v>
      </x:c>
      <x:c r="N2107" s="20" t="n">
        <x:f>IF(J2107=1,0,K2107-L2107)</x:f>
        <x:v>1400</x:v>
      </x:c>
      <x:c r="O2107" s="20" t="n">
        <x:f>N2107-M2107</x:f>
        <x:v>450</x:v>
      </x:c>
    </x:row>
    <x:row r="2108" ht="22" customHeight="1">
      <x:c r="A2108" s="11" t="n">
        <x:v>2104</x:v>
      </x:c>
      <x:c r="B2108" s="11" t="n">
        <x:v>1063</x:v>
      </x:c>
      <x:c r="C2108" s="18" t="n">
        <x:v>45377</x:v>
      </x:c>
      <x:c r="D2108" s="11" t="str">
        <x:v>2024-03</x:v>
      </x:c>
      <x:c r="E2108" s="11" t="str">
        <x:v>Central</x:v>
      </x:c>
      <x:c r="F2108" s="11" t="str">
        <x:v>Technology</x:v>
      </x:c>
      <x:c r="G2108" s="11" t="str">
        <x:v>Monitor</x:v>
      </x:c>
      <x:c r="H2108" s="11" t="n">
        <x:v>5</x:v>
      </x:c>
      <x:c r="I2108" s="19" t="n">
        <x:v>0</x:v>
      </x:c>
      <x:c r="J2108" s="11" t="n">
        <x:v>0</x:v>
      </x:c>
      <x:c r="K2108" s="20" t="n">
        <x:v>1200</x:v>
      </x:c>
      <x:c r="L2108" s="20" t="n">
        <x:v>0</x:v>
      </x:c>
      <x:c r="M2108" s="20" t="n">
        <x:v>800</x:v>
      </x:c>
      <x:c r="N2108" s="20" t="n">
        <x:f>IF(J2108=1,0,K2108-L2108)</x:f>
        <x:v>1200</x:v>
      </x:c>
      <x:c r="O2108" s="20" t="n">
        <x:f>N2108-M2108</x:f>
        <x:v>400</x:v>
      </x:c>
    </x:row>
    <x:row r="2109" ht="22" customHeight="1">
      <x:c r="A2109" s="11" t="n">
        <x:v>2105</x:v>
      </x:c>
      <x:c r="B2109" s="11" t="n">
        <x:v>1064</x:v>
      </x:c>
      <x:c r="C2109" s="18" t="n">
        <x:v>45711</x:v>
      </x:c>
      <x:c r="D2109" s="11" t="str">
        <x:v>2025-02</x:v>
      </x:c>
      <x:c r="E2109" s="11" t="str">
        <x:v>Central</x:v>
      </x:c>
      <x:c r="F2109" s="11" t="str">
        <x:v>Technology</x:v>
      </x:c>
      <x:c r="G2109" s="11" t="str">
        <x:v>Monitor</x:v>
      </x:c>
      <x:c r="H2109" s="11" t="n">
        <x:v>3</x:v>
      </x:c>
      <x:c r="I2109" s="19" t="n">
        <x:v>0</x:v>
      </x:c>
      <x:c r="J2109" s="11" t="n">
        <x:v>0</x:v>
      </x:c>
      <x:c r="K2109" s="20" t="n">
        <x:v>720</x:v>
      </x:c>
      <x:c r="L2109" s="20" t="n">
        <x:v>0</x:v>
      </x:c>
      <x:c r="M2109" s="20" t="n">
        <x:v>480</x:v>
      </x:c>
      <x:c r="N2109" s="20" t="n">
        <x:f>IF(J2109=1,0,K2109-L2109)</x:f>
        <x:v>720</x:v>
      </x:c>
      <x:c r="O2109" s="20" t="n">
        <x:f>N2109-M2109</x:f>
        <x:v>240</x:v>
      </x:c>
    </x:row>
    <x:row r="2110" ht="22" customHeight="1">
      <x:c r="A2110" s="11" t="n">
        <x:v>2106</x:v>
      </x:c>
      <x:c r="B2110" s="11" t="n">
        <x:v>1064</x:v>
      </x:c>
      <x:c r="C2110" s="18" t="n">
        <x:v>45711</x:v>
      </x:c>
      <x:c r="D2110" s="11" t="str">
        <x:v>2025-02</x:v>
      </x:c>
      <x:c r="E2110" s="11" t="str">
        <x:v>Central</x:v>
      </x:c>
      <x:c r="F2110" s="11" t="str">
        <x:v>Office Supplies</x:v>
      </x:c>
      <x:c r="G2110" s="11" t="str">
        <x:v>Notebook pack</x:v>
      </x:c>
      <x:c r="H2110" s="11" t="n">
        <x:v>5</x:v>
      </x:c>
      <x:c r="I2110" s="19" t="n">
        <x:v>0</x:v>
      </x:c>
      <x:c r="J2110" s="11" t="n">
        <x:v>0</x:v>
      </x:c>
      <x:c r="K2110" s="20" t="n">
        <x:v>90</x:v>
      </x:c>
      <x:c r="L2110" s="20" t="n">
        <x:v>0</x:v>
      </x:c>
      <x:c r="M2110" s="20" t="n">
        <x:v>35</x:v>
      </x:c>
      <x:c r="N2110" s="20" t="n">
        <x:f>IF(J2110=1,0,K2110-L2110)</x:f>
        <x:v>90</x:v>
      </x:c>
      <x:c r="O2110" s="20" t="n">
        <x:f>N2110-M2110</x:f>
        <x:v>55</x:v>
      </x:c>
    </x:row>
    <x:row r="2111" ht="22" customHeight="1">
      <x:c r="A2111" s="11" t="n">
        <x:v>2107</x:v>
      </x:c>
      <x:c r="B2111" s="11" t="n">
        <x:v>1065</x:v>
      </x:c>
      <x:c r="C2111" s="18" t="n">
        <x:v>45766</x:v>
      </x:c>
      <x:c r="D2111" s="11" t="str">
        <x:v>2025-04</x:v>
      </x:c>
      <x:c r="E2111" s="11" t="str">
        <x:v>East</x:v>
      </x:c>
      <x:c r="F2111" s="11" t="str">
        <x:v>Furniture</x:v>
      </x:c>
      <x:c r="G2111" s="11" t="str">
        <x:v>Chair</x:v>
      </x:c>
      <x:c r="H2111" s="11" t="n">
        <x:v>1</x:v>
      </x:c>
      <x:c r="I2111" s="19" t="n">
        <x:v>0</x:v>
      </x:c>
      <x:c r="J2111" s="11" t="n">
        <x:v>0</x:v>
      </x:c>
      <x:c r="K2111" s="20" t="n">
        <x:v>170</x:v>
      </x:c>
      <x:c r="L2111" s="20" t="n">
        <x:v>0</x:v>
      </x:c>
      <x:c r="M2111" s="20" t="n">
        <x:v>110</x:v>
      </x:c>
      <x:c r="N2111" s="20" t="n">
        <x:f>IF(J2111=1,0,K2111-L2111)</x:f>
        <x:v>170</x:v>
      </x:c>
      <x:c r="O2111" s="20" t="n">
        <x:f>N2111-M2111</x:f>
        <x:v>60</x:v>
      </x:c>
    </x:row>
    <x:row r="2112" ht="22" customHeight="1">
      <x:c r="A2112" s="11" t="n">
        <x:v>2108</x:v>
      </x:c>
      <x:c r="B2112" s="11" t="n">
        <x:v>1066</x:v>
      </x:c>
      <x:c r="C2112" s="18" t="n">
        <x:v>45933</x:v>
      </x:c>
      <x:c r="D2112" s="11" t="str">
        <x:v>2025-10</x:v>
      </x:c>
      <x:c r="E2112" s="11" t="str">
        <x:v>East</x:v>
      </x:c>
      <x:c r="F2112" s="11" t="str">
        <x:v>Furniture</x:v>
      </x:c>
      <x:c r="G2112" s="11" t="str">
        <x:v>Chair</x:v>
      </x:c>
      <x:c r="H2112" s="11" t="n">
        <x:v>3</x:v>
      </x:c>
      <x:c r="I2112" s="19" t="n">
        <x:v>0.35</x:v>
      </x:c>
      <x:c r="J2112" s="11" t="n">
        <x:v>0</x:v>
      </x:c>
      <x:c r="K2112" s="20" t="n">
        <x:v>510</x:v>
      </x:c>
      <x:c r="L2112" s="20" t="n">
        <x:v>178.5</x:v>
      </x:c>
      <x:c r="M2112" s="20" t="n">
        <x:v>330</x:v>
      </x:c>
      <x:c r="N2112" s="20" t="n">
        <x:f>IF(J2112=1,0,K2112-L2112)</x:f>
        <x:v>331.5</x:v>
      </x:c>
      <x:c r="O2112" s="20" t="n">
        <x:f>N2112-M2112</x:f>
        <x:v>1.5</x:v>
      </x:c>
    </x:row>
    <x:row r="2113" ht="22" customHeight="1">
      <x:c r="A2113" s="11" t="n">
        <x:v>2109</x:v>
      </x:c>
      <x:c r="B2113" s="11" t="n">
        <x:v>1067</x:v>
      </x:c>
      <x:c r="C2113" s="18" t="n">
        <x:v>45544</x:v>
      </x:c>
      <x:c r="D2113" s="11" t="str">
        <x:v>2024-09</x:v>
      </x:c>
      <x:c r="E2113" s="11" t="str">
        <x:v>East</x:v>
      </x:c>
      <x:c r="F2113" s="11" t="str">
        <x:v>Office Supplies</x:v>
      </x:c>
      <x:c r="G2113" s="11" t="str">
        <x:v>Storage box</x:v>
      </x:c>
      <x:c r="H2113" s="11" t="n">
        <x:v>1</x:v>
      </x:c>
      <x:c r="I2113" s="19" t="n">
        <x:v>0.1</x:v>
      </x:c>
      <x:c r="J2113" s="11" t="n">
        <x:v>0</x:v>
      </x:c>
      <x:c r="K2113" s="20" t="n">
        <x:v>26</x:v>
      </x:c>
      <x:c r="L2113" s="20" t="n">
        <x:v>2.6</x:v>
      </x:c>
      <x:c r="M2113" s="20" t="n">
        <x:v>12</x:v>
      </x:c>
      <x:c r="N2113" s="20" t="n">
        <x:f>IF(J2113=1,0,K2113-L2113)</x:f>
        <x:v>23.4</x:v>
      </x:c>
      <x:c r="O2113" s="20" t="n">
        <x:f>N2113-M2113</x:f>
        <x:v>11.399999999999999</x:v>
      </x:c>
    </x:row>
    <x:row r="2114" ht="22" customHeight="1">
      <x:c r="A2114" s="11" t="n">
        <x:v>2110</x:v>
      </x:c>
      <x:c r="B2114" s="11" t="n">
        <x:v>1067</x:v>
      </x:c>
      <x:c r="C2114" s="18" t="n">
        <x:v>45544</x:v>
      </x:c>
      <x:c r="D2114" s="11" t="str">
        <x:v>2024-09</x:v>
      </x:c>
      <x:c r="E2114" s="11" t="str">
        <x:v>East</x:v>
      </x:c>
      <x:c r="F2114" s="11" t="str">
        <x:v>Furniture</x:v>
      </x:c>
      <x:c r="G2114" s="11" t="str">
        <x:v>Chair</x:v>
      </x:c>
      <x:c r="H2114" s="11" t="n">
        <x:v>2</x:v>
      </x:c>
      <x:c r="I2114" s="19" t="n">
        <x:v>0.1</x:v>
      </x:c>
      <x:c r="J2114" s="11" t="n">
        <x:v>0</x:v>
      </x:c>
      <x:c r="K2114" s="20" t="n">
        <x:v>340</x:v>
      </x:c>
      <x:c r="L2114" s="20" t="n">
        <x:v>34</x:v>
      </x:c>
      <x:c r="M2114" s="20" t="n">
        <x:v>220</x:v>
      </x:c>
      <x:c r="N2114" s="20" t="n">
        <x:f>IF(J2114=1,0,K2114-L2114)</x:f>
        <x:v>306</x:v>
      </x:c>
      <x:c r="O2114" s="20" t="n">
        <x:f>N2114-M2114</x:f>
        <x:v>86</x:v>
      </x:c>
    </x:row>
    <x:row r="2115" ht="22" customHeight="1">
      <x:c r="A2115" s="11" t="n">
        <x:v>2111</x:v>
      </x:c>
      <x:c r="B2115" s="11" t="n">
        <x:v>1067</x:v>
      </x:c>
      <x:c r="C2115" s="18" t="n">
        <x:v>45544</x:v>
      </x:c>
      <x:c r="D2115" s="11" t="str">
        <x:v>2024-09</x:v>
      </x:c>
      <x:c r="E2115" s="11" t="str">
        <x:v>East</x:v>
      </x:c>
      <x:c r="F2115" s="11" t="str">
        <x:v>Technology</x:v>
      </x:c>
      <x:c r="G2115" s="11" t="str">
        <x:v>Monitor</x:v>
      </x:c>
      <x:c r="H2115" s="11" t="n">
        <x:v>3</x:v>
      </x:c>
      <x:c r="I2115" s="19" t="n">
        <x:v>0.1</x:v>
      </x:c>
      <x:c r="J2115" s="11" t="n">
        <x:v>0</x:v>
      </x:c>
      <x:c r="K2115" s="20" t="n">
        <x:v>720</x:v>
      </x:c>
      <x:c r="L2115" s="20" t="n">
        <x:v>72</x:v>
      </x:c>
      <x:c r="M2115" s="20" t="n">
        <x:v>480</x:v>
      </x:c>
      <x:c r="N2115" s="20" t="n">
        <x:f>IF(J2115=1,0,K2115-L2115)</x:f>
        <x:v>648</x:v>
      </x:c>
      <x:c r="O2115" s="20" t="n">
        <x:f>N2115-M2115</x:f>
        <x:v>168</x:v>
      </x:c>
    </x:row>
    <x:row r="2116" ht="22" customHeight="1">
      <x:c r="A2116" s="11" t="n">
        <x:v>2112</x:v>
      </x:c>
      <x:c r="B2116" s="11" t="n">
        <x:v>1068</x:v>
      </x:c>
      <x:c r="C2116" s="18" t="n">
        <x:v>45484</x:v>
      </x:c>
      <x:c r="D2116" s="11" t="str">
        <x:v>2024-07</x:v>
      </x:c>
      <x:c r="E2116" s="11" t="str">
        <x:v>West</x:v>
      </x:c>
      <x:c r="F2116" s="11" t="str">
        <x:v>Technology</x:v>
      </x:c>
      <x:c r="G2116" s="11" t="str">
        <x:v>Monitor</x:v>
      </x:c>
      <x:c r="H2116" s="11" t="n">
        <x:v>3</x:v>
      </x:c>
      <x:c r="I2116" s="19" t="n">
        <x:v>0.1</x:v>
      </x:c>
      <x:c r="J2116" s="11" t="n">
        <x:v>0</x:v>
      </x:c>
      <x:c r="K2116" s="20" t="n">
        <x:v>720</x:v>
      </x:c>
      <x:c r="L2116" s="20" t="n">
        <x:v>72</x:v>
      </x:c>
      <x:c r="M2116" s="20" t="n">
        <x:v>480</x:v>
      </x:c>
      <x:c r="N2116" s="20" t="n">
        <x:f>IF(J2116=1,0,K2116-L2116)</x:f>
        <x:v>648</x:v>
      </x:c>
      <x:c r="O2116" s="20" t="n">
        <x:f>N2116-M2116</x:f>
        <x:v>168</x:v>
      </x:c>
    </x:row>
    <x:row r="2117" ht="22" customHeight="1">
      <x:c r="A2117" s="11" t="n">
        <x:v>2113</x:v>
      </x:c>
      <x:c r="B2117" s="11" t="n">
        <x:v>1069</x:v>
      </x:c>
      <x:c r="C2117" s="18" t="n">
        <x:v>45793</x:v>
      </x:c>
      <x:c r="D2117" s="11" t="str">
        <x:v>2025-05</x:v>
      </x:c>
      <x:c r="E2117" s="11" t="str">
        <x:v>South</x:v>
      </x:c>
      <x:c r="F2117" s="11" t="str">
        <x:v>Office Supplies</x:v>
      </x:c>
      <x:c r="G2117" s="11" t="str">
        <x:v>Storage box</x:v>
      </x:c>
      <x:c r="H2117" s="11" t="n">
        <x:v>4</x:v>
      </x:c>
      <x:c r="I2117" s="19" t="n">
        <x:v>0</x:v>
      </x:c>
      <x:c r="J2117" s="11" t="n">
        <x:v>1</x:v>
      </x:c>
      <x:c r="K2117" s="20" t="n">
        <x:v>104</x:v>
      </x:c>
      <x:c r="L2117" s="20" t="n">
        <x:v>0</x:v>
      </x:c>
      <x:c r="M2117" s="20" t="n">
        <x:v>0</x:v>
      </x:c>
      <x:c r="N2117" s="20" t="n">
        <x:f>IF(J2117=1,0,K2117-L2117)</x:f>
        <x:v>0</x:v>
      </x:c>
      <x:c r="O2117" s="20" t="n">
        <x:f>N2117-M2117</x:f>
        <x:v>0</x:v>
      </x:c>
    </x:row>
    <x:row r="2118" ht="22" customHeight="1">
      <x:c r="A2118" s="11" t="n">
        <x:v>2114</x:v>
      </x:c>
      <x:c r="B2118" s="11" t="n">
        <x:v>1069</x:v>
      </x:c>
      <x:c r="C2118" s="18" t="n">
        <x:v>45793</x:v>
      </x:c>
      <x:c r="D2118" s="11" t="str">
        <x:v>2025-05</x:v>
      </x:c>
      <x:c r="E2118" s="11" t="str">
        <x:v>South</x:v>
      </x:c>
      <x:c r="F2118" s="11" t="str">
        <x:v>Office Supplies</x:v>
      </x:c>
      <x:c r="G2118" s="11" t="str">
        <x:v>Notebook pack</x:v>
      </x:c>
      <x:c r="H2118" s="11" t="n">
        <x:v>5</x:v>
      </x:c>
      <x:c r="I2118" s="19" t="n">
        <x:v>0.1</x:v>
      </x:c>
      <x:c r="J2118" s="11" t="n">
        <x:v>0</x:v>
      </x:c>
      <x:c r="K2118" s="20" t="n">
        <x:v>90</x:v>
      </x:c>
      <x:c r="L2118" s="20" t="n">
        <x:v>9</x:v>
      </x:c>
      <x:c r="M2118" s="20" t="n">
        <x:v>35</x:v>
      </x:c>
      <x:c r="N2118" s="20" t="n">
        <x:f>IF(J2118=1,0,K2118-L2118)</x:f>
        <x:v>81</x:v>
      </x:c>
      <x:c r="O2118" s="20" t="n">
        <x:f>N2118-M2118</x:f>
        <x:v>46</x:v>
      </x:c>
    </x:row>
    <x:row r="2119" ht="22" customHeight="1">
      <x:c r="A2119" s="11" t="n">
        <x:v>2115</x:v>
      </x:c>
      <x:c r="B2119" s="11" t="n">
        <x:v>1070</x:v>
      </x:c>
      <x:c r="C2119" s="18" t="n">
        <x:v>45874</x:v>
      </x:c>
      <x:c r="D2119" s="11" t="str">
        <x:v>2025-08</x:v>
      </x:c>
      <x:c r="E2119" s="11" t="str">
        <x:v>Central</x:v>
      </x:c>
      <x:c r="F2119" s="11" t="str">
        <x:v>Office Supplies</x:v>
      </x:c>
      <x:c r="G2119" s="11" t="str">
        <x:v>Storage box</x:v>
      </x:c>
      <x:c r="H2119" s="11" t="n">
        <x:v>2</x:v>
      </x:c>
      <x:c r="I2119" s="19" t="n">
        <x:v>0.05</x:v>
      </x:c>
      <x:c r="J2119" s="11" t="n">
        <x:v>0</x:v>
      </x:c>
      <x:c r="K2119" s="20" t="n">
        <x:v>52</x:v>
      </x:c>
      <x:c r="L2119" s="20" t="n">
        <x:v>2.6</x:v>
      </x:c>
      <x:c r="M2119" s="20" t="n">
        <x:v>24</x:v>
      </x:c>
      <x:c r="N2119" s="20" t="n">
        <x:f>IF(J2119=1,0,K2119-L2119)</x:f>
        <x:v>49.4</x:v>
      </x:c>
      <x:c r="O2119" s="20" t="n">
        <x:f>N2119-M2119</x:f>
        <x:v>25.4</x:v>
      </x:c>
    </x:row>
    <x:row r="2120" ht="22" customHeight="1">
      <x:c r="A2120" s="11" t="n">
        <x:v>2116</x:v>
      </x:c>
      <x:c r="B2120" s="11" t="n">
        <x:v>1070</x:v>
      </x:c>
      <x:c r="C2120" s="18" t="n">
        <x:v>45874</x:v>
      </x:c>
      <x:c r="D2120" s="11" t="str">
        <x:v>2025-08</x:v>
      </x:c>
      <x:c r="E2120" s="11" t="str">
        <x:v>Central</x:v>
      </x:c>
      <x:c r="F2120" s="11" t="str">
        <x:v>Technology</x:v>
      </x:c>
      <x:c r="G2120" s="11" t="str">
        <x:v>Monitor</x:v>
      </x:c>
      <x:c r="H2120" s="11" t="n">
        <x:v>5</x:v>
      </x:c>
      <x:c r="I2120" s="19" t="n">
        <x:v>0.15</x:v>
      </x:c>
      <x:c r="J2120" s="11" t="n">
        <x:v>0</x:v>
      </x:c>
      <x:c r="K2120" s="20" t="n">
        <x:v>1200</x:v>
      </x:c>
      <x:c r="L2120" s="20" t="n">
        <x:v>180</x:v>
      </x:c>
      <x:c r="M2120" s="20" t="n">
        <x:v>800</x:v>
      </x:c>
      <x:c r="N2120" s="20" t="n">
        <x:f>IF(J2120=1,0,K2120-L2120)</x:f>
        <x:v>1020</x:v>
      </x:c>
      <x:c r="O2120" s="20" t="n">
        <x:f>N2120-M2120</x:f>
        <x:v>220</x:v>
      </x:c>
    </x:row>
    <x:row r="2121" ht="22" customHeight="1">
      <x:c r="A2121" s="11" t="n">
        <x:v>2117</x:v>
      </x:c>
      <x:c r="B2121" s="11" t="n">
        <x:v>1071</x:v>
      </x:c>
      <x:c r="C2121" s="18" t="n">
        <x:v>45567</x:v>
      </x:c>
      <x:c r="D2121" s="11" t="str">
        <x:v>2024-10</x:v>
      </x:c>
      <x:c r="E2121" s="11" t="str">
        <x:v>Central</x:v>
      </x:c>
      <x:c r="F2121" s="11" t="str">
        <x:v>Furniture</x:v>
      </x:c>
      <x:c r="G2121" s="11" t="str">
        <x:v>Chair</x:v>
      </x:c>
      <x:c r="H2121" s="11" t="n">
        <x:v>3</x:v>
      </x:c>
      <x:c r="I2121" s="19" t="n">
        <x:v>0</x:v>
      </x:c>
      <x:c r="J2121" s="11" t="n">
        <x:v>0</x:v>
      </x:c>
      <x:c r="K2121" s="20" t="n">
        <x:v>510</x:v>
      </x:c>
      <x:c r="L2121" s="20" t="n">
        <x:v>0</x:v>
      </x:c>
      <x:c r="M2121" s="20" t="n">
        <x:v>330</x:v>
      </x:c>
      <x:c r="N2121" s="20" t="n">
        <x:f>IF(J2121=1,0,K2121-L2121)</x:f>
        <x:v>510</x:v>
      </x:c>
      <x:c r="O2121" s="20" t="n">
        <x:f>N2121-M2121</x:f>
        <x:v>180</x:v>
      </x:c>
    </x:row>
    <x:row r="2122" ht="22" customHeight="1">
      <x:c r="A2122" s="11" t="n">
        <x:v>2118</x:v>
      </x:c>
      <x:c r="B2122" s="11" t="n">
        <x:v>1071</x:v>
      </x:c>
      <x:c r="C2122" s="18" t="n">
        <x:v>45567</x:v>
      </x:c>
      <x:c r="D2122" s="11" t="str">
        <x:v>2024-10</x:v>
      </x:c>
      <x:c r="E2122" s="11" t="str">
        <x:v>Central</x:v>
      </x:c>
      <x:c r="F2122" s="11" t="str">
        <x:v>Technology</x:v>
      </x:c>
      <x:c r="G2122" s="11" t="str">
        <x:v>Keyboard</x:v>
      </x:c>
      <x:c r="H2122" s="11" t="n">
        <x:v>5</x:v>
      </x:c>
      <x:c r="I2122" s="19" t="n">
        <x:v>0</x:v>
      </x:c>
      <x:c r="J2122" s="11" t="n">
        <x:v>0</x:v>
      </x:c>
      <x:c r="K2122" s="20" t="n">
        <x:v>325</x:v>
      </x:c>
      <x:c r="L2122" s="20" t="n">
        <x:v>0</x:v>
      </x:c>
      <x:c r="M2122" s="20" t="n">
        <x:v>160</x:v>
      </x:c>
      <x:c r="N2122" s="20" t="n">
        <x:f>IF(J2122=1,0,K2122-L2122)</x:f>
        <x:v>325</x:v>
      </x:c>
      <x:c r="O2122" s="20" t="n">
        <x:f>N2122-M2122</x:f>
        <x:v>165</x:v>
      </x:c>
    </x:row>
    <x:row r="2123" ht="22" customHeight="1">
      <x:c r="A2123" s="11" t="n">
        <x:v>2119</x:v>
      </x:c>
      <x:c r="B2123" s="11" t="n">
        <x:v>1072</x:v>
      </x:c>
      <x:c r="C2123" s="18" t="n">
        <x:v>45770</x:v>
      </x:c>
      <x:c r="D2123" s="11" t="str">
        <x:v>2025-04</x:v>
      </x:c>
      <x:c r="E2123" s="11" t="str">
        <x:v>East</x:v>
      </x:c>
      <x:c r="F2123" s="11" t="str">
        <x:v>Office Supplies</x:v>
      </x:c>
      <x:c r="G2123" s="11" t="str">
        <x:v>Notebook pack</x:v>
      </x:c>
      <x:c r="H2123" s="11" t="n">
        <x:v>5</x:v>
      </x:c>
      <x:c r="I2123" s="19" t="n">
        <x:v>0</x:v>
      </x:c>
      <x:c r="J2123" s="11" t="n">
        <x:v>0</x:v>
      </x:c>
      <x:c r="K2123" s="20" t="n">
        <x:v>90</x:v>
      </x:c>
      <x:c r="L2123" s="20" t="n">
        <x:v>0</x:v>
      </x:c>
      <x:c r="M2123" s="20" t="n">
        <x:v>35</x:v>
      </x:c>
      <x:c r="N2123" s="20" t="n">
        <x:f>IF(J2123=1,0,K2123-L2123)</x:f>
        <x:v>90</x:v>
      </x:c>
      <x:c r="O2123" s="20" t="n">
        <x:f>N2123-M2123</x:f>
        <x:v>55</x:v>
      </x:c>
    </x:row>
    <x:row r="2124" ht="22" customHeight="1">
      <x:c r="A2124" s="11" t="n">
        <x:v>2120</x:v>
      </x:c>
      <x:c r="B2124" s="11" t="n">
        <x:v>1072</x:v>
      </x:c>
      <x:c r="C2124" s="18" t="n">
        <x:v>45770</x:v>
      </x:c>
      <x:c r="D2124" s="11" t="str">
        <x:v>2025-04</x:v>
      </x:c>
      <x:c r="E2124" s="11" t="str">
        <x:v>East</x:v>
      </x:c>
      <x:c r="F2124" s="11" t="str">
        <x:v>Technology</x:v>
      </x:c>
      <x:c r="G2124" s="11" t="str">
        <x:v>Keyboard</x:v>
      </x:c>
      <x:c r="H2124" s="11" t="n">
        <x:v>1</x:v>
      </x:c>
      <x:c r="I2124" s="19" t="n">
        <x:v>0.05</x:v>
      </x:c>
      <x:c r="J2124" s="11" t="n">
        <x:v>0</x:v>
      </x:c>
      <x:c r="K2124" s="20" t="n">
        <x:v>65</x:v>
      </x:c>
      <x:c r="L2124" s="20" t="n">
        <x:v>3.25</x:v>
      </x:c>
      <x:c r="M2124" s="20" t="n">
        <x:v>32</x:v>
      </x:c>
      <x:c r="N2124" s="20" t="n">
        <x:f>IF(J2124=1,0,K2124-L2124)</x:f>
        <x:v>61.75</x:v>
      </x:c>
      <x:c r="O2124" s="20" t="n">
        <x:f>N2124-M2124</x:f>
        <x:v>29.75</x:v>
      </x:c>
    </x:row>
    <x:row r="2125" ht="22" customHeight="1">
      <x:c r="A2125" s="11" t="n">
        <x:v>2121</x:v>
      </x:c>
      <x:c r="B2125" s="11" t="n">
        <x:v>1073</x:v>
      </x:c>
      <x:c r="C2125" s="18" t="n">
        <x:v>45300</x:v>
      </x:c>
      <x:c r="D2125" s="11" t="str">
        <x:v>2024-01</x:v>
      </x:c>
      <x:c r="E2125" s="11" t="str">
        <x:v>South</x:v>
      </x:c>
      <x:c r="F2125" s="11" t="str">
        <x:v>Technology</x:v>
      </x:c>
      <x:c r="G2125" s="11" t="str">
        <x:v>Monitor</x:v>
      </x:c>
      <x:c r="H2125" s="11" t="n">
        <x:v>1</x:v>
      </x:c>
      <x:c r="I2125" s="19" t="n">
        <x:v>0</x:v>
      </x:c>
      <x:c r="J2125" s="11" t="n">
        <x:v>0</x:v>
      </x:c>
      <x:c r="K2125" s="20" t="n">
        <x:v>240</x:v>
      </x:c>
      <x:c r="L2125" s="20" t="n">
        <x:v>0</x:v>
      </x:c>
      <x:c r="M2125" s="20" t="n">
        <x:v>160</x:v>
      </x:c>
      <x:c r="N2125" s="20" t="n">
        <x:f>IF(J2125=1,0,K2125-L2125)</x:f>
        <x:v>240</x:v>
      </x:c>
      <x:c r="O2125" s="20" t="n">
        <x:f>N2125-M2125</x:f>
        <x:v>80</x:v>
      </x:c>
    </x:row>
    <x:row r="2126" ht="22" customHeight="1">
      <x:c r="A2126" s="11" t="n">
        <x:v>2122</x:v>
      </x:c>
      <x:c r="B2126" s="11" t="n">
        <x:v>1073</x:v>
      </x:c>
      <x:c r="C2126" s="18" t="n">
        <x:v>45300</x:v>
      </x:c>
      <x:c r="D2126" s="11" t="str">
        <x:v>2024-01</x:v>
      </x:c>
      <x:c r="E2126" s="11" t="str">
        <x:v>South</x:v>
      </x:c>
      <x:c r="F2126" s="11" t="str">
        <x:v>Office Supplies</x:v>
      </x:c>
      <x:c r="G2126" s="11" t="str">
        <x:v>Storage box</x:v>
      </x:c>
      <x:c r="H2126" s="11" t="n">
        <x:v>3</x:v>
      </x:c>
      <x:c r="I2126" s="19" t="n">
        <x:v>0</x:v>
      </x:c>
      <x:c r="J2126" s="11" t="n">
        <x:v>0</x:v>
      </x:c>
      <x:c r="K2126" s="20" t="n">
        <x:v>78</x:v>
      </x:c>
      <x:c r="L2126" s="20" t="n">
        <x:v>0</x:v>
      </x:c>
      <x:c r="M2126" s="20" t="n">
        <x:v>36</x:v>
      </x:c>
      <x:c r="N2126" s="20" t="n">
        <x:f>IF(J2126=1,0,K2126-L2126)</x:f>
        <x:v>78</x:v>
      </x:c>
      <x:c r="O2126" s="20" t="n">
        <x:f>N2126-M2126</x:f>
        <x:v>42</x:v>
      </x:c>
    </x:row>
    <x:row r="2127" ht="22" customHeight="1">
      <x:c r="A2127" s="11" t="n">
        <x:v>2123</x:v>
      </x:c>
      <x:c r="B2127" s="11" t="n">
        <x:v>1074</x:v>
      </x:c>
      <x:c r="C2127" s="18" t="n">
        <x:v>45482</x:v>
      </x:c>
      <x:c r="D2127" s="11" t="str">
        <x:v>2024-07</x:v>
      </x:c>
      <x:c r="E2127" s="11" t="str">
        <x:v>South</x:v>
      </x:c>
      <x:c r="F2127" s="11" t="str">
        <x:v>Office Supplies</x:v>
      </x:c>
      <x:c r="G2127" s="11" t="str">
        <x:v>Notebook pack</x:v>
      </x:c>
      <x:c r="H2127" s="11" t="n">
        <x:v>5</x:v>
      </x:c>
      <x:c r="I2127" s="19" t="n">
        <x:v>0.15</x:v>
      </x:c>
      <x:c r="J2127" s="11" t="n">
        <x:v>0</x:v>
      </x:c>
      <x:c r="K2127" s="20" t="n">
        <x:v>90</x:v>
      </x:c>
      <x:c r="L2127" s="20" t="n">
        <x:v>13.5</x:v>
      </x:c>
      <x:c r="M2127" s="20" t="n">
        <x:v>35</x:v>
      </x:c>
      <x:c r="N2127" s="20" t="n">
        <x:f>IF(J2127=1,0,K2127-L2127)</x:f>
        <x:v>76.5</x:v>
      </x:c>
      <x:c r="O2127" s="20" t="n">
        <x:f>N2127-M2127</x:f>
        <x:v>41.5</x:v>
      </x:c>
    </x:row>
    <x:row r="2128" ht="22" customHeight="1">
      <x:c r="A2128" s="11" t="n">
        <x:v>2124</x:v>
      </x:c>
      <x:c r="B2128" s="11" t="n">
        <x:v>1074</x:v>
      </x:c>
      <x:c r="C2128" s="18" t="n">
        <x:v>45482</x:v>
      </x:c>
      <x:c r="D2128" s="11" t="str">
        <x:v>2024-07</x:v>
      </x:c>
      <x:c r="E2128" s="11" t="str">
        <x:v>South</x:v>
      </x:c>
      <x:c r="F2128" s="11" t="str">
        <x:v>Technology</x:v>
      </x:c>
      <x:c r="G2128" s="11" t="str">
        <x:v>Keyboard</x:v>
      </x:c>
      <x:c r="H2128" s="11" t="n">
        <x:v>4</x:v>
      </x:c>
      <x:c r="I2128" s="19" t="n">
        <x:v>0.1</x:v>
      </x:c>
      <x:c r="J2128" s="11" t="n">
        <x:v>0</x:v>
      </x:c>
      <x:c r="K2128" s="20" t="n">
        <x:v>260</x:v>
      </x:c>
      <x:c r="L2128" s="20" t="n">
        <x:v>26</x:v>
      </x:c>
      <x:c r="M2128" s="20" t="n">
        <x:v>128</x:v>
      </x:c>
      <x:c r="N2128" s="20" t="n">
        <x:f>IF(J2128=1,0,K2128-L2128)</x:f>
        <x:v>234</x:v>
      </x:c>
      <x:c r="O2128" s="20" t="n">
        <x:f>N2128-M2128</x:f>
        <x:v>106</x:v>
      </x:c>
    </x:row>
    <x:row r="2129" ht="22" customHeight="1">
      <x:c r="A2129" s="11" t="n">
        <x:v>2125</x:v>
      </x:c>
      <x:c r="B2129" s="11" t="n">
        <x:v>1075</x:v>
      </x:c>
      <x:c r="C2129" s="18" t="n">
        <x:v>45550</x:v>
      </x:c>
      <x:c r="D2129" s="11" t="str">
        <x:v>2024-09</x:v>
      </x:c>
      <x:c r="E2129" s="11" t="str">
        <x:v>South</x:v>
      </x:c>
      <x:c r="F2129" s="11" t="str">
        <x:v>Technology</x:v>
      </x:c>
      <x:c r="G2129" s="11" t="str">
        <x:v>Monitor</x:v>
      </x:c>
      <x:c r="H2129" s="11" t="n">
        <x:v>3</x:v>
      </x:c>
      <x:c r="I2129" s="19" t="n">
        <x:v>0</x:v>
      </x:c>
      <x:c r="J2129" s="11" t="n">
        <x:v>0</x:v>
      </x:c>
      <x:c r="K2129" s="20" t="n">
        <x:v>720</x:v>
      </x:c>
      <x:c r="L2129" s="20" t="n">
        <x:v>0</x:v>
      </x:c>
      <x:c r="M2129" s="20" t="n">
        <x:v>480</x:v>
      </x:c>
      <x:c r="N2129" s="20" t="n">
        <x:f>IF(J2129=1,0,K2129-L2129)</x:f>
        <x:v>720</x:v>
      </x:c>
      <x:c r="O2129" s="20" t="n">
        <x:f>N2129-M2129</x:f>
        <x:v>240</x:v>
      </x:c>
    </x:row>
    <x:row r="2130" ht="22" customHeight="1">
      <x:c r="A2130" s="11" t="n">
        <x:v>2126</x:v>
      </x:c>
      <x:c r="B2130" s="11" t="n">
        <x:v>1075</x:v>
      </x:c>
      <x:c r="C2130" s="18" t="n">
        <x:v>45550</x:v>
      </x:c>
      <x:c r="D2130" s="11" t="str">
        <x:v>2024-09</x:v>
      </x:c>
      <x:c r="E2130" s="11" t="str">
        <x:v>South</x:v>
      </x:c>
      <x:c r="F2130" s="11" t="str">
        <x:v>Technology</x:v>
      </x:c>
      <x:c r="G2130" s="11" t="str">
        <x:v>Keyboard</x:v>
      </x:c>
      <x:c r="H2130" s="11" t="n">
        <x:v>2</x:v>
      </x:c>
      <x:c r="I2130" s="19" t="n">
        <x:v>0.15</x:v>
      </x:c>
      <x:c r="J2130" s="11" t="n">
        <x:v>0</x:v>
      </x:c>
      <x:c r="K2130" s="20" t="n">
        <x:v>130</x:v>
      </x:c>
      <x:c r="L2130" s="20" t="n">
        <x:v>19.5</x:v>
      </x:c>
      <x:c r="M2130" s="20" t="n">
        <x:v>64</x:v>
      </x:c>
      <x:c r="N2130" s="20" t="n">
        <x:f>IF(J2130=1,0,K2130-L2130)</x:f>
        <x:v>110.5</x:v>
      </x:c>
      <x:c r="O2130" s="20" t="n">
        <x:f>N2130-M2130</x:f>
        <x:v>46.5</x:v>
      </x:c>
    </x:row>
    <x:row r="2131" ht="22" customHeight="1">
      <x:c r="A2131" s="11" t="n">
        <x:v>2127</x:v>
      </x:c>
      <x:c r="B2131" s="11" t="n">
        <x:v>1075</x:v>
      </x:c>
      <x:c r="C2131" s="18" t="n">
        <x:v>45550</x:v>
      </x:c>
      <x:c r="D2131" s="11" t="str">
        <x:v>2024-09</x:v>
      </x:c>
      <x:c r="E2131" s="11" t="str">
        <x:v>South</x:v>
      </x:c>
      <x:c r="F2131" s="11" t="str">
        <x:v>Office Supplies</x:v>
      </x:c>
      <x:c r="G2131" s="11" t="str">
        <x:v>Notebook pack</x:v>
      </x:c>
      <x:c r="H2131" s="11" t="n">
        <x:v>4</x:v>
      </x:c>
      <x:c r="I2131" s="19" t="n">
        <x:v>0.05</x:v>
      </x:c>
      <x:c r="J2131" s="11" t="n">
        <x:v>0</x:v>
      </x:c>
      <x:c r="K2131" s="20" t="n">
        <x:v>72</x:v>
      </x:c>
      <x:c r="L2131" s="20" t="n">
        <x:v>3.6</x:v>
      </x:c>
      <x:c r="M2131" s="20" t="n">
        <x:v>28</x:v>
      </x:c>
      <x:c r="N2131" s="20" t="n">
        <x:f>IF(J2131=1,0,K2131-L2131)</x:f>
        <x:v>68.4</x:v>
      </x:c>
      <x:c r="O2131" s="20" t="n">
        <x:f>N2131-M2131</x:f>
        <x:v>40.400000000000006</x:v>
      </x:c>
    </x:row>
    <x:row r="2132" ht="22" customHeight="1">
      <x:c r="A2132" s="11" t="n">
        <x:v>2128</x:v>
      </x:c>
      <x:c r="B2132" s="11" t="n">
        <x:v>1076</x:v>
      </x:c>
      <x:c r="C2132" s="18" t="n">
        <x:v>45702</x:v>
      </x:c>
      <x:c r="D2132" s="11" t="str">
        <x:v>2025-02</x:v>
      </x:c>
      <x:c r="E2132" s="11" t="str">
        <x:v>East</x:v>
      </x:c>
      <x:c r="F2132" s="11" t="str">
        <x:v>Office Supplies</x:v>
      </x:c>
      <x:c r="G2132" s="11" t="str">
        <x:v>Notebook pack</x:v>
      </x:c>
      <x:c r="H2132" s="11" t="n">
        <x:v>2</x:v>
      </x:c>
      <x:c r="I2132" s="19" t="n">
        <x:v>0.05</x:v>
      </x:c>
      <x:c r="J2132" s="11" t="n">
        <x:v>0</x:v>
      </x:c>
      <x:c r="K2132" s="20" t="n">
        <x:v>36</x:v>
      </x:c>
      <x:c r="L2132" s="20" t="n">
        <x:v>1.8</x:v>
      </x:c>
      <x:c r="M2132" s="20" t="n">
        <x:v>14</x:v>
      </x:c>
      <x:c r="N2132" s="20" t="n">
        <x:f>IF(J2132=1,0,K2132-L2132)</x:f>
        <x:v>34.2</x:v>
      </x:c>
      <x:c r="O2132" s="20" t="n">
        <x:f>N2132-M2132</x:f>
        <x:v>20.200000000000003</x:v>
      </x:c>
    </x:row>
    <x:row r="2133" ht="22" customHeight="1">
      <x:c r="A2133" s="11" t="n">
        <x:v>2129</x:v>
      </x:c>
      <x:c r="B2133" s="11" t="n">
        <x:v>1077</x:v>
      </x:c>
      <x:c r="C2133" s="18" t="n">
        <x:v>46006</x:v>
      </x:c>
      <x:c r="D2133" s="11" t="str">
        <x:v>2025-12</x:v>
      </x:c>
      <x:c r="E2133" s="11" t="str">
        <x:v>South</x:v>
      </x:c>
      <x:c r="F2133" s="11" t="str">
        <x:v>Furniture</x:v>
      </x:c>
      <x:c r="G2133" s="11" t="str">
        <x:v>Chair</x:v>
      </x:c>
      <x:c r="H2133" s="11" t="n">
        <x:v>1</x:v>
      </x:c>
      <x:c r="I2133" s="19" t="n">
        <x:v>0</x:v>
      </x:c>
      <x:c r="J2133" s="11" t="n">
        <x:v>0</x:v>
      </x:c>
      <x:c r="K2133" s="20" t="n">
        <x:v>170</x:v>
      </x:c>
      <x:c r="L2133" s="20" t="n">
        <x:v>0</x:v>
      </x:c>
      <x:c r="M2133" s="20" t="n">
        <x:v>110</x:v>
      </x:c>
      <x:c r="N2133" s="20" t="n">
        <x:f>IF(J2133=1,0,K2133-L2133)</x:f>
        <x:v>170</x:v>
      </x:c>
      <x:c r="O2133" s="20" t="n">
        <x:f>N2133-M2133</x:f>
        <x:v>60</x:v>
      </x:c>
    </x:row>
    <x:row r="2134" ht="22" customHeight="1">
      <x:c r="A2134" s="11" t="n">
        <x:v>2130</x:v>
      </x:c>
      <x:c r="B2134" s="11" t="n">
        <x:v>1077</x:v>
      </x:c>
      <x:c r="C2134" s="18" t="n">
        <x:v>46006</x:v>
      </x:c>
      <x:c r="D2134" s="11" t="str">
        <x:v>2025-12</x:v>
      </x:c>
      <x:c r="E2134" s="11" t="str">
        <x:v>South</x:v>
      </x:c>
      <x:c r="F2134" s="11" t="str">
        <x:v>Office Supplies</x:v>
      </x:c>
      <x:c r="G2134" s="11" t="str">
        <x:v>Storage box</x:v>
      </x:c>
      <x:c r="H2134" s="11" t="n">
        <x:v>2</x:v>
      </x:c>
      <x:c r="I2134" s="19" t="n">
        <x:v>0.05</x:v>
      </x:c>
      <x:c r="J2134" s="11" t="n">
        <x:v>0</x:v>
      </x:c>
      <x:c r="K2134" s="20" t="n">
        <x:v>52</x:v>
      </x:c>
      <x:c r="L2134" s="20" t="n">
        <x:v>2.6</x:v>
      </x:c>
      <x:c r="M2134" s="20" t="n">
        <x:v>24</x:v>
      </x:c>
      <x:c r="N2134" s="20" t="n">
        <x:f>IF(J2134=1,0,K2134-L2134)</x:f>
        <x:v>49.4</x:v>
      </x:c>
      <x:c r="O2134" s="20" t="n">
        <x:f>N2134-M2134</x:f>
        <x:v>25.4</x:v>
      </x:c>
    </x:row>
    <x:row r="2135" ht="22" customHeight="1">
      <x:c r="A2135" s="11" t="n">
        <x:v>2131</x:v>
      </x:c>
      <x:c r="B2135" s="11" t="n">
        <x:v>1077</x:v>
      </x:c>
      <x:c r="C2135" s="18" t="n">
        <x:v>46006</x:v>
      </x:c>
      <x:c r="D2135" s="11" t="str">
        <x:v>2025-12</x:v>
      </x:c>
      <x:c r="E2135" s="11" t="str">
        <x:v>South</x:v>
      </x:c>
      <x:c r="F2135" s="11" t="str">
        <x:v>Technology</x:v>
      </x:c>
      <x:c r="G2135" s="11" t="str">
        <x:v>Monitor</x:v>
      </x:c>
      <x:c r="H2135" s="11" t="n">
        <x:v>2</x:v>
      </x:c>
      <x:c r="I2135" s="19" t="n">
        <x:v>0.1</x:v>
      </x:c>
      <x:c r="J2135" s="11" t="n">
        <x:v>1</x:v>
      </x:c>
      <x:c r="K2135" s="20" t="n">
        <x:v>480</x:v>
      </x:c>
      <x:c r="L2135" s="20" t="n">
        <x:v>48</x:v>
      </x:c>
      <x:c r="M2135" s="20" t="n">
        <x:v>0</x:v>
      </x:c>
      <x:c r="N2135" s="20" t="n">
        <x:f>IF(J2135=1,0,K2135-L2135)</x:f>
        <x:v>0</x:v>
      </x:c>
      <x:c r="O2135" s="20" t="n">
        <x:f>N2135-M2135</x:f>
        <x:v>0</x:v>
      </x:c>
    </x:row>
    <x:row r="2136" ht="22" customHeight="1">
      <x:c r="A2136" s="11" t="n">
        <x:v>2132</x:v>
      </x:c>
      <x:c r="B2136" s="11" t="n">
        <x:v>1078</x:v>
      </x:c>
      <x:c r="C2136" s="18" t="n">
        <x:v>45443</x:v>
      </x:c>
      <x:c r="D2136" s="11" t="str">
        <x:v>2024-05</x:v>
      </x:c>
      <x:c r="E2136" s="11" t="str">
        <x:v>Central</x:v>
      </x:c>
      <x:c r="F2136" s="11" t="str">
        <x:v>Technology</x:v>
      </x:c>
      <x:c r="G2136" s="11" t="str">
        <x:v>Monitor</x:v>
      </x:c>
      <x:c r="H2136" s="11" t="n">
        <x:v>2</x:v>
      </x:c>
      <x:c r="I2136" s="19" t="n">
        <x:v>0</x:v>
      </x:c>
      <x:c r="J2136" s="11" t="n">
        <x:v>0</x:v>
      </x:c>
      <x:c r="K2136" s="20" t="n">
        <x:v>480</x:v>
      </x:c>
      <x:c r="L2136" s="20" t="n">
        <x:v>0</x:v>
      </x:c>
      <x:c r="M2136" s="20" t="n">
        <x:v>320</x:v>
      </x:c>
      <x:c r="N2136" s="20" t="n">
        <x:f>IF(J2136=1,0,K2136-L2136)</x:f>
        <x:v>480</x:v>
      </x:c>
      <x:c r="O2136" s="20" t="n">
        <x:f>N2136-M2136</x:f>
        <x:v>160</x:v>
      </x:c>
    </x:row>
    <x:row r="2137" ht="22" customHeight="1">
      <x:c r="A2137" s="11" t="n">
        <x:v>2133</x:v>
      </x:c>
      <x:c r="B2137" s="11" t="n">
        <x:v>1078</x:v>
      </x:c>
      <x:c r="C2137" s="18" t="n">
        <x:v>45443</x:v>
      </x:c>
      <x:c r="D2137" s="11" t="str">
        <x:v>2024-05</x:v>
      </x:c>
      <x:c r="E2137" s="11" t="str">
        <x:v>Central</x:v>
      </x:c>
      <x:c r="F2137" s="11" t="str">
        <x:v>Furniture</x:v>
      </x:c>
      <x:c r="G2137" s="11" t="str">
        <x:v>Desk</x:v>
      </x:c>
      <x:c r="H2137" s="11" t="n">
        <x:v>4</x:v>
      </x:c>
      <x:c r="I2137" s="19" t="n">
        <x:v>0</x:v>
      </x:c>
      <x:c r="J2137" s="11" t="n">
        <x:v>0</x:v>
      </x:c>
      <x:c r="K2137" s="20" t="n">
        <x:v>1120</x:v>
      </x:c>
      <x:c r="L2137" s="20" t="n">
        <x:v>0</x:v>
      </x:c>
      <x:c r="M2137" s="20" t="n">
        <x:v>760</x:v>
      </x:c>
      <x:c r="N2137" s="20" t="n">
        <x:f>IF(J2137=1,0,K2137-L2137)</x:f>
        <x:v>1120</x:v>
      </x:c>
      <x:c r="O2137" s="20" t="n">
        <x:f>N2137-M2137</x:f>
        <x:v>360</x:v>
      </x:c>
    </x:row>
    <x:row r="2138" ht="22" customHeight="1">
      <x:c r="A2138" s="11" t="n">
        <x:v>2134</x:v>
      </x:c>
      <x:c r="B2138" s="11" t="n">
        <x:v>1079</x:v>
      </x:c>
      <x:c r="C2138" s="18" t="n">
        <x:v>45449</x:v>
      </x:c>
      <x:c r="D2138" s="11" t="str">
        <x:v>2024-06</x:v>
      </x:c>
      <x:c r="E2138" s="11" t="str">
        <x:v>East</x:v>
      </x:c>
      <x:c r="F2138" s="11" t="str">
        <x:v>Technology</x:v>
      </x:c>
      <x:c r="G2138" s="11" t="str">
        <x:v>Keyboard</x:v>
      </x:c>
      <x:c r="H2138" s="11" t="n">
        <x:v>2</x:v>
      </x:c>
      <x:c r="I2138" s="19" t="n">
        <x:v>0.05</x:v>
      </x:c>
      <x:c r="J2138" s="11" t="n">
        <x:v>0</x:v>
      </x:c>
      <x:c r="K2138" s="20" t="n">
        <x:v>130</x:v>
      </x:c>
      <x:c r="L2138" s="20" t="n">
        <x:v>6.5</x:v>
      </x:c>
      <x:c r="M2138" s="20" t="n">
        <x:v>64</x:v>
      </x:c>
      <x:c r="N2138" s="20" t="n">
        <x:f>IF(J2138=1,0,K2138-L2138)</x:f>
        <x:v>123.5</x:v>
      </x:c>
      <x:c r="O2138" s="20" t="n">
        <x:f>N2138-M2138</x:f>
        <x:v>59.5</x:v>
      </x:c>
    </x:row>
    <x:row r="2139" ht="22" customHeight="1">
      <x:c r="A2139" s="11" t="n">
        <x:v>2135</x:v>
      </x:c>
      <x:c r="B2139" s="11" t="n">
        <x:v>1080</x:v>
      </x:c>
      <x:c r="C2139" s="18" t="n">
        <x:v>45855</x:v>
      </x:c>
      <x:c r="D2139" s="11" t="str">
        <x:v>2025-07</x:v>
      </x:c>
      <x:c r="E2139" s="11" t="str">
        <x:v>East</x:v>
      </x:c>
      <x:c r="F2139" s="11" t="str">
        <x:v>Furniture</x:v>
      </x:c>
      <x:c r="G2139" s="11" t="str">
        <x:v>Chair</x:v>
      </x:c>
      <x:c r="H2139" s="11" t="n">
        <x:v>4</x:v>
      </x:c>
      <x:c r="I2139" s="19" t="n">
        <x:v>0.05</x:v>
      </x:c>
      <x:c r="J2139" s="11" t="n">
        <x:v>0</x:v>
      </x:c>
      <x:c r="K2139" s="20" t="n">
        <x:v>680</x:v>
      </x:c>
      <x:c r="L2139" s="20" t="n">
        <x:v>34</x:v>
      </x:c>
      <x:c r="M2139" s="20" t="n">
        <x:v>440</x:v>
      </x:c>
      <x:c r="N2139" s="20" t="n">
        <x:f>IF(J2139=1,0,K2139-L2139)</x:f>
        <x:v>646</x:v>
      </x:c>
      <x:c r="O2139" s="20" t="n">
        <x:f>N2139-M2139</x:f>
        <x:v>206</x:v>
      </x:c>
    </x:row>
    <x:row r="2140" ht="22" customHeight="1">
      <x:c r="A2140" s="11" t="n">
        <x:v>2136</x:v>
      </x:c>
      <x:c r="B2140" s="11" t="n">
        <x:v>1080</x:v>
      </x:c>
      <x:c r="C2140" s="18" t="n">
        <x:v>45855</x:v>
      </x:c>
      <x:c r="D2140" s="11" t="str">
        <x:v>2025-07</x:v>
      </x:c>
      <x:c r="E2140" s="11" t="str">
        <x:v>East</x:v>
      </x:c>
      <x:c r="F2140" s="11" t="str">
        <x:v>Technology</x:v>
      </x:c>
      <x:c r="G2140" s="11" t="str">
        <x:v>Keyboard</x:v>
      </x:c>
      <x:c r="H2140" s="11" t="n">
        <x:v>1</x:v>
      </x:c>
      <x:c r="I2140" s="19" t="n">
        <x:v>0.1</x:v>
      </x:c>
      <x:c r="J2140" s="11" t="n">
        <x:v>0</x:v>
      </x:c>
      <x:c r="K2140" s="20" t="n">
        <x:v>65</x:v>
      </x:c>
      <x:c r="L2140" s="20" t="n">
        <x:v>6.5</x:v>
      </x:c>
      <x:c r="M2140" s="20" t="n">
        <x:v>32</x:v>
      </x:c>
      <x:c r="N2140" s="20" t="n">
        <x:f>IF(J2140=1,0,K2140-L2140)</x:f>
        <x:v>58.5</x:v>
      </x:c>
      <x:c r="O2140" s="20" t="n">
        <x:f>N2140-M2140</x:f>
        <x:v>26.5</x:v>
      </x:c>
    </x:row>
    <x:row r="2141" ht="22" customHeight="1">
      <x:c r="A2141" s="11" t="n">
        <x:v>2137</x:v>
      </x:c>
      <x:c r="B2141" s="11" t="n">
        <x:v>1080</x:v>
      </x:c>
      <x:c r="C2141" s="18" t="n">
        <x:v>45855</x:v>
      </x:c>
      <x:c r="D2141" s="11" t="str">
        <x:v>2025-07</x:v>
      </x:c>
      <x:c r="E2141" s="11" t="str">
        <x:v>East</x:v>
      </x:c>
      <x:c r="F2141" s="11" t="str">
        <x:v>Office Supplies</x:v>
      </x:c>
      <x:c r="G2141" s="11" t="str">
        <x:v>Notebook pack</x:v>
      </x:c>
      <x:c r="H2141" s="11" t="n">
        <x:v>2</x:v>
      </x:c>
      <x:c r="I2141" s="19" t="n">
        <x:v>0.1</x:v>
      </x:c>
      <x:c r="J2141" s="11" t="n">
        <x:v>0</x:v>
      </x:c>
      <x:c r="K2141" s="20" t="n">
        <x:v>36</x:v>
      </x:c>
      <x:c r="L2141" s="20" t="n">
        <x:v>3.6</x:v>
      </x:c>
      <x:c r="M2141" s="20" t="n">
        <x:v>14</x:v>
      </x:c>
      <x:c r="N2141" s="20" t="n">
        <x:f>IF(J2141=1,0,K2141-L2141)</x:f>
        <x:v>32.4</x:v>
      </x:c>
      <x:c r="O2141" s="20" t="n">
        <x:f>N2141-M2141</x:f>
        <x:v>18.4</x:v>
      </x:c>
    </x:row>
    <x:row r="2142" ht="22" customHeight="1">
      <x:c r="A2142" s="11" t="n">
        <x:v>2138</x:v>
      </x:c>
      <x:c r="B2142" s="11" t="n">
        <x:v>1081</x:v>
      </x:c>
      <x:c r="C2142" s="18" t="n">
        <x:v>45581</x:v>
      </x:c>
      <x:c r="D2142" s="11" t="str">
        <x:v>2024-10</x:v>
      </x:c>
      <x:c r="E2142" s="11" t="str">
        <x:v>Central</x:v>
      </x:c>
      <x:c r="F2142" s="11" t="str">
        <x:v>Technology</x:v>
      </x:c>
      <x:c r="G2142" s="11" t="str">
        <x:v>Keyboard</x:v>
      </x:c>
      <x:c r="H2142" s="11" t="n">
        <x:v>3</x:v>
      </x:c>
      <x:c r="I2142" s="19" t="n">
        <x:v>0.1</x:v>
      </x:c>
      <x:c r="J2142" s="11" t="n">
        <x:v>0</x:v>
      </x:c>
      <x:c r="K2142" s="20" t="n">
        <x:v>195</x:v>
      </x:c>
      <x:c r="L2142" s="20" t="n">
        <x:v>19.5</x:v>
      </x:c>
      <x:c r="M2142" s="20" t="n">
        <x:v>96</x:v>
      </x:c>
      <x:c r="N2142" s="20" t="n">
        <x:f>IF(J2142=1,0,K2142-L2142)</x:f>
        <x:v>175.5</x:v>
      </x:c>
      <x:c r="O2142" s="20" t="n">
        <x:f>N2142-M2142</x:f>
        <x:v>79.5</x:v>
      </x:c>
    </x:row>
    <x:row r="2143" ht="22" customHeight="1">
      <x:c r="A2143" s="11" t="n">
        <x:v>2139</x:v>
      </x:c>
      <x:c r="B2143" s="11" t="n">
        <x:v>1081</x:v>
      </x:c>
      <x:c r="C2143" s="18" t="n">
        <x:v>45581</x:v>
      </x:c>
      <x:c r="D2143" s="11" t="str">
        <x:v>2024-10</x:v>
      </x:c>
      <x:c r="E2143" s="11" t="str">
        <x:v>Central</x:v>
      </x:c>
      <x:c r="F2143" s="11" t="str">
        <x:v>Office Supplies</x:v>
      </x:c>
      <x:c r="G2143" s="11" t="str">
        <x:v>Notebook pack</x:v>
      </x:c>
      <x:c r="H2143" s="11" t="n">
        <x:v>5</x:v>
      </x:c>
      <x:c r="I2143" s="19" t="n">
        <x:v>0</x:v>
      </x:c>
      <x:c r="J2143" s="11" t="n">
        <x:v>0</x:v>
      </x:c>
      <x:c r="K2143" s="20" t="n">
        <x:v>90</x:v>
      </x:c>
      <x:c r="L2143" s="20" t="n">
        <x:v>0</x:v>
      </x:c>
      <x:c r="M2143" s="20" t="n">
        <x:v>35</x:v>
      </x:c>
      <x:c r="N2143" s="20" t="n">
        <x:f>IF(J2143=1,0,K2143-L2143)</x:f>
        <x:v>90</x:v>
      </x:c>
      <x:c r="O2143" s="20" t="n">
        <x:f>N2143-M2143</x:f>
        <x:v>55</x:v>
      </x:c>
    </x:row>
    <x:row r="2144" ht="22" customHeight="1">
      <x:c r="A2144" s="11" t="n">
        <x:v>2140</x:v>
      </x:c>
      <x:c r="B2144" s="11" t="n">
        <x:v>1081</x:v>
      </x:c>
      <x:c r="C2144" s="18" t="n">
        <x:v>45581</x:v>
      </x:c>
      <x:c r="D2144" s="11" t="str">
        <x:v>2024-10</x:v>
      </x:c>
      <x:c r="E2144" s="11" t="str">
        <x:v>Central</x:v>
      </x:c>
      <x:c r="F2144" s="11" t="str">
        <x:v>Furniture</x:v>
      </x:c>
      <x:c r="G2144" s="11" t="str">
        <x:v>Desk</x:v>
      </x:c>
      <x:c r="H2144" s="11" t="n">
        <x:v>5</x:v>
      </x:c>
      <x:c r="I2144" s="19" t="n">
        <x:v>0</x:v>
      </x:c>
      <x:c r="J2144" s="11" t="n">
        <x:v>0</x:v>
      </x:c>
      <x:c r="K2144" s="20" t="n">
        <x:v>1400</x:v>
      </x:c>
      <x:c r="L2144" s="20" t="n">
        <x:v>0</x:v>
      </x:c>
      <x:c r="M2144" s="20" t="n">
        <x:v>950</x:v>
      </x:c>
      <x:c r="N2144" s="20" t="n">
        <x:f>IF(J2144=1,0,K2144-L2144)</x:f>
        <x:v>1400</x:v>
      </x:c>
      <x:c r="O2144" s="20" t="n">
        <x:f>N2144-M2144</x:f>
        <x:v>450</x:v>
      </x:c>
    </x:row>
    <x:row r="2145" ht="22" customHeight="1">
      <x:c r="A2145" s="11" t="n">
        <x:v>2141</x:v>
      </x:c>
      <x:c r="B2145" s="11" t="n">
        <x:v>1082</x:v>
      </x:c>
      <x:c r="C2145" s="18" t="n">
        <x:v>45669</x:v>
      </x:c>
      <x:c r="D2145" s="11" t="str">
        <x:v>2025-01</x:v>
      </x:c>
      <x:c r="E2145" s="11" t="str">
        <x:v>South</x:v>
      </x:c>
      <x:c r="F2145" s="11" t="str">
        <x:v>Furniture</x:v>
      </x:c>
      <x:c r="G2145" s="11" t="str">
        <x:v>Desk</x:v>
      </x:c>
      <x:c r="H2145" s="11" t="n">
        <x:v>1</x:v>
      </x:c>
      <x:c r="I2145" s="19" t="n">
        <x:v>0.05</x:v>
      </x:c>
      <x:c r="J2145" s="11" t="n">
        <x:v>0</x:v>
      </x:c>
      <x:c r="K2145" s="20" t="n">
        <x:v>280</x:v>
      </x:c>
      <x:c r="L2145" s="20" t="n">
        <x:v>14</x:v>
      </x:c>
      <x:c r="M2145" s="20" t="n">
        <x:v>190</x:v>
      </x:c>
      <x:c r="N2145" s="20" t="n">
        <x:f>IF(J2145=1,0,K2145-L2145)</x:f>
        <x:v>266</x:v>
      </x:c>
      <x:c r="O2145" s="20" t="n">
        <x:f>N2145-M2145</x:f>
        <x:v>76</x:v>
      </x:c>
    </x:row>
    <x:row r="2146" ht="22" customHeight="1">
      <x:c r="A2146" s="11" t="n">
        <x:v>2142</x:v>
      </x:c>
      <x:c r="B2146" s="11" t="n">
        <x:v>1082</x:v>
      </x:c>
      <x:c r="C2146" s="18" t="n">
        <x:v>45669</x:v>
      </x:c>
      <x:c r="D2146" s="11" t="str">
        <x:v>2025-01</x:v>
      </x:c>
      <x:c r="E2146" s="11" t="str">
        <x:v>South</x:v>
      </x:c>
      <x:c r="F2146" s="11" t="str">
        <x:v>Office Supplies</x:v>
      </x:c>
      <x:c r="G2146" s="11" t="str">
        <x:v>Notebook pack</x:v>
      </x:c>
      <x:c r="H2146" s="11" t="n">
        <x:v>2</x:v>
      </x:c>
      <x:c r="I2146" s="19" t="n">
        <x:v>0</x:v>
      </x:c>
      <x:c r="J2146" s="11" t="n">
        <x:v>0</x:v>
      </x:c>
      <x:c r="K2146" s="20" t="n">
        <x:v>36</x:v>
      </x:c>
      <x:c r="L2146" s="20" t="n">
        <x:v>0</x:v>
      </x:c>
      <x:c r="M2146" s="20" t="n">
        <x:v>14</x:v>
      </x:c>
      <x:c r="N2146" s="20" t="n">
        <x:f>IF(J2146=1,0,K2146-L2146)</x:f>
        <x:v>36</x:v>
      </x:c>
      <x:c r="O2146" s="20" t="n">
        <x:f>N2146-M2146</x:f>
        <x:v>22</x:v>
      </x:c>
    </x:row>
    <x:row r="2147" ht="22" customHeight="1">
      <x:c r="A2147" s="11" t="n">
        <x:v>2143</x:v>
      </x:c>
      <x:c r="B2147" s="11" t="n">
        <x:v>1082</x:v>
      </x:c>
      <x:c r="C2147" s="18" t="n">
        <x:v>45669</x:v>
      </x:c>
      <x:c r="D2147" s="11" t="str">
        <x:v>2025-01</x:v>
      </x:c>
      <x:c r="E2147" s="11" t="str">
        <x:v>South</x:v>
      </x:c>
      <x:c r="F2147" s="11" t="str">
        <x:v>Technology</x:v>
      </x:c>
      <x:c r="G2147" s="11" t="str">
        <x:v>Keyboard</x:v>
      </x:c>
      <x:c r="H2147" s="11" t="n">
        <x:v>4</x:v>
      </x:c>
      <x:c r="I2147" s="19" t="n">
        <x:v>0</x:v>
      </x:c>
      <x:c r="J2147" s="11" t="n">
        <x:v>0</x:v>
      </x:c>
      <x:c r="K2147" s="20" t="n">
        <x:v>260</x:v>
      </x:c>
      <x:c r="L2147" s="20" t="n">
        <x:v>0</x:v>
      </x:c>
      <x:c r="M2147" s="20" t="n">
        <x:v>128</x:v>
      </x:c>
      <x:c r="N2147" s="20" t="n">
        <x:f>IF(J2147=1,0,K2147-L2147)</x:f>
        <x:v>260</x:v>
      </x:c>
      <x:c r="O2147" s="20" t="n">
        <x:f>N2147-M2147</x:f>
        <x:v>132</x:v>
      </x:c>
    </x:row>
    <x:row r="2148" ht="22" customHeight="1">
      <x:c r="A2148" s="11" t="n">
        <x:v>2144</x:v>
      </x:c>
      <x:c r="B2148" s="11" t="n">
        <x:v>1083</x:v>
      </x:c>
      <x:c r="C2148" s="18" t="n">
        <x:v>45961</x:v>
      </x:c>
      <x:c r="D2148" s="11" t="str">
        <x:v>2025-10</x:v>
      </x:c>
      <x:c r="E2148" s="11" t="str">
        <x:v>East</x:v>
      </x:c>
      <x:c r="F2148" s="11" t="str">
        <x:v>Technology</x:v>
      </x:c>
      <x:c r="G2148" s="11" t="str">
        <x:v>Monitor</x:v>
      </x:c>
      <x:c r="H2148" s="11" t="n">
        <x:v>3</x:v>
      </x:c>
      <x:c r="I2148" s="19" t="n">
        <x:v>0.1</x:v>
      </x:c>
      <x:c r="J2148" s="11" t="n">
        <x:v>0</x:v>
      </x:c>
      <x:c r="K2148" s="20" t="n">
        <x:v>720</x:v>
      </x:c>
      <x:c r="L2148" s="20" t="n">
        <x:v>72</x:v>
      </x:c>
      <x:c r="M2148" s="20" t="n">
        <x:v>480</x:v>
      </x:c>
      <x:c r="N2148" s="20" t="n">
        <x:f>IF(J2148=1,0,K2148-L2148)</x:f>
        <x:v>648</x:v>
      </x:c>
      <x:c r="O2148" s="20" t="n">
        <x:f>N2148-M2148</x:f>
        <x:v>168</x:v>
      </x:c>
    </x:row>
    <x:row r="2149" ht="22" customHeight="1">
      <x:c r="A2149" s="11" t="n">
        <x:v>2145</x:v>
      </x:c>
      <x:c r="B2149" s="11" t="n">
        <x:v>1084</x:v>
      </x:c>
      <x:c r="C2149" s="18" t="n">
        <x:v>45784</x:v>
      </x:c>
      <x:c r="D2149" s="11" t="str">
        <x:v>2025-05</x:v>
      </x:c>
      <x:c r="E2149" s="11" t="str">
        <x:v>South</x:v>
      </x:c>
      <x:c r="F2149" s="11" t="str">
        <x:v>Furniture</x:v>
      </x:c>
      <x:c r="G2149" s="11" t="str">
        <x:v>Chair</x:v>
      </x:c>
      <x:c r="H2149" s="11" t="n">
        <x:v>4</x:v>
      </x:c>
      <x:c r="I2149" s="19" t="n">
        <x:v>0</x:v>
      </x:c>
      <x:c r="J2149" s="11" t="n">
        <x:v>0</x:v>
      </x:c>
      <x:c r="K2149" s="20" t="n">
        <x:v>680</x:v>
      </x:c>
      <x:c r="L2149" s="20" t="n">
        <x:v>0</x:v>
      </x:c>
      <x:c r="M2149" s="20" t="n">
        <x:v>440</x:v>
      </x:c>
      <x:c r="N2149" s="20" t="n">
        <x:f>IF(J2149=1,0,K2149-L2149)</x:f>
        <x:v>680</x:v>
      </x:c>
      <x:c r="O2149" s="20" t="n">
        <x:f>N2149-M2149</x:f>
        <x:v>240</x:v>
      </x:c>
    </x:row>
    <x:row r="2150" ht="22" customHeight="1">
      <x:c r="A2150" s="11" t="n">
        <x:v>2146</x:v>
      </x:c>
      <x:c r="B2150" s="11" t="n">
        <x:v>1084</x:v>
      </x:c>
      <x:c r="C2150" s="18" t="n">
        <x:v>45784</x:v>
      </x:c>
      <x:c r="D2150" s="11" t="str">
        <x:v>2025-05</x:v>
      </x:c>
      <x:c r="E2150" s="11" t="str">
        <x:v>South</x:v>
      </x:c>
      <x:c r="F2150" s="11" t="str">
        <x:v>Office Supplies</x:v>
      </x:c>
      <x:c r="G2150" s="11" t="str">
        <x:v>Storage box</x:v>
      </x:c>
      <x:c r="H2150" s="11" t="n">
        <x:v>1</x:v>
      </x:c>
      <x:c r="I2150" s="19" t="n">
        <x:v>0.05</x:v>
      </x:c>
      <x:c r="J2150" s="11" t="n">
        <x:v>0</x:v>
      </x:c>
      <x:c r="K2150" s="20" t="n">
        <x:v>26</x:v>
      </x:c>
      <x:c r="L2150" s="20" t="n">
        <x:v>1.3</x:v>
      </x:c>
      <x:c r="M2150" s="20" t="n">
        <x:v>12</x:v>
      </x:c>
      <x:c r="N2150" s="20" t="n">
        <x:f>IF(J2150=1,0,K2150-L2150)</x:f>
        <x:v>24.7</x:v>
      </x:c>
      <x:c r="O2150" s="20" t="n">
        <x:f>N2150-M2150</x:f>
        <x:v>12.7</x:v>
      </x:c>
    </x:row>
    <x:row r="2151" ht="22" customHeight="1">
      <x:c r="A2151" s="11" t="n">
        <x:v>2147</x:v>
      </x:c>
      <x:c r="B2151" s="11" t="n">
        <x:v>1085</x:v>
      </x:c>
      <x:c r="C2151" s="18" t="n">
        <x:v>45395</x:v>
      </x:c>
      <x:c r="D2151" s="11" t="str">
        <x:v>2024-04</x:v>
      </x:c>
      <x:c r="E2151" s="11" t="str">
        <x:v>West</x:v>
      </x:c>
      <x:c r="F2151" s="11" t="str">
        <x:v>Furniture</x:v>
      </x:c>
      <x:c r="G2151" s="11" t="str">
        <x:v>Chair</x:v>
      </x:c>
      <x:c r="H2151" s="11" t="n">
        <x:v>3</x:v>
      </x:c>
      <x:c r="I2151" s="19" t="n">
        <x:v>0</x:v>
      </x:c>
      <x:c r="J2151" s="11" t="n">
        <x:v>0</x:v>
      </x:c>
      <x:c r="K2151" s="20" t="n">
        <x:v>510</x:v>
      </x:c>
      <x:c r="L2151" s="20" t="n">
        <x:v>0</x:v>
      </x:c>
      <x:c r="M2151" s="20" t="n">
        <x:v>330</x:v>
      </x:c>
      <x:c r="N2151" s="20" t="n">
        <x:f>IF(J2151=1,0,K2151-L2151)</x:f>
        <x:v>510</x:v>
      </x:c>
      <x:c r="O2151" s="20" t="n">
        <x:f>N2151-M2151</x:f>
        <x:v>180</x:v>
      </x:c>
    </x:row>
    <x:row r="2152" ht="22" customHeight="1">
      <x:c r="A2152" s="11" t="n">
        <x:v>2148</x:v>
      </x:c>
      <x:c r="B2152" s="11" t="n">
        <x:v>1086</x:v>
      </x:c>
      <x:c r="C2152" s="18" t="n">
        <x:v>45685</x:v>
      </x:c>
      <x:c r="D2152" s="11" t="str">
        <x:v>2025-01</x:v>
      </x:c>
      <x:c r="E2152" s="11" t="str">
        <x:v>East</x:v>
      </x:c>
      <x:c r="F2152" s="11" t="str">
        <x:v>Technology</x:v>
      </x:c>
      <x:c r="G2152" s="11" t="str">
        <x:v>Keyboard</x:v>
      </x:c>
      <x:c r="H2152" s="11" t="n">
        <x:v>4</x:v>
      </x:c>
      <x:c r="I2152" s="19" t="n">
        <x:v>0.1</x:v>
      </x:c>
      <x:c r="J2152" s="11" t="n">
        <x:v>0</x:v>
      </x:c>
      <x:c r="K2152" s="20" t="n">
        <x:v>260</x:v>
      </x:c>
      <x:c r="L2152" s="20" t="n">
        <x:v>26</x:v>
      </x:c>
      <x:c r="M2152" s="20" t="n">
        <x:v>128</x:v>
      </x:c>
      <x:c r="N2152" s="20" t="n">
        <x:f>IF(J2152=1,0,K2152-L2152)</x:f>
        <x:v>234</x:v>
      </x:c>
      <x:c r="O2152" s="20" t="n">
        <x:f>N2152-M2152</x:f>
        <x:v>106</x:v>
      </x:c>
    </x:row>
    <x:row r="2153" ht="22" customHeight="1">
      <x:c r="A2153" s="11" t="n">
        <x:v>2149</x:v>
      </x:c>
      <x:c r="B2153" s="11" t="n">
        <x:v>1087</x:v>
      </x:c>
      <x:c r="C2153" s="18" t="n">
        <x:v>45602</x:v>
      </x:c>
      <x:c r="D2153" s="11" t="str">
        <x:v>2024-11</x:v>
      </x:c>
      <x:c r="E2153" s="11" t="str">
        <x:v>South</x:v>
      </x:c>
      <x:c r="F2153" s="11" t="str">
        <x:v>Office Supplies</x:v>
      </x:c>
      <x:c r="G2153" s="11" t="str">
        <x:v>Storage box</x:v>
      </x:c>
      <x:c r="H2153" s="11" t="n">
        <x:v>5</x:v>
      </x:c>
      <x:c r="I2153" s="19" t="n">
        <x:v>0.05</x:v>
      </x:c>
      <x:c r="J2153" s="11" t="n">
        <x:v>0</x:v>
      </x:c>
      <x:c r="K2153" s="20" t="n">
        <x:v>130</x:v>
      </x:c>
      <x:c r="L2153" s="20" t="n">
        <x:v>6.5</x:v>
      </x:c>
      <x:c r="M2153" s="20" t="n">
        <x:v>60</x:v>
      </x:c>
      <x:c r="N2153" s="20" t="n">
        <x:f>IF(J2153=1,0,K2153-L2153)</x:f>
        <x:v>123.5</x:v>
      </x:c>
      <x:c r="O2153" s="20" t="n">
        <x:f>N2153-M2153</x:f>
        <x:v>63.5</x:v>
      </x:c>
    </x:row>
    <x:row r="2154" ht="22" customHeight="1">
      <x:c r="A2154" s="11" t="n">
        <x:v>2150</x:v>
      </x:c>
      <x:c r="B2154" s="11" t="n">
        <x:v>1087</x:v>
      </x:c>
      <x:c r="C2154" s="18" t="n">
        <x:v>45602</x:v>
      </x:c>
      <x:c r="D2154" s="11" t="str">
        <x:v>2024-11</x:v>
      </x:c>
      <x:c r="E2154" s="11" t="str">
        <x:v>South</x:v>
      </x:c>
      <x:c r="F2154" s="11" t="str">
        <x:v>Furniture</x:v>
      </x:c>
      <x:c r="G2154" s="11" t="str">
        <x:v>Desk</x:v>
      </x:c>
      <x:c r="H2154" s="11" t="n">
        <x:v>3</x:v>
      </x:c>
      <x:c r="I2154" s="19" t="n">
        <x:v>0.15</x:v>
      </x:c>
      <x:c r="J2154" s="11" t="n">
        <x:v>0</x:v>
      </x:c>
      <x:c r="K2154" s="20" t="n">
        <x:v>840</x:v>
      </x:c>
      <x:c r="L2154" s="20" t="n">
        <x:v>126</x:v>
      </x:c>
      <x:c r="M2154" s="20" t="n">
        <x:v>570</x:v>
      </x:c>
      <x:c r="N2154" s="20" t="n">
        <x:f>IF(J2154=1,0,K2154-L2154)</x:f>
        <x:v>714</x:v>
      </x:c>
      <x:c r="O2154" s="20" t="n">
        <x:f>N2154-M2154</x:f>
        <x:v>144</x:v>
      </x:c>
    </x:row>
    <x:row r="2155" ht="22" customHeight="1">
      <x:c r="A2155" s="11" t="n">
        <x:v>2151</x:v>
      </x:c>
      <x:c r="B2155" s="11" t="n">
        <x:v>1087</x:v>
      </x:c>
      <x:c r="C2155" s="18" t="n">
        <x:v>45602</x:v>
      </x:c>
      <x:c r="D2155" s="11" t="str">
        <x:v>2024-11</x:v>
      </x:c>
      <x:c r="E2155" s="11" t="str">
        <x:v>South</x:v>
      </x:c>
      <x:c r="F2155" s="11" t="str">
        <x:v>Technology</x:v>
      </x:c>
      <x:c r="G2155" s="11" t="str">
        <x:v>Keyboard</x:v>
      </x:c>
      <x:c r="H2155" s="11" t="n">
        <x:v>2</x:v>
      </x:c>
      <x:c r="I2155" s="19" t="n">
        <x:v>0.1</x:v>
      </x:c>
      <x:c r="J2155" s="11" t="n">
        <x:v>0</x:v>
      </x:c>
      <x:c r="K2155" s="20" t="n">
        <x:v>130</x:v>
      </x:c>
      <x:c r="L2155" s="20" t="n">
        <x:v>13</x:v>
      </x:c>
      <x:c r="M2155" s="20" t="n">
        <x:v>64</x:v>
      </x:c>
      <x:c r="N2155" s="20" t="n">
        <x:f>IF(J2155=1,0,K2155-L2155)</x:f>
        <x:v>117</x:v>
      </x:c>
      <x:c r="O2155" s="20" t="n">
        <x:f>N2155-M2155</x:f>
        <x:v>53</x:v>
      </x:c>
    </x:row>
    <x:row r="2156" ht="22" customHeight="1">
      <x:c r="A2156" s="11" t="n">
        <x:v>2152</x:v>
      </x:c>
      <x:c r="B2156" s="11" t="n">
        <x:v>1088</x:v>
      </x:c>
      <x:c r="C2156" s="18" t="n">
        <x:v>45684</x:v>
      </x:c>
      <x:c r="D2156" s="11" t="str">
        <x:v>2025-01</x:v>
      </x:c>
      <x:c r="E2156" s="11" t="str">
        <x:v>Central</x:v>
      </x:c>
      <x:c r="F2156" s="11" t="str">
        <x:v>Furniture</x:v>
      </x:c>
      <x:c r="G2156" s="11" t="str">
        <x:v>Desk</x:v>
      </x:c>
      <x:c r="H2156" s="11" t="n">
        <x:v>3</x:v>
      </x:c>
      <x:c r="I2156" s="19" t="n">
        <x:v>0.1</x:v>
      </x:c>
      <x:c r="J2156" s="11" t="n">
        <x:v>0</x:v>
      </x:c>
      <x:c r="K2156" s="20" t="n">
        <x:v>840</x:v>
      </x:c>
      <x:c r="L2156" s="20" t="n">
        <x:v>84</x:v>
      </x:c>
      <x:c r="M2156" s="20" t="n">
        <x:v>570</x:v>
      </x:c>
      <x:c r="N2156" s="20" t="n">
        <x:f>IF(J2156=1,0,K2156-L2156)</x:f>
        <x:v>756</x:v>
      </x:c>
      <x:c r="O2156" s="20" t="n">
        <x:f>N2156-M2156</x:f>
        <x:v>186</x:v>
      </x:c>
    </x:row>
    <x:row r="2157" ht="22" customHeight="1">
      <x:c r="A2157" s="11" t="n">
        <x:v>2153</x:v>
      </x:c>
      <x:c r="B2157" s="11" t="n">
        <x:v>1089</x:v>
      </x:c>
      <x:c r="C2157" s="18" t="n">
        <x:v>45921</x:v>
      </x:c>
      <x:c r="D2157" s="11" t="str">
        <x:v>2025-09</x:v>
      </x:c>
      <x:c r="E2157" s="11" t="str">
        <x:v>Central</x:v>
      </x:c>
      <x:c r="F2157" s="11" t="str">
        <x:v>Furniture</x:v>
      </x:c>
      <x:c r="G2157" s="11" t="str">
        <x:v>Desk</x:v>
      </x:c>
      <x:c r="H2157" s="11" t="n">
        <x:v>3</x:v>
      </x:c>
      <x:c r="I2157" s="19" t="n">
        <x:v>0</x:v>
      </x:c>
      <x:c r="J2157" s="11" t="n">
        <x:v>0</x:v>
      </x:c>
      <x:c r="K2157" s="20" t="n">
        <x:v>840</x:v>
      </x:c>
      <x:c r="L2157" s="20" t="n">
        <x:v>0</x:v>
      </x:c>
      <x:c r="M2157" s="20" t="n">
        <x:v>570</x:v>
      </x:c>
      <x:c r="N2157" s="20" t="n">
        <x:f>IF(J2157=1,0,K2157-L2157)</x:f>
        <x:v>840</x:v>
      </x:c>
      <x:c r="O2157" s="20" t="n">
        <x:f>N2157-M2157</x:f>
        <x:v>270</x:v>
      </x:c>
    </x:row>
    <x:row r="2158" ht="22" customHeight="1">
      <x:c r="A2158" s="11" t="n">
        <x:v>2154</x:v>
      </x:c>
      <x:c r="B2158" s="11" t="n">
        <x:v>1089</x:v>
      </x:c>
      <x:c r="C2158" s="18" t="n">
        <x:v>45921</x:v>
      </x:c>
      <x:c r="D2158" s="11" t="str">
        <x:v>2025-09</x:v>
      </x:c>
      <x:c r="E2158" s="11" t="str">
        <x:v>Central</x:v>
      </x:c>
      <x:c r="F2158" s="11" t="str">
        <x:v>Technology</x:v>
      </x:c>
      <x:c r="G2158" s="11" t="str">
        <x:v>Keyboard</x:v>
      </x:c>
      <x:c r="H2158" s="11" t="n">
        <x:v>4</x:v>
      </x:c>
      <x:c r="I2158" s="19" t="n">
        <x:v>0.1</x:v>
      </x:c>
      <x:c r="J2158" s="11" t="n">
        <x:v>0</x:v>
      </x:c>
      <x:c r="K2158" s="20" t="n">
        <x:v>260</x:v>
      </x:c>
      <x:c r="L2158" s="20" t="n">
        <x:v>26</x:v>
      </x:c>
      <x:c r="M2158" s="20" t="n">
        <x:v>128</x:v>
      </x:c>
      <x:c r="N2158" s="20" t="n">
        <x:f>IF(J2158=1,0,K2158-L2158)</x:f>
        <x:v>234</x:v>
      </x:c>
      <x:c r="O2158" s="20" t="n">
        <x:f>N2158-M2158</x:f>
        <x:v>106</x:v>
      </x:c>
    </x:row>
    <x:row r="2159" ht="22" customHeight="1">
      <x:c r="A2159" s="11" t="n">
        <x:v>2155</x:v>
      </x:c>
      <x:c r="B2159" s="11" t="n">
        <x:v>1090</x:v>
      </x:c>
      <x:c r="C2159" s="18" t="n">
        <x:v>45905</x:v>
      </x:c>
      <x:c r="D2159" s="11" t="str">
        <x:v>2025-09</x:v>
      </x:c>
      <x:c r="E2159" s="11" t="str">
        <x:v>East</x:v>
      </x:c>
      <x:c r="F2159" s="11" t="str">
        <x:v>Technology</x:v>
      </x:c>
      <x:c r="G2159" s="11" t="str">
        <x:v>Keyboard</x:v>
      </x:c>
      <x:c r="H2159" s="11" t="n">
        <x:v>3</x:v>
      </x:c>
      <x:c r="I2159" s="19" t="n">
        <x:v>0</x:v>
      </x:c>
      <x:c r="J2159" s="11" t="n">
        <x:v>0</x:v>
      </x:c>
      <x:c r="K2159" s="20" t="n">
        <x:v>195</x:v>
      </x:c>
      <x:c r="L2159" s="20" t="n">
        <x:v>0</x:v>
      </x:c>
      <x:c r="M2159" s="20" t="n">
        <x:v>96</x:v>
      </x:c>
      <x:c r="N2159" s="20" t="n">
        <x:f>IF(J2159=1,0,K2159-L2159)</x:f>
        <x:v>195</x:v>
      </x:c>
      <x:c r="O2159" s="20" t="n">
        <x:f>N2159-M2159</x:f>
        <x:v>99</x:v>
      </x:c>
    </x:row>
    <x:row r="2160" ht="22" customHeight="1">
      <x:c r="A2160" s="11" t="n">
        <x:v>2156</x:v>
      </x:c>
      <x:c r="B2160" s="11" t="n">
        <x:v>1090</x:v>
      </x:c>
      <x:c r="C2160" s="18" t="n">
        <x:v>45905</x:v>
      </x:c>
      <x:c r="D2160" s="11" t="str">
        <x:v>2025-09</x:v>
      </x:c>
      <x:c r="E2160" s="11" t="str">
        <x:v>East</x:v>
      </x:c>
      <x:c r="F2160" s="11" t="str">
        <x:v>Technology</x:v>
      </x:c>
      <x:c r="G2160" s="11" t="str">
        <x:v>Monitor</x:v>
      </x:c>
      <x:c r="H2160" s="11" t="n">
        <x:v>2</x:v>
      </x:c>
      <x:c r="I2160" s="19" t="n">
        <x:v>0.05</x:v>
      </x:c>
      <x:c r="J2160" s="11" t="n">
        <x:v>0</x:v>
      </x:c>
      <x:c r="K2160" s="20" t="n">
        <x:v>480</x:v>
      </x:c>
      <x:c r="L2160" s="20" t="n">
        <x:v>24</x:v>
      </x:c>
      <x:c r="M2160" s="20" t="n">
        <x:v>320</x:v>
      </x:c>
      <x:c r="N2160" s="20" t="n">
        <x:f>IF(J2160=1,0,K2160-L2160)</x:f>
        <x:v>456</x:v>
      </x:c>
      <x:c r="O2160" s="20" t="n">
        <x:f>N2160-M2160</x:f>
        <x:v>136</x:v>
      </x:c>
    </x:row>
    <x:row r="2161" ht="22" customHeight="1">
      <x:c r="A2161" s="11" t="n">
        <x:v>2157</x:v>
      </x:c>
      <x:c r="B2161" s="11" t="n">
        <x:v>1091</x:v>
      </x:c>
      <x:c r="C2161" s="18" t="n">
        <x:v>45309</x:v>
      </x:c>
      <x:c r="D2161" s="11" t="str">
        <x:v>2024-01</x:v>
      </x:c>
      <x:c r="E2161" s="11" t="str">
        <x:v>East</x:v>
      </x:c>
      <x:c r="F2161" s="11" t="str">
        <x:v>Office Supplies</x:v>
      </x:c>
      <x:c r="G2161" s="11" t="str">
        <x:v>Storage box</x:v>
      </x:c>
      <x:c r="H2161" s="11" t="n">
        <x:v>5</x:v>
      </x:c>
      <x:c r="I2161" s="19" t="n">
        <x:v>0</x:v>
      </x:c>
      <x:c r="J2161" s="11" t="n">
        <x:v>0</x:v>
      </x:c>
      <x:c r="K2161" s="20" t="n">
        <x:v>130</x:v>
      </x:c>
      <x:c r="L2161" s="20" t="n">
        <x:v>0</x:v>
      </x:c>
      <x:c r="M2161" s="20" t="n">
        <x:v>60</x:v>
      </x:c>
      <x:c r="N2161" s="20" t="n">
        <x:f>IF(J2161=1,0,K2161-L2161)</x:f>
        <x:v>130</x:v>
      </x:c>
      <x:c r="O2161" s="20" t="n">
        <x:f>N2161-M2161</x:f>
        <x:v>70</x:v>
      </x:c>
    </x:row>
    <x:row r="2162" ht="22" customHeight="1">
      <x:c r="A2162" s="11" t="n">
        <x:v>2158</x:v>
      </x:c>
      <x:c r="B2162" s="11" t="n">
        <x:v>1091</x:v>
      </x:c>
      <x:c r="C2162" s="18" t="n">
        <x:v>45309</x:v>
      </x:c>
      <x:c r="D2162" s="11" t="str">
        <x:v>2024-01</x:v>
      </x:c>
      <x:c r="E2162" s="11" t="str">
        <x:v>East</x:v>
      </x:c>
      <x:c r="F2162" s="11" t="str">
        <x:v>Furniture</x:v>
      </x:c>
      <x:c r="G2162" s="11" t="str">
        <x:v>Desk</x:v>
      </x:c>
      <x:c r="H2162" s="11" t="n">
        <x:v>1</x:v>
      </x:c>
      <x:c r="I2162" s="19" t="n">
        <x:v>0.25</x:v>
      </x:c>
      <x:c r="J2162" s="11" t="n">
        <x:v>0</x:v>
      </x:c>
      <x:c r="K2162" s="20" t="n">
        <x:v>280</x:v>
      </x:c>
      <x:c r="L2162" s="20" t="n">
        <x:v>70</x:v>
      </x:c>
      <x:c r="M2162" s="20" t="n">
        <x:v>190</x:v>
      </x:c>
      <x:c r="N2162" s="20" t="n">
        <x:f>IF(J2162=1,0,K2162-L2162)</x:f>
        <x:v>210</x:v>
      </x:c>
      <x:c r="O2162" s="20" t="n">
        <x:f>N2162-M2162</x:f>
        <x:v>20</x:v>
      </x:c>
    </x:row>
    <x:row r="2163" ht="22" customHeight="1">
      <x:c r="A2163" s="11" t="n">
        <x:v>2159</x:v>
      </x:c>
      <x:c r="B2163" s="11" t="n">
        <x:v>1092</x:v>
      </x:c>
      <x:c r="C2163" s="18" t="n">
        <x:v>45378</x:v>
      </x:c>
      <x:c r="D2163" s="11" t="str">
        <x:v>2024-03</x:v>
      </x:c>
      <x:c r="E2163" s="11" t="str">
        <x:v>East</x:v>
      </x:c>
      <x:c r="F2163" s="11" t="str">
        <x:v>Office Supplies</x:v>
      </x:c>
      <x:c r="G2163" s="11" t="str">
        <x:v>Storage box</x:v>
      </x:c>
      <x:c r="H2163" s="11" t="n">
        <x:v>2</x:v>
      </x:c>
      <x:c r="I2163" s="19" t="n">
        <x:v>0.1</x:v>
      </x:c>
      <x:c r="J2163" s="11" t="n">
        <x:v>0</x:v>
      </x:c>
      <x:c r="K2163" s="20" t="n">
        <x:v>52</x:v>
      </x:c>
      <x:c r="L2163" s="20" t="n">
        <x:v>5.2</x:v>
      </x:c>
      <x:c r="M2163" s="20" t="n">
        <x:v>24</x:v>
      </x:c>
      <x:c r="N2163" s="20" t="n">
        <x:f>IF(J2163=1,0,K2163-L2163)</x:f>
        <x:v>46.8</x:v>
      </x:c>
      <x:c r="O2163" s="20" t="n">
        <x:f>N2163-M2163</x:f>
        <x:v>22.799999999999997</x:v>
      </x:c>
    </x:row>
    <x:row r="2164" ht="22" customHeight="1">
      <x:c r="A2164" s="11" t="n">
        <x:v>2160</x:v>
      </x:c>
      <x:c r="B2164" s="11" t="n">
        <x:v>1093</x:v>
      </x:c>
      <x:c r="C2164" s="18" t="n">
        <x:v>45573</x:v>
      </x:c>
      <x:c r="D2164" s="11" t="str">
        <x:v>2024-10</x:v>
      </x:c>
      <x:c r="E2164" s="11" t="str">
        <x:v>South</x:v>
      </x:c>
      <x:c r="F2164" s="11" t="str">
        <x:v>Office Supplies</x:v>
      </x:c>
      <x:c r="G2164" s="11" t="str">
        <x:v>Notebook pack</x:v>
      </x:c>
      <x:c r="H2164" s="11" t="n">
        <x:v>1</x:v>
      </x:c>
      <x:c r="I2164" s="19" t="n">
        <x:v>0</x:v>
      </x:c>
      <x:c r="J2164" s="11" t="n">
        <x:v>0</x:v>
      </x:c>
      <x:c r="K2164" s="20" t="n">
        <x:v>18</x:v>
      </x:c>
      <x:c r="L2164" s="20" t="n">
        <x:v>0</x:v>
      </x:c>
      <x:c r="M2164" s="20" t="n">
        <x:v>7</x:v>
      </x:c>
      <x:c r="N2164" s="20" t="n">
        <x:f>IF(J2164=1,0,K2164-L2164)</x:f>
        <x:v>18</x:v>
      </x:c>
      <x:c r="O2164" s="20" t="n">
        <x:f>N2164-M2164</x:f>
        <x:v>11</x:v>
      </x:c>
    </x:row>
    <x:row r="2165" ht="22" customHeight="1">
      <x:c r="A2165" s="11" t="n">
        <x:v>2161</x:v>
      </x:c>
      <x:c r="B2165" s="11" t="n">
        <x:v>1093</x:v>
      </x:c>
      <x:c r="C2165" s="18" t="n">
        <x:v>45573</x:v>
      </x:c>
      <x:c r="D2165" s="11" t="str">
        <x:v>2024-10</x:v>
      </x:c>
      <x:c r="E2165" s="11" t="str">
        <x:v>South</x:v>
      </x:c>
      <x:c r="F2165" s="11" t="str">
        <x:v>Furniture</x:v>
      </x:c>
      <x:c r="G2165" s="11" t="str">
        <x:v>Chair</x:v>
      </x:c>
      <x:c r="H2165" s="11" t="n">
        <x:v>1</x:v>
      </x:c>
      <x:c r="I2165" s="19" t="n">
        <x:v>0</x:v>
      </x:c>
      <x:c r="J2165" s="11" t="n">
        <x:v>0</x:v>
      </x:c>
      <x:c r="K2165" s="20" t="n">
        <x:v>170</x:v>
      </x:c>
      <x:c r="L2165" s="20" t="n">
        <x:v>0</x:v>
      </x:c>
      <x:c r="M2165" s="20" t="n">
        <x:v>110</x:v>
      </x:c>
      <x:c r="N2165" s="20" t="n">
        <x:f>IF(J2165=1,0,K2165-L2165)</x:f>
        <x:v>170</x:v>
      </x:c>
      <x:c r="O2165" s="20" t="n">
        <x:f>N2165-M2165</x:f>
        <x:v>60</x:v>
      </x:c>
    </x:row>
    <x:row r="2166" ht="22" customHeight="1">
      <x:c r="A2166" s="11" t="n">
        <x:v>2162</x:v>
      </x:c>
      <x:c r="B2166" s="11" t="n">
        <x:v>1093</x:v>
      </x:c>
      <x:c r="C2166" s="18" t="n">
        <x:v>45573</x:v>
      </x:c>
      <x:c r="D2166" s="11" t="str">
        <x:v>2024-10</x:v>
      </x:c>
      <x:c r="E2166" s="11" t="str">
        <x:v>South</x:v>
      </x:c>
      <x:c r="F2166" s="11" t="str">
        <x:v>Technology</x:v>
      </x:c>
      <x:c r="G2166" s="11" t="str">
        <x:v>Keyboard</x:v>
      </x:c>
      <x:c r="H2166" s="11" t="n">
        <x:v>1</x:v>
      </x:c>
      <x:c r="I2166" s="19" t="n">
        <x:v>0.1</x:v>
      </x:c>
      <x:c r="J2166" s="11" t="n">
        <x:v>0</x:v>
      </x:c>
      <x:c r="K2166" s="20" t="n">
        <x:v>65</x:v>
      </x:c>
      <x:c r="L2166" s="20" t="n">
        <x:v>6.5</x:v>
      </x:c>
      <x:c r="M2166" s="20" t="n">
        <x:v>32</x:v>
      </x:c>
      <x:c r="N2166" s="20" t="n">
        <x:f>IF(J2166=1,0,K2166-L2166)</x:f>
        <x:v>58.5</x:v>
      </x:c>
      <x:c r="O2166" s="20" t="n">
        <x:f>N2166-M2166</x:f>
        <x:v>26.5</x:v>
      </x:c>
    </x:row>
    <x:row r="2167" ht="22" customHeight="1">
      <x:c r="A2167" s="11" t="n">
        <x:v>2163</x:v>
      </x:c>
      <x:c r="B2167" s="11" t="n">
        <x:v>1094</x:v>
      </x:c>
      <x:c r="C2167" s="18" t="n">
        <x:v>45372</x:v>
      </x:c>
      <x:c r="D2167" s="11" t="str">
        <x:v>2024-03</x:v>
      </x:c>
      <x:c r="E2167" s="11" t="str">
        <x:v>South</x:v>
      </x:c>
      <x:c r="F2167" s="11" t="str">
        <x:v>Technology</x:v>
      </x:c>
      <x:c r="G2167" s="11" t="str">
        <x:v>Keyboard</x:v>
      </x:c>
      <x:c r="H2167" s="11" t="n">
        <x:v>2</x:v>
      </x:c>
      <x:c r="I2167" s="19" t="n">
        <x:v>0.05</x:v>
      </x:c>
      <x:c r="J2167" s="11" t="n">
        <x:v>0</x:v>
      </x:c>
      <x:c r="K2167" s="20" t="n">
        <x:v>130</x:v>
      </x:c>
      <x:c r="L2167" s="20" t="n">
        <x:v>6.5</x:v>
      </x:c>
      <x:c r="M2167" s="20" t="n">
        <x:v>64</x:v>
      </x:c>
      <x:c r="N2167" s="20" t="n">
        <x:f>IF(J2167=1,0,K2167-L2167)</x:f>
        <x:v>123.5</x:v>
      </x:c>
      <x:c r="O2167" s="20" t="n">
        <x:f>N2167-M2167</x:f>
        <x:v>59.5</x:v>
      </x:c>
    </x:row>
    <x:row r="2168" ht="22" customHeight="1">
      <x:c r="A2168" s="11" t="n">
        <x:v>2164</x:v>
      </x:c>
      <x:c r="B2168" s="11" t="n">
        <x:v>1094</x:v>
      </x:c>
      <x:c r="C2168" s="18" t="n">
        <x:v>45372</x:v>
      </x:c>
      <x:c r="D2168" s="11" t="str">
        <x:v>2024-03</x:v>
      </x:c>
      <x:c r="E2168" s="11" t="str">
        <x:v>South</x:v>
      </x:c>
      <x:c r="F2168" s="11" t="str">
        <x:v>Furniture</x:v>
      </x:c>
      <x:c r="G2168" s="11" t="str">
        <x:v>Desk</x:v>
      </x:c>
      <x:c r="H2168" s="11" t="n">
        <x:v>1</x:v>
      </x:c>
      <x:c r="I2168" s="19" t="n">
        <x:v>0.25</x:v>
      </x:c>
      <x:c r="J2168" s="11" t="n">
        <x:v>0</x:v>
      </x:c>
      <x:c r="K2168" s="20" t="n">
        <x:v>280</x:v>
      </x:c>
      <x:c r="L2168" s="20" t="n">
        <x:v>70</x:v>
      </x:c>
      <x:c r="M2168" s="20" t="n">
        <x:v>190</x:v>
      </x:c>
      <x:c r="N2168" s="20" t="n">
        <x:f>IF(J2168=1,0,K2168-L2168)</x:f>
        <x:v>210</x:v>
      </x:c>
      <x:c r="O2168" s="20" t="n">
        <x:f>N2168-M2168</x:f>
        <x:v>20</x:v>
      </x:c>
    </x:row>
    <x:row r="2169" ht="22" customHeight="1">
      <x:c r="A2169" s="11" t="n">
        <x:v>2165</x:v>
      </x:c>
      <x:c r="B2169" s="11" t="n">
        <x:v>1095</x:v>
      </x:c>
      <x:c r="C2169" s="18" t="n">
        <x:v>45488</x:v>
      </x:c>
      <x:c r="D2169" s="11" t="str">
        <x:v>2024-07</x:v>
      </x:c>
      <x:c r="E2169" s="11" t="str">
        <x:v>Central</x:v>
      </x:c>
      <x:c r="F2169" s="11" t="str">
        <x:v>Office Supplies</x:v>
      </x:c>
      <x:c r="G2169" s="11" t="str">
        <x:v>Notebook pack</x:v>
      </x:c>
      <x:c r="H2169" s="11" t="n">
        <x:v>5</x:v>
      </x:c>
      <x:c r="I2169" s="19" t="n">
        <x:v>0</x:v>
      </x:c>
      <x:c r="J2169" s="11" t="n">
        <x:v>0</x:v>
      </x:c>
      <x:c r="K2169" s="20" t="n">
        <x:v>90</x:v>
      </x:c>
      <x:c r="L2169" s="20" t="n">
        <x:v>0</x:v>
      </x:c>
      <x:c r="M2169" s="20" t="n">
        <x:v>35</x:v>
      </x:c>
      <x:c r="N2169" s="20" t="n">
        <x:f>IF(J2169=1,0,K2169-L2169)</x:f>
        <x:v>90</x:v>
      </x:c>
      <x:c r="O2169" s="20" t="n">
        <x:f>N2169-M2169</x:f>
        <x:v>55</x:v>
      </x:c>
    </x:row>
    <x:row r="2170" ht="22" customHeight="1">
      <x:c r="A2170" s="11" t="n">
        <x:v>2166</x:v>
      </x:c>
      <x:c r="B2170" s="11" t="n">
        <x:v>1095</x:v>
      </x:c>
      <x:c r="C2170" s="18" t="n">
        <x:v>45488</x:v>
      </x:c>
      <x:c r="D2170" s="11" t="str">
        <x:v>2024-07</x:v>
      </x:c>
      <x:c r="E2170" s="11" t="str">
        <x:v>Central</x:v>
      </x:c>
      <x:c r="F2170" s="11" t="str">
        <x:v>Office Supplies</x:v>
      </x:c>
      <x:c r="G2170" s="11" t="str">
        <x:v>Storage box</x:v>
      </x:c>
      <x:c r="H2170" s="11" t="n">
        <x:v>1</x:v>
      </x:c>
      <x:c r="I2170" s="19" t="n">
        <x:v>0.05</x:v>
      </x:c>
      <x:c r="J2170" s="11" t="n">
        <x:v>0</x:v>
      </x:c>
      <x:c r="K2170" s="20" t="n">
        <x:v>26</x:v>
      </x:c>
      <x:c r="L2170" s="20" t="n">
        <x:v>1.3</x:v>
      </x:c>
      <x:c r="M2170" s="20" t="n">
        <x:v>12</x:v>
      </x:c>
      <x:c r="N2170" s="20" t="n">
        <x:f>IF(J2170=1,0,K2170-L2170)</x:f>
        <x:v>24.7</x:v>
      </x:c>
      <x:c r="O2170" s="20" t="n">
        <x:f>N2170-M2170</x:f>
        <x:v>12.7</x:v>
      </x:c>
    </x:row>
    <x:row r="2171" ht="22" customHeight="1">
      <x:c r="A2171" s="11" t="n">
        <x:v>2167</x:v>
      </x:c>
      <x:c r="B2171" s="11" t="n">
        <x:v>1096</x:v>
      </x:c>
      <x:c r="C2171" s="18" t="n">
        <x:v>45512</x:v>
      </x:c>
      <x:c r="D2171" s="11" t="str">
        <x:v>2024-08</x:v>
      </x:c>
      <x:c r="E2171" s="11" t="str">
        <x:v>East</x:v>
      </x:c>
      <x:c r="F2171" s="11" t="str">
        <x:v>Office Supplies</x:v>
      </x:c>
      <x:c r="G2171" s="11" t="str">
        <x:v>Storage box</x:v>
      </x:c>
      <x:c r="H2171" s="11" t="n">
        <x:v>3</x:v>
      </x:c>
      <x:c r="I2171" s="19" t="n">
        <x:v>0.15</x:v>
      </x:c>
      <x:c r="J2171" s="11" t="n">
        <x:v>0</x:v>
      </x:c>
      <x:c r="K2171" s="20" t="n">
        <x:v>78</x:v>
      </x:c>
      <x:c r="L2171" s="20" t="n">
        <x:v>11.7</x:v>
      </x:c>
      <x:c r="M2171" s="20" t="n">
        <x:v>36</x:v>
      </x:c>
      <x:c r="N2171" s="20" t="n">
        <x:f>IF(J2171=1,0,K2171-L2171)</x:f>
        <x:v>66.3</x:v>
      </x:c>
      <x:c r="O2171" s="20" t="n">
        <x:f>N2171-M2171</x:f>
        <x:v>30.299999999999997</x:v>
      </x:c>
    </x:row>
    <x:row r="2172" ht="22" customHeight="1">
      <x:c r="A2172" s="11" t="n">
        <x:v>2168</x:v>
      </x:c>
      <x:c r="B2172" s="11" t="n">
        <x:v>1096</x:v>
      </x:c>
      <x:c r="C2172" s="18" t="n">
        <x:v>45512</x:v>
      </x:c>
      <x:c r="D2172" s="11" t="str">
        <x:v>2024-08</x:v>
      </x:c>
      <x:c r="E2172" s="11" t="str">
        <x:v>East</x:v>
      </x:c>
      <x:c r="F2172" s="11" t="str">
        <x:v>Furniture</x:v>
      </x:c>
      <x:c r="G2172" s="11" t="str">
        <x:v>Chair</x:v>
      </x:c>
      <x:c r="H2172" s="11" t="n">
        <x:v>5</x:v>
      </x:c>
      <x:c r="I2172" s="19" t="n">
        <x:v>0.25</x:v>
      </x:c>
      <x:c r="J2172" s="11" t="n">
        <x:v>0</x:v>
      </x:c>
      <x:c r="K2172" s="20" t="n">
        <x:v>850</x:v>
      </x:c>
      <x:c r="L2172" s="20" t="n">
        <x:v>212.5</x:v>
      </x:c>
      <x:c r="M2172" s="20" t="n">
        <x:v>550</x:v>
      </x:c>
      <x:c r="N2172" s="20" t="n">
        <x:f>IF(J2172=1,0,K2172-L2172)</x:f>
        <x:v>637.5</x:v>
      </x:c>
      <x:c r="O2172" s="20" t="n">
        <x:f>N2172-M2172</x:f>
        <x:v>87.5</x:v>
      </x:c>
    </x:row>
    <x:row r="2173" ht="22" customHeight="1">
      <x:c r="A2173" s="11" t="n">
        <x:v>2169</x:v>
      </x:c>
      <x:c r="B2173" s="11" t="n">
        <x:v>1097</x:v>
      </x:c>
      <x:c r="C2173" s="18" t="n">
        <x:v>45986</x:v>
      </x:c>
      <x:c r="D2173" s="11" t="str">
        <x:v>2025-11</x:v>
      </x:c>
      <x:c r="E2173" s="11" t="str">
        <x:v>South</x:v>
      </x:c>
      <x:c r="F2173" s="11" t="str">
        <x:v>Technology</x:v>
      </x:c>
      <x:c r="G2173" s="11" t="str">
        <x:v>Keyboard</x:v>
      </x:c>
      <x:c r="H2173" s="11" t="n">
        <x:v>2</x:v>
      </x:c>
      <x:c r="I2173" s="19" t="n">
        <x:v>0</x:v>
      </x:c>
      <x:c r="J2173" s="11" t="n">
        <x:v>0</x:v>
      </x:c>
      <x:c r="K2173" s="20" t="n">
        <x:v>130</x:v>
      </x:c>
      <x:c r="L2173" s="20" t="n">
        <x:v>0</x:v>
      </x:c>
      <x:c r="M2173" s="20" t="n">
        <x:v>64</x:v>
      </x:c>
      <x:c r="N2173" s="20" t="n">
        <x:f>IF(J2173=1,0,K2173-L2173)</x:f>
        <x:v>130</x:v>
      </x:c>
      <x:c r="O2173" s="20" t="n">
        <x:f>N2173-M2173</x:f>
        <x:v>66</x:v>
      </x:c>
    </x:row>
    <x:row r="2174" ht="22" customHeight="1">
      <x:c r="A2174" s="11" t="n">
        <x:v>2170</x:v>
      </x:c>
      <x:c r="B2174" s="11" t="n">
        <x:v>1098</x:v>
      </x:c>
      <x:c r="C2174" s="18" t="n">
        <x:v>45964</x:v>
      </x:c>
      <x:c r="D2174" s="11" t="str">
        <x:v>2025-11</x:v>
      </x:c>
      <x:c r="E2174" s="11" t="str">
        <x:v>West</x:v>
      </x:c>
      <x:c r="F2174" s="11" t="str">
        <x:v>Technology</x:v>
      </x:c>
      <x:c r="G2174" s="11" t="str">
        <x:v>Keyboard</x:v>
      </x:c>
      <x:c r="H2174" s="11" t="n">
        <x:v>3</x:v>
      </x:c>
      <x:c r="I2174" s="19" t="n">
        <x:v>0</x:v>
      </x:c>
      <x:c r="J2174" s="11" t="n">
        <x:v>0</x:v>
      </x:c>
      <x:c r="K2174" s="20" t="n">
        <x:v>195</x:v>
      </x:c>
      <x:c r="L2174" s="20" t="n">
        <x:v>0</x:v>
      </x:c>
      <x:c r="M2174" s="20" t="n">
        <x:v>96</x:v>
      </x:c>
      <x:c r="N2174" s="20" t="n">
        <x:f>IF(J2174=1,0,K2174-L2174)</x:f>
        <x:v>195</x:v>
      </x:c>
      <x:c r="O2174" s="20" t="n">
        <x:f>N2174-M2174</x:f>
        <x:v>99</x:v>
      </x:c>
    </x:row>
    <x:row r="2175" ht="22" customHeight="1">
      <x:c r="A2175" s="11" t="n">
        <x:v>2171</x:v>
      </x:c>
      <x:c r="B2175" s="11" t="n">
        <x:v>1098</x:v>
      </x:c>
      <x:c r="C2175" s="18" t="n">
        <x:v>45964</x:v>
      </x:c>
      <x:c r="D2175" s="11" t="str">
        <x:v>2025-11</x:v>
      </x:c>
      <x:c r="E2175" s="11" t="str">
        <x:v>West</x:v>
      </x:c>
      <x:c r="F2175" s="11" t="str">
        <x:v>Office Supplies</x:v>
      </x:c>
      <x:c r="G2175" s="11" t="str">
        <x:v>Notebook pack</x:v>
      </x:c>
      <x:c r="H2175" s="11" t="n">
        <x:v>1</x:v>
      </x:c>
      <x:c r="I2175" s="19" t="n">
        <x:v>0.05</x:v>
      </x:c>
      <x:c r="J2175" s="11" t="n">
        <x:v>0</x:v>
      </x:c>
      <x:c r="K2175" s="20" t="n">
        <x:v>18</x:v>
      </x:c>
      <x:c r="L2175" s="20" t="n">
        <x:v>0.9</x:v>
      </x:c>
      <x:c r="M2175" s="20" t="n">
        <x:v>7</x:v>
      </x:c>
      <x:c r="N2175" s="20" t="n">
        <x:f>IF(J2175=1,0,K2175-L2175)</x:f>
        <x:v>17.1</x:v>
      </x:c>
      <x:c r="O2175" s="20" t="n">
        <x:f>N2175-M2175</x:f>
        <x:v>10.100000000000001</x:v>
      </x:c>
    </x:row>
    <x:row r="2176" ht="22" customHeight="1">
      <x:c r="A2176" s="11" t="n">
        <x:v>2172</x:v>
      </x:c>
      <x:c r="B2176" s="11" t="n">
        <x:v>1099</x:v>
      </x:c>
      <x:c r="C2176" s="18" t="n">
        <x:v>45918</x:v>
      </x:c>
      <x:c r="D2176" s="11" t="str">
        <x:v>2025-09</x:v>
      </x:c>
      <x:c r="E2176" s="11" t="str">
        <x:v>South</x:v>
      </x:c>
      <x:c r="F2176" s="11" t="str">
        <x:v>Technology</x:v>
      </x:c>
      <x:c r="G2176" s="11" t="str">
        <x:v>Keyboard</x:v>
      </x:c>
      <x:c r="H2176" s="11" t="n">
        <x:v>5</x:v>
      </x:c>
      <x:c r="I2176" s="19" t="n">
        <x:v>0.1</x:v>
      </x:c>
      <x:c r="J2176" s="11" t="n">
        <x:v>0</x:v>
      </x:c>
      <x:c r="K2176" s="20" t="n">
        <x:v>325</x:v>
      </x:c>
      <x:c r="L2176" s="20" t="n">
        <x:v>32.5</x:v>
      </x:c>
      <x:c r="M2176" s="20" t="n">
        <x:v>160</x:v>
      </x:c>
      <x:c r="N2176" s="20" t="n">
        <x:f>IF(J2176=1,0,K2176-L2176)</x:f>
        <x:v>292.5</x:v>
      </x:c>
      <x:c r="O2176" s="20" t="n">
        <x:f>N2176-M2176</x:f>
        <x:v>132.5</x:v>
      </x:c>
    </x:row>
    <x:row r="2177" ht="22" customHeight="1">
      <x:c r="A2177" s="11" t="n">
        <x:v>2173</x:v>
      </x:c>
      <x:c r="B2177" s="11" t="n">
        <x:v>1099</x:v>
      </x:c>
      <x:c r="C2177" s="18" t="n">
        <x:v>45918</x:v>
      </x:c>
      <x:c r="D2177" s="11" t="str">
        <x:v>2025-09</x:v>
      </x:c>
      <x:c r="E2177" s="11" t="str">
        <x:v>South</x:v>
      </x:c>
      <x:c r="F2177" s="11" t="str">
        <x:v>Office Supplies</x:v>
      </x:c>
      <x:c r="G2177" s="11" t="str">
        <x:v>Notebook pack</x:v>
      </x:c>
      <x:c r="H2177" s="11" t="n">
        <x:v>5</x:v>
      </x:c>
      <x:c r="I2177" s="19" t="n">
        <x:v>0</x:v>
      </x:c>
      <x:c r="J2177" s="11" t="n">
        <x:v>0</x:v>
      </x:c>
      <x:c r="K2177" s="20" t="n">
        <x:v>90</x:v>
      </x:c>
      <x:c r="L2177" s="20" t="n">
        <x:v>0</x:v>
      </x:c>
      <x:c r="M2177" s="20" t="n">
        <x:v>35</x:v>
      </x:c>
      <x:c r="N2177" s="20" t="n">
        <x:f>IF(J2177=1,0,K2177-L2177)</x:f>
        <x:v>90</x:v>
      </x:c>
      <x:c r="O2177" s="20" t="n">
        <x:f>N2177-M2177</x:f>
        <x:v>55</x:v>
      </x:c>
    </x:row>
    <x:row r="2178" ht="22" customHeight="1">
      <x:c r="A2178" s="11" t="n">
        <x:v>2174</x:v>
      </x:c>
      <x:c r="B2178" s="11" t="n">
        <x:v>1099</x:v>
      </x:c>
      <x:c r="C2178" s="18" t="n">
        <x:v>45918</x:v>
      </x:c>
      <x:c r="D2178" s="11" t="str">
        <x:v>2025-09</x:v>
      </x:c>
      <x:c r="E2178" s="11" t="str">
        <x:v>South</x:v>
      </x:c>
      <x:c r="F2178" s="11" t="str">
        <x:v>Technology</x:v>
      </x:c>
      <x:c r="G2178" s="11" t="str">
        <x:v>Monitor</x:v>
      </x:c>
      <x:c r="H2178" s="11" t="n">
        <x:v>3</x:v>
      </x:c>
      <x:c r="I2178" s="19" t="n">
        <x:v>0.05</x:v>
      </x:c>
      <x:c r="J2178" s="11" t="n">
        <x:v>0</x:v>
      </x:c>
      <x:c r="K2178" s="20" t="n">
        <x:v>720</x:v>
      </x:c>
      <x:c r="L2178" s="20" t="n">
        <x:v>36</x:v>
      </x:c>
      <x:c r="M2178" s="20" t="n">
        <x:v>480</x:v>
      </x:c>
      <x:c r="N2178" s="20" t="n">
        <x:f>IF(J2178=1,0,K2178-L2178)</x:f>
        <x:v>684</x:v>
      </x:c>
      <x:c r="O2178" s="20" t="n">
        <x:f>N2178-M2178</x:f>
        <x:v>204</x:v>
      </x:c>
    </x:row>
    <x:row r="2179" ht="22" customHeight="1">
      <x:c r="A2179" s="11" t="n">
        <x:v>2175</x:v>
      </x:c>
      <x:c r="B2179" s="11" t="n">
        <x:v>1100</x:v>
      </x:c>
      <x:c r="C2179" s="18" t="n">
        <x:v>45447</x:v>
      </x:c>
      <x:c r="D2179" s="11" t="str">
        <x:v>2024-06</x:v>
      </x:c>
      <x:c r="E2179" s="11" t="str">
        <x:v>West</x:v>
      </x:c>
      <x:c r="F2179" s="11" t="str">
        <x:v>Office Supplies</x:v>
      </x:c>
      <x:c r="G2179" s="11" t="str">
        <x:v>Notebook pack</x:v>
      </x:c>
      <x:c r="H2179" s="11" t="n">
        <x:v>2</x:v>
      </x:c>
      <x:c r="I2179" s="19" t="n">
        <x:v>0.1</x:v>
      </x:c>
      <x:c r="J2179" s="11" t="n">
        <x:v>0</x:v>
      </x:c>
      <x:c r="K2179" s="20" t="n">
        <x:v>36</x:v>
      </x:c>
      <x:c r="L2179" s="20" t="n">
        <x:v>3.6</x:v>
      </x:c>
      <x:c r="M2179" s="20" t="n">
        <x:v>14</x:v>
      </x:c>
      <x:c r="N2179" s="20" t="n">
        <x:f>IF(J2179=1,0,K2179-L2179)</x:f>
        <x:v>32.4</x:v>
      </x:c>
      <x:c r="O2179" s="20" t="n">
        <x:f>N2179-M2179</x:f>
        <x:v>18.4</x:v>
      </x:c>
    </x:row>
    <x:row r="2180" ht="22" customHeight="1">
      <x:c r="A2180" s="11" t="n">
        <x:v>2176</x:v>
      </x:c>
      <x:c r="B2180" s="11" t="n">
        <x:v>1101</x:v>
      </x:c>
      <x:c r="C2180" s="18" t="n">
        <x:v>45325</x:v>
      </x:c>
      <x:c r="D2180" s="11" t="str">
        <x:v>2024-02</x:v>
      </x:c>
      <x:c r="E2180" s="11" t="str">
        <x:v>West</x:v>
      </x:c>
      <x:c r="F2180" s="11" t="str">
        <x:v>Technology</x:v>
      </x:c>
      <x:c r="G2180" s="11" t="str">
        <x:v>Keyboard</x:v>
      </x:c>
      <x:c r="H2180" s="11" t="n">
        <x:v>1</x:v>
      </x:c>
      <x:c r="I2180" s="19" t="n">
        <x:v>0</x:v>
      </x:c>
      <x:c r="J2180" s="11" t="n">
        <x:v>0</x:v>
      </x:c>
      <x:c r="K2180" s="20" t="n">
        <x:v>65</x:v>
      </x:c>
      <x:c r="L2180" s="20" t="n">
        <x:v>0</x:v>
      </x:c>
      <x:c r="M2180" s="20" t="n">
        <x:v>32</x:v>
      </x:c>
      <x:c r="N2180" s="20" t="n">
        <x:f>IF(J2180=1,0,K2180-L2180)</x:f>
        <x:v>65</x:v>
      </x:c>
      <x:c r="O2180" s="20" t="n">
        <x:f>N2180-M2180</x:f>
        <x:v>33</x:v>
      </x:c>
    </x:row>
    <x:row r="2181" ht="22" customHeight="1">
      <x:c r="A2181" s="11" t="n">
        <x:v>2177</x:v>
      </x:c>
      <x:c r="B2181" s="11" t="n">
        <x:v>1101</x:v>
      </x:c>
      <x:c r="C2181" s="18" t="n">
        <x:v>45325</x:v>
      </x:c>
      <x:c r="D2181" s="11" t="str">
        <x:v>2024-02</x:v>
      </x:c>
      <x:c r="E2181" s="11" t="str">
        <x:v>West</x:v>
      </x:c>
      <x:c r="F2181" s="11" t="str">
        <x:v>Office Supplies</x:v>
      </x:c>
      <x:c r="G2181" s="11" t="str">
        <x:v>Notebook pack</x:v>
      </x:c>
      <x:c r="H2181" s="11" t="n">
        <x:v>5</x:v>
      </x:c>
      <x:c r="I2181" s="19" t="n">
        <x:v>0.05</x:v>
      </x:c>
      <x:c r="J2181" s="11" t="n">
        <x:v>0</x:v>
      </x:c>
      <x:c r="K2181" s="20" t="n">
        <x:v>90</x:v>
      </x:c>
      <x:c r="L2181" s="20" t="n">
        <x:v>4.5</x:v>
      </x:c>
      <x:c r="M2181" s="20" t="n">
        <x:v>35</x:v>
      </x:c>
      <x:c r="N2181" s="20" t="n">
        <x:f>IF(J2181=1,0,K2181-L2181)</x:f>
        <x:v>85.5</x:v>
      </x:c>
      <x:c r="O2181" s="20" t="n">
        <x:f>N2181-M2181</x:f>
        <x:v>50.5</x:v>
      </x:c>
    </x:row>
    <x:row r="2182" ht="22" customHeight="1">
      <x:c r="A2182" s="11" t="n">
        <x:v>2178</x:v>
      </x:c>
      <x:c r="B2182" s="11" t="n">
        <x:v>1101</x:v>
      </x:c>
      <x:c r="C2182" s="18" t="n">
        <x:v>45325</x:v>
      </x:c>
      <x:c r="D2182" s="11" t="str">
        <x:v>2024-02</x:v>
      </x:c>
      <x:c r="E2182" s="11" t="str">
        <x:v>West</x:v>
      </x:c>
      <x:c r="F2182" s="11" t="str">
        <x:v>Technology</x:v>
      </x:c>
      <x:c r="G2182" s="11" t="str">
        <x:v>Monitor</x:v>
      </x:c>
      <x:c r="H2182" s="11" t="n">
        <x:v>3</x:v>
      </x:c>
      <x:c r="I2182" s="19" t="n">
        <x:v>0.1</x:v>
      </x:c>
      <x:c r="J2182" s="11" t="n">
        <x:v>0</x:v>
      </x:c>
      <x:c r="K2182" s="20" t="n">
        <x:v>720</x:v>
      </x:c>
      <x:c r="L2182" s="20" t="n">
        <x:v>72</x:v>
      </x:c>
      <x:c r="M2182" s="20" t="n">
        <x:v>480</x:v>
      </x:c>
      <x:c r="N2182" s="20" t="n">
        <x:f>IF(J2182=1,0,K2182-L2182)</x:f>
        <x:v>648</x:v>
      </x:c>
      <x:c r="O2182" s="20" t="n">
        <x:f>N2182-M2182</x:f>
        <x:v>168</x:v>
      </x:c>
    </x:row>
    <x:row r="2183" ht="22" customHeight="1">
      <x:c r="A2183" s="11" t="n">
        <x:v>2179</x:v>
      </x:c>
      <x:c r="B2183" s="11" t="n">
        <x:v>1102</x:v>
      </x:c>
      <x:c r="C2183" s="18" t="n">
        <x:v>45322</x:v>
      </x:c>
      <x:c r="D2183" s="11" t="str">
        <x:v>2024-01</x:v>
      </x:c>
      <x:c r="E2183" s="11" t="str">
        <x:v>South</x:v>
      </x:c>
      <x:c r="F2183" s="11" t="str">
        <x:v>Technology</x:v>
      </x:c>
      <x:c r="G2183" s="11" t="str">
        <x:v>Monitor</x:v>
      </x:c>
      <x:c r="H2183" s="11" t="n">
        <x:v>4</x:v>
      </x:c>
      <x:c r="I2183" s="19" t="n">
        <x:v>0</x:v>
      </x:c>
      <x:c r="J2183" s="11" t="n">
        <x:v>0</x:v>
      </x:c>
      <x:c r="K2183" s="20" t="n">
        <x:v>960</x:v>
      </x:c>
      <x:c r="L2183" s="20" t="n">
        <x:v>0</x:v>
      </x:c>
      <x:c r="M2183" s="20" t="n">
        <x:v>640</x:v>
      </x:c>
      <x:c r="N2183" s="20" t="n">
        <x:f>IF(J2183=1,0,K2183-L2183)</x:f>
        <x:v>960</x:v>
      </x:c>
      <x:c r="O2183" s="20" t="n">
        <x:f>N2183-M2183</x:f>
        <x:v>320</x:v>
      </x:c>
    </x:row>
    <x:row r="2184" ht="22" customHeight="1">
      <x:c r="A2184" s="11" t="n">
        <x:v>2180</x:v>
      </x:c>
      <x:c r="B2184" s="11" t="n">
        <x:v>1102</x:v>
      </x:c>
      <x:c r="C2184" s="18" t="n">
        <x:v>45322</x:v>
      </x:c>
      <x:c r="D2184" s="11" t="str">
        <x:v>2024-01</x:v>
      </x:c>
      <x:c r="E2184" s="11" t="str">
        <x:v>South</x:v>
      </x:c>
      <x:c r="F2184" s="11" t="str">
        <x:v>Office Supplies</x:v>
      </x:c>
      <x:c r="G2184" s="11" t="str">
        <x:v>Notebook pack</x:v>
      </x:c>
      <x:c r="H2184" s="11" t="n">
        <x:v>3</x:v>
      </x:c>
      <x:c r="I2184" s="19" t="n">
        <x:v>0.15</x:v>
      </x:c>
      <x:c r="J2184" s="11" t="n">
        <x:v>0</x:v>
      </x:c>
      <x:c r="K2184" s="20" t="n">
        <x:v>54</x:v>
      </x:c>
      <x:c r="L2184" s="20" t="n">
        <x:v>8.1</x:v>
      </x:c>
      <x:c r="M2184" s="20" t="n">
        <x:v>21</x:v>
      </x:c>
      <x:c r="N2184" s="20" t="n">
        <x:f>IF(J2184=1,0,K2184-L2184)</x:f>
        <x:v>45.9</x:v>
      </x:c>
      <x:c r="O2184" s="20" t="n">
        <x:f>N2184-M2184</x:f>
        <x:v>24.9</x:v>
      </x:c>
    </x:row>
    <x:row r="2185" ht="22" customHeight="1">
      <x:c r="A2185" s="11" t="n">
        <x:v>2181</x:v>
      </x:c>
      <x:c r="B2185" s="11" t="n">
        <x:v>1102</x:v>
      </x:c>
      <x:c r="C2185" s="18" t="n">
        <x:v>45322</x:v>
      </x:c>
      <x:c r="D2185" s="11" t="str">
        <x:v>2024-01</x:v>
      </x:c>
      <x:c r="E2185" s="11" t="str">
        <x:v>South</x:v>
      </x:c>
      <x:c r="F2185" s="11" t="str">
        <x:v>Technology</x:v>
      </x:c>
      <x:c r="G2185" s="11" t="str">
        <x:v>Keyboard</x:v>
      </x:c>
      <x:c r="H2185" s="11" t="n">
        <x:v>2</x:v>
      </x:c>
      <x:c r="I2185" s="19" t="n">
        <x:v>0.1</x:v>
      </x:c>
      <x:c r="J2185" s="11" t="n">
        <x:v>0</x:v>
      </x:c>
      <x:c r="K2185" s="20" t="n">
        <x:v>130</x:v>
      </x:c>
      <x:c r="L2185" s="20" t="n">
        <x:v>13</x:v>
      </x:c>
      <x:c r="M2185" s="20" t="n">
        <x:v>64</x:v>
      </x:c>
      <x:c r="N2185" s="20" t="n">
        <x:f>IF(J2185=1,0,K2185-L2185)</x:f>
        <x:v>117</x:v>
      </x:c>
      <x:c r="O2185" s="20" t="n">
        <x:f>N2185-M2185</x:f>
        <x:v>53</x:v>
      </x:c>
    </x:row>
    <x:row r="2186" ht="22" customHeight="1">
      <x:c r="A2186" s="11" t="n">
        <x:v>2182</x:v>
      </x:c>
      <x:c r="B2186" s="11" t="n">
        <x:v>1103</x:v>
      </x:c>
      <x:c r="C2186" s="18" t="n">
        <x:v>45426</x:v>
      </x:c>
      <x:c r="D2186" s="11" t="str">
        <x:v>2024-05</x:v>
      </x:c>
      <x:c r="E2186" s="11" t="str">
        <x:v>South</x:v>
      </x:c>
      <x:c r="F2186" s="11" t="str">
        <x:v>Technology</x:v>
      </x:c>
      <x:c r="G2186" s="11" t="str">
        <x:v>Keyboard</x:v>
      </x:c>
      <x:c r="H2186" s="11" t="n">
        <x:v>2</x:v>
      </x:c>
      <x:c r="I2186" s="19" t="n">
        <x:v>0</x:v>
      </x:c>
      <x:c r="J2186" s="11" t="n">
        <x:v>0</x:v>
      </x:c>
      <x:c r="K2186" s="20" t="n">
        <x:v>130</x:v>
      </x:c>
      <x:c r="L2186" s="20" t="n">
        <x:v>0</x:v>
      </x:c>
      <x:c r="M2186" s="20" t="n">
        <x:v>64</x:v>
      </x:c>
      <x:c r="N2186" s="20" t="n">
        <x:f>IF(J2186=1,0,K2186-L2186)</x:f>
        <x:v>130</x:v>
      </x:c>
      <x:c r="O2186" s="20" t="n">
        <x:f>N2186-M2186</x:f>
        <x:v>66</x:v>
      </x:c>
    </x:row>
    <x:row r="2187" ht="22" customHeight="1">
      <x:c r="A2187" s="11" t="n">
        <x:v>2183</x:v>
      </x:c>
      <x:c r="B2187" s="11" t="n">
        <x:v>1104</x:v>
      </x:c>
      <x:c r="C2187" s="18" t="n">
        <x:v>45876</x:v>
      </x:c>
      <x:c r="D2187" s="11" t="str">
        <x:v>2025-08</x:v>
      </x:c>
      <x:c r="E2187" s="11" t="str">
        <x:v>East</x:v>
      </x:c>
      <x:c r="F2187" s="11" t="str">
        <x:v>Office Supplies</x:v>
      </x:c>
      <x:c r="G2187" s="11" t="str">
        <x:v>Storage box</x:v>
      </x:c>
      <x:c r="H2187" s="11" t="n">
        <x:v>4</x:v>
      </x:c>
      <x:c r="I2187" s="19" t="n">
        <x:v>0.15</x:v>
      </x:c>
      <x:c r="J2187" s="11" t="n">
        <x:v>0</x:v>
      </x:c>
      <x:c r="K2187" s="20" t="n">
        <x:v>104</x:v>
      </x:c>
      <x:c r="L2187" s="20" t="n">
        <x:v>15.6</x:v>
      </x:c>
      <x:c r="M2187" s="20" t="n">
        <x:v>48</x:v>
      </x:c>
      <x:c r="N2187" s="20" t="n">
        <x:f>IF(J2187=1,0,K2187-L2187)</x:f>
        <x:v>88.4</x:v>
      </x:c>
      <x:c r="O2187" s="20" t="n">
        <x:f>N2187-M2187</x:f>
        <x:v>40.400000000000006</x:v>
      </x:c>
    </x:row>
    <x:row r="2188" ht="22" customHeight="1">
      <x:c r="A2188" s="11" t="n">
        <x:v>2184</x:v>
      </x:c>
      <x:c r="B2188" s="11" t="n">
        <x:v>1105</x:v>
      </x:c>
      <x:c r="C2188" s="18" t="n">
        <x:v>45514</x:v>
      </x:c>
      <x:c r="D2188" s="11" t="str">
        <x:v>2024-08</x:v>
      </x:c>
      <x:c r="E2188" s="11" t="str">
        <x:v>South</x:v>
      </x:c>
      <x:c r="F2188" s="11" t="str">
        <x:v>Technology</x:v>
      </x:c>
      <x:c r="G2188" s="11" t="str">
        <x:v>Monitor</x:v>
      </x:c>
      <x:c r="H2188" s="11" t="n">
        <x:v>3</x:v>
      </x:c>
      <x:c r="I2188" s="19" t="n">
        <x:v>0.15</x:v>
      </x:c>
      <x:c r="J2188" s="11" t="n">
        <x:v>0</x:v>
      </x:c>
      <x:c r="K2188" s="20" t="n">
        <x:v>720</x:v>
      </x:c>
      <x:c r="L2188" s="20" t="n">
        <x:v>108</x:v>
      </x:c>
      <x:c r="M2188" s="20" t="n">
        <x:v>480</x:v>
      </x:c>
      <x:c r="N2188" s="20" t="n">
        <x:f>IF(J2188=1,0,K2188-L2188)</x:f>
        <x:v>612</x:v>
      </x:c>
      <x:c r="O2188" s="20" t="n">
        <x:f>N2188-M2188</x:f>
        <x:v>132</x:v>
      </x:c>
    </x:row>
    <x:row r="2189" ht="22" customHeight="1">
      <x:c r="A2189" s="11" t="n">
        <x:v>2185</x:v>
      </x:c>
      <x:c r="B2189" s="11" t="n">
        <x:v>1105</x:v>
      </x:c>
      <x:c r="C2189" s="18" t="n">
        <x:v>45514</x:v>
      </x:c>
      <x:c r="D2189" s="11" t="str">
        <x:v>2024-08</x:v>
      </x:c>
      <x:c r="E2189" s="11" t="str">
        <x:v>South</x:v>
      </x:c>
      <x:c r="F2189" s="11" t="str">
        <x:v>Furniture</x:v>
      </x:c>
      <x:c r="G2189" s="11" t="str">
        <x:v>Desk</x:v>
      </x:c>
      <x:c r="H2189" s="11" t="n">
        <x:v>4</x:v>
      </x:c>
      <x:c r="I2189" s="19" t="n">
        <x:v>0.05</x:v>
      </x:c>
      <x:c r="J2189" s="11" t="n">
        <x:v>0</x:v>
      </x:c>
      <x:c r="K2189" s="20" t="n">
        <x:v>1120</x:v>
      </x:c>
      <x:c r="L2189" s="20" t="n">
        <x:v>56</x:v>
      </x:c>
      <x:c r="M2189" s="20" t="n">
        <x:v>760</x:v>
      </x:c>
      <x:c r="N2189" s="20" t="n">
        <x:f>IF(J2189=1,0,K2189-L2189)</x:f>
        <x:v>1064</x:v>
      </x:c>
      <x:c r="O2189" s="20" t="n">
        <x:f>N2189-M2189</x:f>
        <x:v>304</x:v>
      </x:c>
    </x:row>
    <x:row r="2190" ht="22" customHeight="1">
      <x:c r="A2190" s="11" t="n">
        <x:v>2186</x:v>
      </x:c>
      <x:c r="B2190" s="11" t="n">
        <x:v>1106</x:v>
      </x:c>
      <x:c r="C2190" s="18" t="n">
        <x:v>45798</x:v>
      </x:c>
      <x:c r="D2190" s="11" t="str">
        <x:v>2025-05</x:v>
      </x:c>
      <x:c r="E2190" s="11" t="str">
        <x:v>Central</x:v>
      </x:c>
      <x:c r="F2190" s="11" t="str">
        <x:v>Technology</x:v>
      </x:c>
      <x:c r="G2190" s="11" t="str">
        <x:v>Keyboard</x:v>
      </x:c>
      <x:c r="H2190" s="11" t="n">
        <x:v>2</x:v>
      </x:c>
      <x:c r="I2190" s="19" t="n">
        <x:v>0.1</x:v>
      </x:c>
      <x:c r="J2190" s="11" t="n">
        <x:v>0</x:v>
      </x:c>
      <x:c r="K2190" s="20" t="n">
        <x:v>130</x:v>
      </x:c>
      <x:c r="L2190" s="20" t="n">
        <x:v>13</x:v>
      </x:c>
      <x:c r="M2190" s="20" t="n">
        <x:v>64</x:v>
      </x:c>
      <x:c r="N2190" s="20" t="n">
        <x:f>IF(J2190=1,0,K2190-L2190)</x:f>
        <x:v>117</x:v>
      </x:c>
      <x:c r="O2190" s="20" t="n">
        <x:f>N2190-M2190</x:f>
        <x:v>53</x:v>
      </x:c>
    </x:row>
    <x:row r="2191" ht="22" customHeight="1">
      <x:c r="A2191" s="11" t="n">
        <x:v>2187</x:v>
      </x:c>
      <x:c r="B2191" s="11" t="n">
        <x:v>1106</x:v>
      </x:c>
      <x:c r="C2191" s="18" t="n">
        <x:v>45798</x:v>
      </x:c>
      <x:c r="D2191" s="11" t="str">
        <x:v>2025-05</x:v>
      </x:c>
      <x:c r="E2191" s="11" t="str">
        <x:v>Central</x:v>
      </x:c>
      <x:c r="F2191" s="11" t="str">
        <x:v>Furniture</x:v>
      </x:c>
      <x:c r="G2191" s="11" t="str">
        <x:v>Chair</x:v>
      </x:c>
      <x:c r="H2191" s="11" t="n">
        <x:v>5</x:v>
      </x:c>
      <x:c r="I2191" s="19" t="n">
        <x:v>0.15</x:v>
      </x:c>
      <x:c r="J2191" s="11" t="n">
        <x:v>0</x:v>
      </x:c>
      <x:c r="K2191" s="20" t="n">
        <x:v>850</x:v>
      </x:c>
      <x:c r="L2191" s="20" t="n">
        <x:v>127.5</x:v>
      </x:c>
      <x:c r="M2191" s="20" t="n">
        <x:v>550</x:v>
      </x:c>
      <x:c r="N2191" s="20" t="n">
        <x:f>IF(J2191=1,0,K2191-L2191)</x:f>
        <x:v>722.5</x:v>
      </x:c>
      <x:c r="O2191" s="20" t="n">
        <x:f>N2191-M2191</x:f>
        <x:v>172.5</x:v>
      </x:c>
    </x:row>
    <x:row r="2192" ht="22" customHeight="1">
      <x:c r="A2192" s="11" t="n">
        <x:v>2188</x:v>
      </x:c>
      <x:c r="B2192" s="11" t="n">
        <x:v>1107</x:v>
      </x:c>
      <x:c r="C2192" s="18" t="n">
        <x:v>45963</x:v>
      </x:c>
      <x:c r="D2192" s="11" t="str">
        <x:v>2025-11</x:v>
      </x:c>
      <x:c r="E2192" s="11" t="str">
        <x:v>Central</x:v>
      </x:c>
      <x:c r="F2192" s="11" t="str">
        <x:v>Office Supplies</x:v>
      </x:c>
      <x:c r="G2192" s="11" t="str">
        <x:v>Notebook pack</x:v>
      </x:c>
      <x:c r="H2192" s="11" t="n">
        <x:v>4</x:v>
      </x:c>
      <x:c r="I2192" s="19" t="n">
        <x:v>0.1</x:v>
      </x:c>
      <x:c r="J2192" s="11" t="n">
        <x:v>0</x:v>
      </x:c>
      <x:c r="K2192" s="20" t="n">
        <x:v>72</x:v>
      </x:c>
      <x:c r="L2192" s="20" t="n">
        <x:v>7.2</x:v>
      </x:c>
      <x:c r="M2192" s="20" t="n">
        <x:v>28</x:v>
      </x:c>
      <x:c r="N2192" s="20" t="n">
        <x:f>IF(J2192=1,0,K2192-L2192)</x:f>
        <x:v>64.8</x:v>
      </x:c>
      <x:c r="O2192" s="20" t="n">
        <x:f>N2192-M2192</x:f>
        <x:v>36.8</x:v>
      </x:c>
    </x:row>
    <x:row r="2193" ht="22" customHeight="1">
      <x:c r="A2193" s="11" t="n">
        <x:v>2189</x:v>
      </x:c>
      <x:c r="B2193" s="11" t="n">
        <x:v>1107</x:v>
      </x:c>
      <x:c r="C2193" s="18" t="n">
        <x:v>45963</x:v>
      </x:c>
      <x:c r="D2193" s="11" t="str">
        <x:v>2025-11</x:v>
      </x:c>
      <x:c r="E2193" s="11" t="str">
        <x:v>Central</x:v>
      </x:c>
      <x:c r="F2193" s="11" t="str">
        <x:v>Technology</x:v>
      </x:c>
      <x:c r="G2193" s="11" t="str">
        <x:v>Keyboard</x:v>
      </x:c>
      <x:c r="H2193" s="11" t="n">
        <x:v>1</x:v>
      </x:c>
      <x:c r="I2193" s="19" t="n">
        <x:v>0.15</x:v>
      </x:c>
      <x:c r="J2193" s="11" t="n">
        <x:v>0</x:v>
      </x:c>
      <x:c r="K2193" s="20" t="n">
        <x:v>65</x:v>
      </x:c>
      <x:c r="L2193" s="20" t="n">
        <x:v>9.75</x:v>
      </x:c>
      <x:c r="M2193" s="20" t="n">
        <x:v>32</x:v>
      </x:c>
      <x:c r="N2193" s="20" t="n">
        <x:f>IF(J2193=1,0,K2193-L2193)</x:f>
        <x:v>55.25</x:v>
      </x:c>
      <x:c r="O2193" s="20" t="n">
        <x:f>N2193-M2193</x:f>
        <x:v>23.25</x:v>
      </x:c>
    </x:row>
    <x:row r="2194" ht="22" customHeight="1">
      <x:c r="A2194" s="11" t="n">
        <x:v>2190</x:v>
      </x:c>
      <x:c r="B2194" s="11" t="n">
        <x:v>1108</x:v>
      </x:c>
      <x:c r="C2194" s="18" t="n">
        <x:v>45916</x:v>
      </x:c>
      <x:c r="D2194" s="11" t="str">
        <x:v>2025-09</x:v>
      </x:c>
      <x:c r="E2194" s="11" t="str">
        <x:v>South</x:v>
      </x:c>
      <x:c r="F2194" s="11" t="str">
        <x:v>Office Supplies</x:v>
      </x:c>
      <x:c r="G2194" s="11" t="str">
        <x:v>Notebook pack</x:v>
      </x:c>
      <x:c r="H2194" s="11" t="n">
        <x:v>3</x:v>
      </x:c>
      <x:c r="I2194" s="19" t="n">
        <x:v>0.15</x:v>
      </x:c>
      <x:c r="J2194" s="11" t="n">
        <x:v>0</x:v>
      </x:c>
      <x:c r="K2194" s="20" t="n">
        <x:v>54</x:v>
      </x:c>
      <x:c r="L2194" s="20" t="n">
        <x:v>8.1</x:v>
      </x:c>
      <x:c r="M2194" s="20" t="n">
        <x:v>21</x:v>
      </x:c>
      <x:c r="N2194" s="20" t="n">
        <x:f>IF(J2194=1,0,K2194-L2194)</x:f>
        <x:v>45.9</x:v>
      </x:c>
      <x:c r="O2194" s="20" t="n">
        <x:f>N2194-M2194</x:f>
        <x:v>24.9</x:v>
      </x:c>
    </x:row>
    <x:row r="2195" ht="22" customHeight="1">
      <x:c r="A2195" s="11" t="n">
        <x:v>2191</x:v>
      </x:c>
      <x:c r="B2195" s="11" t="n">
        <x:v>1108</x:v>
      </x:c>
      <x:c r="C2195" s="18" t="n">
        <x:v>45916</x:v>
      </x:c>
      <x:c r="D2195" s="11" t="str">
        <x:v>2025-09</x:v>
      </x:c>
      <x:c r="E2195" s="11" t="str">
        <x:v>South</x:v>
      </x:c>
      <x:c r="F2195" s="11" t="str">
        <x:v>Technology</x:v>
      </x:c>
      <x:c r="G2195" s="11" t="str">
        <x:v>Keyboard</x:v>
      </x:c>
      <x:c r="H2195" s="11" t="n">
        <x:v>5</x:v>
      </x:c>
      <x:c r="I2195" s="19" t="n">
        <x:v>0.1</x:v>
      </x:c>
      <x:c r="J2195" s="11" t="n">
        <x:v>0</x:v>
      </x:c>
      <x:c r="K2195" s="20" t="n">
        <x:v>325</x:v>
      </x:c>
      <x:c r="L2195" s="20" t="n">
        <x:v>32.5</x:v>
      </x:c>
      <x:c r="M2195" s="20" t="n">
        <x:v>160</x:v>
      </x:c>
      <x:c r="N2195" s="20" t="n">
        <x:f>IF(J2195=1,0,K2195-L2195)</x:f>
        <x:v>292.5</x:v>
      </x:c>
      <x:c r="O2195" s="20" t="n">
        <x:f>N2195-M2195</x:f>
        <x:v>132.5</x:v>
      </x:c>
    </x:row>
    <x:row r="2196" ht="22" customHeight="1">
      <x:c r="A2196" s="11" t="n">
        <x:v>2192</x:v>
      </x:c>
      <x:c r="B2196" s="11" t="n">
        <x:v>1108</x:v>
      </x:c>
      <x:c r="C2196" s="18" t="n">
        <x:v>45916</x:v>
      </x:c>
      <x:c r="D2196" s="11" t="str">
        <x:v>2025-09</x:v>
      </x:c>
      <x:c r="E2196" s="11" t="str">
        <x:v>South</x:v>
      </x:c>
      <x:c r="F2196" s="11" t="str">
        <x:v>Furniture</x:v>
      </x:c>
      <x:c r="G2196" s="11" t="str">
        <x:v>Desk</x:v>
      </x:c>
      <x:c r="H2196" s="11" t="n">
        <x:v>3</x:v>
      </x:c>
      <x:c r="I2196" s="19" t="n">
        <x:v>0</x:v>
      </x:c>
      <x:c r="J2196" s="11" t="n">
        <x:v>0</x:v>
      </x:c>
      <x:c r="K2196" s="20" t="n">
        <x:v>840</x:v>
      </x:c>
      <x:c r="L2196" s="20" t="n">
        <x:v>0</x:v>
      </x:c>
      <x:c r="M2196" s="20" t="n">
        <x:v>570</x:v>
      </x:c>
      <x:c r="N2196" s="20" t="n">
        <x:f>IF(J2196=1,0,K2196-L2196)</x:f>
        <x:v>840</x:v>
      </x:c>
      <x:c r="O2196" s="20" t="n">
        <x:f>N2196-M2196</x:f>
        <x:v>270</x:v>
      </x:c>
    </x:row>
    <x:row r="2197" ht="22" customHeight="1">
      <x:c r="A2197" s="11" t="n">
        <x:v>2193</x:v>
      </x:c>
      <x:c r="B2197" s="11" t="n">
        <x:v>1109</x:v>
      </x:c>
      <x:c r="C2197" s="18" t="n">
        <x:v>45961</x:v>
      </x:c>
      <x:c r="D2197" s="11" t="str">
        <x:v>2025-10</x:v>
      </x:c>
      <x:c r="E2197" s="11" t="str">
        <x:v>South</x:v>
      </x:c>
      <x:c r="F2197" s="11" t="str">
        <x:v>Technology</x:v>
      </x:c>
      <x:c r="G2197" s="11" t="str">
        <x:v>Keyboard</x:v>
      </x:c>
      <x:c r="H2197" s="11" t="n">
        <x:v>3</x:v>
      </x:c>
      <x:c r="I2197" s="19" t="n">
        <x:v>0</x:v>
      </x:c>
      <x:c r="J2197" s="11" t="n">
        <x:v>0</x:v>
      </x:c>
      <x:c r="K2197" s="20" t="n">
        <x:v>195</x:v>
      </x:c>
      <x:c r="L2197" s="20" t="n">
        <x:v>0</x:v>
      </x:c>
      <x:c r="M2197" s="20" t="n">
        <x:v>96</x:v>
      </x:c>
      <x:c r="N2197" s="20" t="n">
        <x:f>IF(J2197=1,0,K2197-L2197)</x:f>
        <x:v>195</x:v>
      </x:c>
      <x:c r="O2197" s="20" t="n">
        <x:f>N2197-M2197</x:f>
        <x:v>99</x:v>
      </x:c>
    </x:row>
    <x:row r="2198" ht="22" customHeight="1">
      <x:c r="A2198" s="11" t="n">
        <x:v>2194</x:v>
      </x:c>
      <x:c r="B2198" s="11" t="n">
        <x:v>1110</x:v>
      </x:c>
      <x:c r="C2198" s="18" t="n">
        <x:v>46021</x:v>
      </x:c>
      <x:c r="D2198" s="11" t="str">
        <x:v>2025-12</x:v>
      </x:c>
      <x:c r="E2198" s="11" t="str">
        <x:v>Central</x:v>
      </x:c>
      <x:c r="F2198" s="11" t="str">
        <x:v>Technology</x:v>
      </x:c>
      <x:c r="G2198" s="11" t="str">
        <x:v>Monitor</x:v>
      </x:c>
      <x:c r="H2198" s="11" t="n">
        <x:v>1</x:v>
      </x:c>
      <x:c r="I2198" s="19" t="n">
        <x:v>0</x:v>
      </x:c>
      <x:c r="J2198" s="11" t="n">
        <x:v>0</x:v>
      </x:c>
      <x:c r="K2198" s="20" t="n">
        <x:v>240</x:v>
      </x:c>
      <x:c r="L2198" s="20" t="n">
        <x:v>0</x:v>
      </x:c>
      <x:c r="M2198" s="20" t="n">
        <x:v>160</x:v>
      </x:c>
      <x:c r="N2198" s="20" t="n">
        <x:f>IF(J2198=1,0,K2198-L2198)</x:f>
        <x:v>240</x:v>
      </x:c>
      <x:c r="O2198" s="20" t="n">
        <x:f>N2198-M2198</x:f>
        <x:v>80</x:v>
      </x:c>
    </x:row>
    <x:row r="2199" ht="22" customHeight="1">
      <x:c r="A2199" s="11" t="n">
        <x:v>2195</x:v>
      </x:c>
      <x:c r="B2199" s="11" t="n">
        <x:v>1111</x:v>
      </x:c>
      <x:c r="C2199" s="18" t="n">
        <x:v>45764</x:v>
      </x:c>
      <x:c r="D2199" s="11" t="str">
        <x:v>2025-04</x:v>
      </x:c>
      <x:c r="E2199" s="11" t="str">
        <x:v>East</x:v>
      </x:c>
      <x:c r="F2199" s="11" t="str">
        <x:v>Office Supplies</x:v>
      </x:c>
      <x:c r="G2199" s="11" t="str">
        <x:v>Notebook pack</x:v>
      </x:c>
      <x:c r="H2199" s="11" t="n">
        <x:v>2</x:v>
      </x:c>
      <x:c r="I2199" s="19" t="n">
        <x:v>0.1</x:v>
      </x:c>
      <x:c r="J2199" s="11" t="n">
        <x:v>0</x:v>
      </x:c>
      <x:c r="K2199" s="20" t="n">
        <x:v>36</x:v>
      </x:c>
      <x:c r="L2199" s="20" t="n">
        <x:v>3.6</x:v>
      </x:c>
      <x:c r="M2199" s="20" t="n">
        <x:v>14</x:v>
      </x:c>
      <x:c r="N2199" s="20" t="n">
        <x:f>IF(J2199=1,0,K2199-L2199)</x:f>
        <x:v>32.4</x:v>
      </x:c>
      <x:c r="O2199" s="20" t="n">
        <x:f>N2199-M2199</x:f>
        <x:v>18.4</x:v>
      </x:c>
    </x:row>
    <x:row r="2200" ht="22" customHeight="1">
      <x:c r="A2200" s="11" t="n">
        <x:v>2196</x:v>
      </x:c>
      <x:c r="B2200" s="11" t="n">
        <x:v>1111</x:v>
      </x:c>
      <x:c r="C2200" s="18" t="n">
        <x:v>45764</x:v>
      </x:c>
      <x:c r="D2200" s="11" t="str">
        <x:v>2025-04</x:v>
      </x:c>
      <x:c r="E2200" s="11" t="str">
        <x:v>East</x:v>
      </x:c>
      <x:c r="F2200" s="11" t="str">
        <x:v>Technology</x:v>
      </x:c>
      <x:c r="G2200" s="11" t="str">
        <x:v>Keyboard</x:v>
      </x:c>
      <x:c r="H2200" s="11" t="n">
        <x:v>1</x:v>
      </x:c>
      <x:c r="I2200" s="19" t="n">
        <x:v>0.15</x:v>
      </x:c>
      <x:c r="J2200" s="11" t="n">
        <x:v>0</x:v>
      </x:c>
      <x:c r="K2200" s="20" t="n">
        <x:v>65</x:v>
      </x:c>
      <x:c r="L2200" s="20" t="n">
        <x:v>9.75</x:v>
      </x:c>
      <x:c r="M2200" s="20" t="n">
        <x:v>32</x:v>
      </x:c>
      <x:c r="N2200" s="20" t="n">
        <x:f>IF(J2200=1,0,K2200-L2200)</x:f>
        <x:v>55.25</x:v>
      </x:c>
      <x:c r="O2200" s="20" t="n">
        <x:f>N2200-M2200</x:f>
        <x:v>23.25</x:v>
      </x:c>
    </x:row>
    <x:row r="2201" ht="22" customHeight="1">
      <x:c r="A2201" s="11" t="n">
        <x:v>2197</x:v>
      </x:c>
      <x:c r="B2201" s="11" t="n">
        <x:v>1111</x:v>
      </x:c>
      <x:c r="C2201" s="18" t="n">
        <x:v>45764</x:v>
      </x:c>
      <x:c r="D2201" s="11" t="str">
        <x:v>2025-04</x:v>
      </x:c>
      <x:c r="E2201" s="11" t="str">
        <x:v>East</x:v>
      </x:c>
      <x:c r="F2201" s="11" t="str">
        <x:v>Furniture</x:v>
      </x:c>
      <x:c r="G2201" s="11" t="str">
        <x:v>Chair</x:v>
      </x:c>
      <x:c r="H2201" s="11" t="n">
        <x:v>2</x:v>
      </x:c>
      <x:c r="I2201" s="19" t="n">
        <x:v>0.05</x:v>
      </x:c>
      <x:c r="J2201" s="11" t="n">
        <x:v>0</x:v>
      </x:c>
      <x:c r="K2201" s="20" t="n">
        <x:v>340</x:v>
      </x:c>
      <x:c r="L2201" s="20" t="n">
        <x:v>17</x:v>
      </x:c>
      <x:c r="M2201" s="20" t="n">
        <x:v>220</x:v>
      </x:c>
      <x:c r="N2201" s="20" t="n">
        <x:f>IF(J2201=1,0,K2201-L2201)</x:f>
        <x:v>323</x:v>
      </x:c>
      <x:c r="O2201" s="20" t="n">
        <x:f>N2201-M2201</x:f>
        <x:v>103</x:v>
      </x:c>
    </x:row>
    <x:row r="2202" ht="22" customHeight="1">
      <x:c r="A2202" s="11" t="n">
        <x:v>2198</x:v>
      </x:c>
      <x:c r="B2202" s="11" t="n">
        <x:v>1112</x:v>
      </x:c>
      <x:c r="C2202" s="18" t="n">
        <x:v>45363</x:v>
      </x:c>
      <x:c r="D2202" s="11" t="str">
        <x:v>2024-03</x:v>
      </x:c>
      <x:c r="E2202" s="11" t="str">
        <x:v>Central</x:v>
      </x:c>
      <x:c r="F2202" s="11" t="str">
        <x:v>Office Supplies</x:v>
      </x:c>
      <x:c r="G2202" s="11" t="str">
        <x:v>Storage box</x:v>
      </x:c>
      <x:c r="H2202" s="11" t="n">
        <x:v>4</x:v>
      </x:c>
      <x:c r="I2202" s="19" t="n">
        <x:v>0</x:v>
      </x:c>
      <x:c r="J2202" s="11" t="n">
        <x:v>0</x:v>
      </x:c>
      <x:c r="K2202" s="20" t="n">
        <x:v>104</x:v>
      </x:c>
      <x:c r="L2202" s="20" t="n">
        <x:v>0</x:v>
      </x:c>
      <x:c r="M2202" s="20" t="n">
        <x:v>48</x:v>
      </x:c>
      <x:c r="N2202" s="20" t="n">
        <x:f>IF(J2202=1,0,K2202-L2202)</x:f>
        <x:v>104</x:v>
      </x:c>
      <x:c r="O2202" s="20" t="n">
        <x:f>N2202-M2202</x:f>
        <x:v>56</x:v>
      </x:c>
    </x:row>
    <x:row r="2203" ht="22" customHeight="1">
      <x:c r="A2203" s="11" t="n">
        <x:v>2199</x:v>
      </x:c>
      <x:c r="B2203" s="11" t="n">
        <x:v>1112</x:v>
      </x:c>
      <x:c r="C2203" s="18" t="n">
        <x:v>45363</x:v>
      </x:c>
      <x:c r="D2203" s="11" t="str">
        <x:v>2024-03</x:v>
      </x:c>
      <x:c r="E2203" s="11" t="str">
        <x:v>Central</x:v>
      </x:c>
      <x:c r="F2203" s="11" t="str">
        <x:v>Technology</x:v>
      </x:c>
      <x:c r="G2203" s="11" t="str">
        <x:v>Keyboard</x:v>
      </x:c>
      <x:c r="H2203" s="11" t="n">
        <x:v>3</x:v>
      </x:c>
      <x:c r="I2203" s="19" t="n">
        <x:v>0.15</x:v>
      </x:c>
      <x:c r="J2203" s="11" t="n">
        <x:v>0</x:v>
      </x:c>
      <x:c r="K2203" s="20" t="n">
        <x:v>195</x:v>
      </x:c>
      <x:c r="L2203" s="20" t="n">
        <x:v>29.25</x:v>
      </x:c>
      <x:c r="M2203" s="20" t="n">
        <x:v>96</x:v>
      </x:c>
      <x:c r="N2203" s="20" t="n">
        <x:f>IF(J2203=1,0,K2203-L2203)</x:f>
        <x:v>165.75</x:v>
      </x:c>
      <x:c r="O2203" s="20" t="n">
        <x:f>N2203-M2203</x:f>
        <x:v>69.75</x:v>
      </x:c>
    </x:row>
    <x:row r="2204" ht="22" customHeight="1">
      <x:c r="A2204" s="11" t="n">
        <x:v>2200</x:v>
      </x:c>
      <x:c r="B2204" s="11" t="n">
        <x:v>1112</x:v>
      </x:c>
      <x:c r="C2204" s="18" t="n">
        <x:v>45363</x:v>
      </x:c>
      <x:c r="D2204" s="11" t="str">
        <x:v>2024-03</x:v>
      </x:c>
      <x:c r="E2204" s="11" t="str">
        <x:v>Central</x:v>
      </x:c>
      <x:c r="F2204" s="11" t="str">
        <x:v>Office Supplies</x:v>
      </x:c>
      <x:c r="G2204" s="11" t="str">
        <x:v>Notebook pack</x:v>
      </x:c>
      <x:c r="H2204" s="11" t="n">
        <x:v>5</x:v>
      </x:c>
      <x:c r="I2204" s="19" t="n">
        <x:v>0.15</x:v>
      </x:c>
      <x:c r="J2204" s="11" t="n">
        <x:v>0</x:v>
      </x:c>
      <x:c r="K2204" s="20" t="n">
        <x:v>90</x:v>
      </x:c>
      <x:c r="L2204" s="20" t="n">
        <x:v>13.5</x:v>
      </x:c>
      <x:c r="M2204" s="20" t="n">
        <x:v>35</x:v>
      </x:c>
      <x:c r="N2204" s="20" t="n">
        <x:f>IF(J2204=1,0,K2204-L2204)</x:f>
        <x:v>76.5</x:v>
      </x:c>
      <x:c r="O2204" s="20" t="n">
        <x:f>N2204-M2204</x:f>
        <x:v>41.5</x:v>
      </x:c>
    </x:row>
    <x:row r="2205" ht="22" customHeight="1">
      <x:c r="A2205" s="11" t="n">
        <x:v>2201</x:v>
      </x:c>
      <x:c r="B2205" s="11" t="n">
        <x:v>1113</x:v>
      </x:c>
      <x:c r="C2205" s="18" t="n">
        <x:v>45741</x:v>
      </x:c>
      <x:c r="D2205" s="11" t="str">
        <x:v>2025-03</x:v>
      </x:c>
      <x:c r="E2205" s="11" t="str">
        <x:v>Central</x:v>
      </x:c>
      <x:c r="F2205" s="11" t="str">
        <x:v>Technology</x:v>
      </x:c>
      <x:c r="G2205" s="11" t="str">
        <x:v>Keyboard</x:v>
      </x:c>
      <x:c r="H2205" s="11" t="n">
        <x:v>3</x:v>
      </x:c>
      <x:c r="I2205" s="19" t="n">
        <x:v>0.1</x:v>
      </x:c>
      <x:c r="J2205" s="11" t="n">
        <x:v>0</x:v>
      </x:c>
      <x:c r="K2205" s="20" t="n">
        <x:v>195</x:v>
      </x:c>
      <x:c r="L2205" s="20" t="n">
        <x:v>19.5</x:v>
      </x:c>
      <x:c r="M2205" s="20" t="n">
        <x:v>96</x:v>
      </x:c>
      <x:c r="N2205" s="20" t="n">
        <x:f>IF(J2205=1,0,K2205-L2205)</x:f>
        <x:v>175.5</x:v>
      </x:c>
      <x:c r="O2205" s="20" t="n">
        <x:f>N2205-M2205</x:f>
        <x:v>79.5</x:v>
      </x:c>
    </x:row>
    <x:row r="2206" ht="22" customHeight="1">
      <x:c r="A2206" s="11" t="n">
        <x:v>2202</x:v>
      </x:c>
      <x:c r="B2206" s="11" t="n">
        <x:v>1113</x:v>
      </x:c>
      <x:c r="C2206" s="18" t="n">
        <x:v>45741</x:v>
      </x:c>
      <x:c r="D2206" s="11" t="str">
        <x:v>2025-03</x:v>
      </x:c>
      <x:c r="E2206" s="11" t="str">
        <x:v>Central</x:v>
      </x:c>
      <x:c r="F2206" s="11" t="str">
        <x:v>Furniture</x:v>
      </x:c>
      <x:c r="G2206" s="11" t="str">
        <x:v>Desk</x:v>
      </x:c>
      <x:c r="H2206" s="11" t="n">
        <x:v>5</x:v>
      </x:c>
      <x:c r="I2206" s="19" t="n">
        <x:v>0.35</x:v>
      </x:c>
      <x:c r="J2206" s="11" t="n">
        <x:v>0</x:v>
      </x:c>
      <x:c r="K2206" s="20" t="n">
        <x:v>1400</x:v>
      </x:c>
      <x:c r="L2206" s="20" t="n">
        <x:v>490</x:v>
      </x:c>
      <x:c r="M2206" s="20" t="n">
        <x:v>950</x:v>
      </x:c>
      <x:c r="N2206" s="20" t="n">
        <x:f>IF(J2206=1,0,K2206-L2206)</x:f>
        <x:v>910</x:v>
      </x:c>
      <x:c r="O2206" s="20" t="n">
        <x:f>N2206-M2206</x:f>
        <x:v>-40</x:v>
      </x:c>
    </x:row>
    <x:row r="2207" ht="22" customHeight="1">
      <x:c r="A2207" s="11" t="n">
        <x:v>2203</x:v>
      </x:c>
      <x:c r="B2207" s="11" t="n">
        <x:v>1114</x:v>
      </x:c>
      <x:c r="C2207" s="18" t="n">
        <x:v>45419</x:v>
      </x:c>
      <x:c r="D2207" s="11" t="str">
        <x:v>2024-05</x:v>
      </x:c>
      <x:c r="E2207" s="11" t="str">
        <x:v>South</x:v>
      </x:c>
      <x:c r="F2207" s="11" t="str">
        <x:v>Office Supplies</x:v>
      </x:c>
      <x:c r="G2207" s="11" t="str">
        <x:v>Notebook pack</x:v>
      </x:c>
      <x:c r="H2207" s="11" t="n">
        <x:v>2</x:v>
      </x:c>
      <x:c r="I2207" s="19" t="n">
        <x:v>0.05</x:v>
      </x:c>
      <x:c r="J2207" s="11" t="n">
        <x:v>0</x:v>
      </x:c>
      <x:c r="K2207" s="20" t="n">
        <x:v>36</x:v>
      </x:c>
      <x:c r="L2207" s="20" t="n">
        <x:v>1.8</x:v>
      </x:c>
      <x:c r="M2207" s="20" t="n">
        <x:v>14</x:v>
      </x:c>
      <x:c r="N2207" s="20" t="n">
        <x:f>IF(J2207=1,0,K2207-L2207)</x:f>
        <x:v>34.2</x:v>
      </x:c>
      <x:c r="O2207" s="20" t="n">
        <x:f>N2207-M2207</x:f>
        <x:v>20.200000000000003</x:v>
      </x:c>
    </x:row>
    <x:row r="2208" ht="22" customHeight="1">
      <x:c r="A2208" s="11" t="n">
        <x:v>2204</x:v>
      </x:c>
      <x:c r="B2208" s="11" t="n">
        <x:v>1114</x:v>
      </x:c>
      <x:c r="C2208" s="18" t="n">
        <x:v>45419</x:v>
      </x:c>
      <x:c r="D2208" s="11" t="str">
        <x:v>2024-05</x:v>
      </x:c>
      <x:c r="E2208" s="11" t="str">
        <x:v>South</x:v>
      </x:c>
      <x:c r="F2208" s="11" t="str">
        <x:v>Furniture</x:v>
      </x:c>
      <x:c r="G2208" s="11" t="str">
        <x:v>Desk</x:v>
      </x:c>
      <x:c r="H2208" s="11" t="n">
        <x:v>3</x:v>
      </x:c>
      <x:c r="I2208" s="19" t="n">
        <x:v>0</x:v>
      </x:c>
      <x:c r="J2208" s="11" t="n">
        <x:v>0</x:v>
      </x:c>
      <x:c r="K2208" s="20" t="n">
        <x:v>840</x:v>
      </x:c>
      <x:c r="L2208" s="20" t="n">
        <x:v>0</x:v>
      </x:c>
      <x:c r="M2208" s="20" t="n">
        <x:v>570</x:v>
      </x:c>
      <x:c r="N2208" s="20" t="n">
        <x:f>IF(J2208=1,0,K2208-L2208)</x:f>
        <x:v>840</x:v>
      </x:c>
      <x:c r="O2208" s="20" t="n">
        <x:f>N2208-M2208</x:f>
        <x:v>270</x:v>
      </x:c>
    </x:row>
    <x:row r="2209" ht="22" customHeight="1">
      <x:c r="A2209" s="11" t="n">
        <x:v>2205</x:v>
      </x:c>
      <x:c r="B2209" s="11" t="n">
        <x:v>1115</x:v>
      </x:c>
      <x:c r="C2209" s="18" t="n">
        <x:v>45786</x:v>
      </x:c>
      <x:c r="D2209" s="11" t="str">
        <x:v>2025-05</x:v>
      </x:c>
      <x:c r="E2209" s="11" t="str">
        <x:v>Central</x:v>
      </x:c>
      <x:c r="F2209" s="11" t="str">
        <x:v>Technology</x:v>
      </x:c>
      <x:c r="G2209" s="11" t="str">
        <x:v>Monitor</x:v>
      </x:c>
      <x:c r="H2209" s="11" t="n">
        <x:v>1</x:v>
      </x:c>
      <x:c r="I2209" s="19" t="n">
        <x:v>0.1</x:v>
      </x:c>
      <x:c r="J2209" s="11" t="n">
        <x:v>0</x:v>
      </x:c>
      <x:c r="K2209" s="20" t="n">
        <x:v>240</x:v>
      </x:c>
      <x:c r="L2209" s="20" t="n">
        <x:v>24</x:v>
      </x:c>
      <x:c r="M2209" s="20" t="n">
        <x:v>160</x:v>
      </x:c>
      <x:c r="N2209" s="20" t="n">
        <x:f>IF(J2209=1,0,K2209-L2209)</x:f>
        <x:v>216</x:v>
      </x:c>
      <x:c r="O2209" s="20" t="n">
        <x:f>N2209-M2209</x:f>
        <x:v>56</x:v>
      </x:c>
    </x:row>
    <x:row r="2210" ht="22" customHeight="1">
      <x:c r="A2210" s="11" t="n">
        <x:v>2206</x:v>
      </x:c>
      <x:c r="B2210" s="11" t="n">
        <x:v>1116</x:v>
      </x:c>
      <x:c r="C2210" s="18" t="n">
        <x:v>45795</x:v>
      </x:c>
      <x:c r="D2210" s="11" t="str">
        <x:v>2025-05</x:v>
      </x:c>
      <x:c r="E2210" s="11" t="str">
        <x:v>South</x:v>
      </x:c>
      <x:c r="F2210" s="11" t="str">
        <x:v>Technology</x:v>
      </x:c>
      <x:c r="G2210" s="11" t="str">
        <x:v>Monitor</x:v>
      </x:c>
      <x:c r="H2210" s="11" t="n">
        <x:v>4</x:v>
      </x:c>
      <x:c r="I2210" s="19" t="n">
        <x:v>0.05</x:v>
      </x:c>
      <x:c r="J2210" s="11" t="n">
        <x:v>0</x:v>
      </x:c>
      <x:c r="K2210" s="20" t="n">
        <x:v>960</x:v>
      </x:c>
      <x:c r="L2210" s="20" t="n">
        <x:v>48</x:v>
      </x:c>
      <x:c r="M2210" s="20" t="n">
        <x:v>640</x:v>
      </x:c>
      <x:c r="N2210" s="20" t="n">
        <x:f>IF(J2210=1,0,K2210-L2210)</x:f>
        <x:v>912</x:v>
      </x:c>
      <x:c r="O2210" s="20" t="n">
        <x:f>N2210-M2210</x:f>
        <x:v>272</x:v>
      </x:c>
    </x:row>
    <x:row r="2211" ht="22" customHeight="1">
      <x:c r="A2211" s="11" t="n">
        <x:v>2207</x:v>
      </x:c>
      <x:c r="B2211" s="11" t="n">
        <x:v>1116</x:v>
      </x:c>
      <x:c r="C2211" s="18" t="n">
        <x:v>45795</x:v>
      </x:c>
      <x:c r="D2211" s="11" t="str">
        <x:v>2025-05</x:v>
      </x:c>
      <x:c r="E2211" s="11" t="str">
        <x:v>South</x:v>
      </x:c>
      <x:c r="F2211" s="11" t="str">
        <x:v>Office Supplies</x:v>
      </x:c>
      <x:c r="G2211" s="11" t="str">
        <x:v>Storage box</x:v>
      </x:c>
      <x:c r="H2211" s="11" t="n">
        <x:v>3</x:v>
      </x:c>
      <x:c r="I2211" s="19" t="n">
        <x:v>0.15</x:v>
      </x:c>
      <x:c r="J2211" s="11" t="n">
        <x:v>0</x:v>
      </x:c>
      <x:c r="K2211" s="20" t="n">
        <x:v>78</x:v>
      </x:c>
      <x:c r="L2211" s="20" t="n">
        <x:v>11.7</x:v>
      </x:c>
      <x:c r="M2211" s="20" t="n">
        <x:v>36</x:v>
      </x:c>
      <x:c r="N2211" s="20" t="n">
        <x:f>IF(J2211=1,0,K2211-L2211)</x:f>
        <x:v>66.3</x:v>
      </x:c>
      <x:c r="O2211" s="20" t="n">
        <x:f>N2211-M2211</x:f>
        <x:v>30.299999999999997</x:v>
      </x:c>
    </x:row>
    <x:row r="2212" ht="22" customHeight="1">
      <x:c r="A2212" s="11" t="n">
        <x:v>2208</x:v>
      </x:c>
      <x:c r="B2212" s="11" t="n">
        <x:v>1117</x:v>
      </x:c>
      <x:c r="C2212" s="18" t="n">
        <x:v>45328</x:v>
      </x:c>
      <x:c r="D2212" s="11" t="str">
        <x:v>2024-02</x:v>
      </x:c>
      <x:c r="E2212" s="11" t="str">
        <x:v>East</x:v>
      </x:c>
      <x:c r="F2212" s="11" t="str">
        <x:v>Office Supplies</x:v>
      </x:c>
      <x:c r="G2212" s="11" t="str">
        <x:v>Notebook pack</x:v>
      </x:c>
      <x:c r="H2212" s="11" t="n">
        <x:v>3</x:v>
      </x:c>
      <x:c r="I2212" s="19" t="n">
        <x:v>0</x:v>
      </x:c>
      <x:c r="J2212" s="11" t="n">
        <x:v>0</x:v>
      </x:c>
      <x:c r="K2212" s="20" t="n">
        <x:v>54</x:v>
      </x:c>
      <x:c r="L2212" s="20" t="n">
        <x:v>0</x:v>
      </x:c>
      <x:c r="M2212" s="20" t="n">
        <x:v>21</x:v>
      </x:c>
      <x:c r="N2212" s="20" t="n">
        <x:f>IF(J2212=1,0,K2212-L2212)</x:f>
        <x:v>54</x:v>
      </x:c>
      <x:c r="O2212" s="20" t="n">
        <x:f>N2212-M2212</x:f>
        <x:v>33</x:v>
      </x:c>
    </x:row>
    <x:row r="2213" ht="22" customHeight="1">
      <x:c r="A2213" s="11" t="n">
        <x:v>2209</x:v>
      </x:c>
      <x:c r="B2213" s="11" t="n">
        <x:v>1118</x:v>
      </x:c>
      <x:c r="C2213" s="18" t="n">
        <x:v>45671</x:v>
      </x:c>
      <x:c r="D2213" s="11" t="str">
        <x:v>2025-01</x:v>
      </x:c>
      <x:c r="E2213" s="11" t="str">
        <x:v>South</x:v>
      </x:c>
      <x:c r="F2213" s="11" t="str">
        <x:v>Technology</x:v>
      </x:c>
      <x:c r="G2213" s="11" t="str">
        <x:v>Monitor</x:v>
      </x:c>
      <x:c r="H2213" s="11" t="n">
        <x:v>5</x:v>
      </x:c>
      <x:c r="I2213" s="19" t="n">
        <x:v>0.05</x:v>
      </x:c>
      <x:c r="J2213" s="11" t="n">
        <x:v>0</x:v>
      </x:c>
      <x:c r="K2213" s="20" t="n">
        <x:v>1200</x:v>
      </x:c>
      <x:c r="L2213" s="20" t="n">
        <x:v>60</x:v>
      </x:c>
      <x:c r="M2213" s="20" t="n">
        <x:v>800</x:v>
      </x:c>
      <x:c r="N2213" s="20" t="n">
        <x:f>IF(J2213=1,0,K2213-L2213)</x:f>
        <x:v>1140</x:v>
      </x:c>
      <x:c r="O2213" s="20" t="n">
        <x:f>N2213-M2213</x:f>
        <x:v>340</x:v>
      </x:c>
    </x:row>
    <x:row r="2214" ht="22" customHeight="1">
      <x:c r="A2214" s="11" t="n">
        <x:v>2210</x:v>
      </x:c>
      <x:c r="B2214" s="11" t="n">
        <x:v>1118</x:v>
      </x:c>
      <x:c r="C2214" s="18" t="n">
        <x:v>45671</x:v>
      </x:c>
      <x:c r="D2214" s="11" t="str">
        <x:v>2025-01</x:v>
      </x:c>
      <x:c r="E2214" s="11" t="str">
        <x:v>South</x:v>
      </x:c>
      <x:c r="F2214" s="11" t="str">
        <x:v>Office Supplies</x:v>
      </x:c>
      <x:c r="G2214" s="11" t="str">
        <x:v>Storage box</x:v>
      </x:c>
      <x:c r="H2214" s="11" t="n">
        <x:v>4</x:v>
      </x:c>
      <x:c r="I2214" s="19" t="n">
        <x:v>0.05</x:v>
      </x:c>
      <x:c r="J2214" s="11" t="n">
        <x:v>0</x:v>
      </x:c>
      <x:c r="K2214" s="20" t="n">
        <x:v>104</x:v>
      </x:c>
      <x:c r="L2214" s="20" t="n">
        <x:v>5.2</x:v>
      </x:c>
      <x:c r="M2214" s="20" t="n">
        <x:v>48</x:v>
      </x:c>
      <x:c r="N2214" s="20" t="n">
        <x:f>IF(J2214=1,0,K2214-L2214)</x:f>
        <x:v>98.8</x:v>
      </x:c>
      <x:c r="O2214" s="20" t="n">
        <x:f>N2214-M2214</x:f>
        <x:v>50.8</x:v>
      </x:c>
    </x:row>
    <x:row r="2215" ht="22" customHeight="1">
      <x:c r="A2215" s="11" t="n">
        <x:v>2211</x:v>
      </x:c>
      <x:c r="B2215" s="11" t="n">
        <x:v>1118</x:v>
      </x:c>
      <x:c r="C2215" s="18" t="n">
        <x:v>45671</x:v>
      </x:c>
      <x:c r="D2215" s="11" t="str">
        <x:v>2025-01</x:v>
      </x:c>
      <x:c r="E2215" s="11" t="str">
        <x:v>South</x:v>
      </x:c>
      <x:c r="F2215" s="11" t="str">
        <x:v>Furniture</x:v>
      </x:c>
      <x:c r="G2215" s="11" t="str">
        <x:v>Chair</x:v>
      </x:c>
      <x:c r="H2215" s="11" t="n">
        <x:v>2</x:v>
      </x:c>
      <x:c r="I2215" s="19" t="n">
        <x:v>0</x:v>
      </x:c>
      <x:c r="J2215" s="11" t="n">
        <x:v>0</x:v>
      </x:c>
      <x:c r="K2215" s="20" t="n">
        <x:v>340</x:v>
      </x:c>
      <x:c r="L2215" s="20" t="n">
        <x:v>0</x:v>
      </x:c>
      <x:c r="M2215" s="20" t="n">
        <x:v>220</x:v>
      </x:c>
      <x:c r="N2215" s="20" t="n">
        <x:f>IF(J2215=1,0,K2215-L2215)</x:f>
        <x:v>340</x:v>
      </x:c>
      <x:c r="O2215" s="20" t="n">
        <x:f>N2215-M2215</x:f>
        <x:v>120</x:v>
      </x:c>
    </x:row>
    <x:row r="2216" ht="22" customHeight="1">
      <x:c r="A2216" s="11" t="n">
        <x:v>2212</x:v>
      </x:c>
      <x:c r="B2216" s="11" t="n">
        <x:v>1119</x:v>
      </x:c>
      <x:c r="C2216" s="18" t="n">
        <x:v>45685</x:v>
      </x:c>
      <x:c r="D2216" s="11" t="str">
        <x:v>2025-01</x:v>
      </x:c>
      <x:c r="E2216" s="11" t="str">
        <x:v>West</x:v>
      </x:c>
      <x:c r="F2216" s="11" t="str">
        <x:v>Furniture</x:v>
      </x:c>
      <x:c r="G2216" s="11" t="str">
        <x:v>Chair</x:v>
      </x:c>
      <x:c r="H2216" s="11" t="n">
        <x:v>5</x:v>
      </x:c>
      <x:c r="I2216" s="19" t="n">
        <x:v>0.1</x:v>
      </x:c>
      <x:c r="J2216" s="11" t="n">
        <x:v>0</x:v>
      </x:c>
      <x:c r="K2216" s="20" t="n">
        <x:v>850</x:v>
      </x:c>
      <x:c r="L2216" s="20" t="n">
        <x:v>85</x:v>
      </x:c>
      <x:c r="M2216" s="20" t="n">
        <x:v>550</x:v>
      </x:c>
      <x:c r="N2216" s="20" t="n">
        <x:f>IF(J2216=1,0,K2216-L2216)</x:f>
        <x:v>765</x:v>
      </x:c>
      <x:c r="O2216" s="20" t="n">
        <x:f>N2216-M2216</x:f>
        <x:v>215</x:v>
      </x:c>
    </x:row>
    <x:row r="2217" ht="22" customHeight="1">
      <x:c r="A2217" s="11" t="n">
        <x:v>2213</x:v>
      </x:c>
      <x:c r="B2217" s="11" t="n">
        <x:v>1120</x:v>
      </x:c>
      <x:c r="C2217" s="18" t="n">
        <x:v>45304</x:v>
      </x:c>
      <x:c r="D2217" s="11" t="str">
        <x:v>2024-01</x:v>
      </x:c>
      <x:c r="E2217" s="11" t="str">
        <x:v>East</x:v>
      </x:c>
      <x:c r="F2217" s="11" t="str">
        <x:v>Office Supplies</x:v>
      </x:c>
      <x:c r="G2217" s="11" t="str">
        <x:v>Notebook pack</x:v>
      </x:c>
      <x:c r="H2217" s="11" t="n">
        <x:v>4</x:v>
      </x:c>
      <x:c r="I2217" s="19" t="n">
        <x:v>0.15</x:v>
      </x:c>
      <x:c r="J2217" s="11" t="n">
        <x:v>0</x:v>
      </x:c>
      <x:c r="K2217" s="20" t="n">
        <x:v>72</x:v>
      </x:c>
      <x:c r="L2217" s="20" t="n">
        <x:v>10.8</x:v>
      </x:c>
      <x:c r="M2217" s="20" t="n">
        <x:v>28</x:v>
      </x:c>
      <x:c r="N2217" s="20" t="n">
        <x:f>IF(J2217=1,0,K2217-L2217)</x:f>
        <x:v>61.2</x:v>
      </x:c>
      <x:c r="O2217" s="20" t="n">
        <x:f>N2217-M2217</x:f>
        <x:v>33.2</x:v>
      </x:c>
    </x:row>
    <x:row r="2218" ht="22" customHeight="1">
      <x:c r="A2218" s="11" t="n">
        <x:v>2214</x:v>
      </x:c>
      <x:c r="B2218" s="11" t="n">
        <x:v>1120</x:v>
      </x:c>
      <x:c r="C2218" s="18" t="n">
        <x:v>45304</x:v>
      </x:c>
      <x:c r="D2218" s="11" t="str">
        <x:v>2024-01</x:v>
      </x:c>
      <x:c r="E2218" s="11" t="str">
        <x:v>East</x:v>
      </x:c>
      <x:c r="F2218" s="11" t="str">
        <x:v>Office Supplies</x:v>
      </x:c>
      <x:c r="G2218" s="11" t="str">
        <x:v>Storage box</x:v>
      </x:c>
      <x:c r="H2218" s="11" t="n">
        <x:v>3</x:v>
      </x:c>
      <x:c r="I2218" s="19" t="n">
        <x:v>0</x:v>
      </x:c>
      <x:c r="J2218" s="11" t="n">
        <x:v>0</x:v>
      </x:c>
      <x:c r="K2218" s="20" t="n">
        <x:v>78</x:v>
      </x:c>
      <x:c r="L2218" s="20" t="n">
        <x:v>0</x:v>
      </x:c>
      <x:c r="M2218" s="20" t="n">
        <x:v>36</x:v>
      </x:c>
      <x:c r="N2218" s="20" t="n">
        <x:f>IF(J2218=1,0,K2218-L2218)</x:f>
        <x:v>78</x:v>
      </x:c>
      <x:c r="O2218" s="20" t="n">
        <x:f>N2218-M2218</x:f>
        <x:v>42</x:v>
      </x:c>
    </x:row>
    <x:row r="2219" ht="22" customHeight="1">
      <x:c r="A2219" s="11" t="n">
        <x:v>2215</x:v>
      </x:c>
      <x:c r="B2219" s="11" t="n">
        <x:v>1120</x:v>
      </x:c>
      <x:c r="C2219" s="18" t="n">
        <x:v>45304</x:v>
      </x:c>
      <x:c r="D2219" s="11" t="str">
        <x:v>2024-01</x:v>
      </x:c>
      <x:c r="E2219" s="11" t="str">
        <x:v>East</x:v>
      </x:c>
      <x:c r="F2219" s="11" t="str">
        <x:v>Technology</x:v>
      </x:c>
      <x:c r="G2219" s="11" t="str">
        <x:v>Keyboard</x:v>
      </x:c>
      <x:c r="H2219" s="11" t="n">
        <x:v>5</x:v>
      </x:c>
      <x:c r="I2219" s="19" t="n">
        <x:v>0.05</x:v>
      </x:c>
      <x:c r="J2219" s="11" t="n">
        <x:v>0</x:v>
      </x:c>
      <x:c r="K2219" s="20" t="n">
        <x:v>325</x:v>
      </x:c>
      <x:c r="L2219" s="20" t="n">
        <x:v>16.25</x:v>
      </x:c>
      <x:c r="M2219" s="20" t="n">
        <x:v>160</x:v>
      </x:c>
      <x:c r="N2219" s="20" t="n">
        <x:f>IF(J2219=1,0,K2219-L2219)</x:f>
        <x:v>308.75</x:v>
      </x:c>
      <x:c r="O2219" s="20" t="n">
        <x:f>N2219-M2219</x:f>
        <x:v>148.75</x:v>
      </x:c>
    </x:row>
    <x:row r="2220" ht="22" customHeight="1">
      <x:c r="A2220" s="11" t="n">
        <x:v>2216</x:v>
      </x:c>
      <x:c r="B2220" s="11" t="n">
        <x:v>1121</x:v>
      </x:c>
      <x:c r="C2220" s="18" t="n">
        <x:v>45679</x:v>
      </x:c>
      <x:c r="D2220" s="11" t="str">
        <x:v>2025-01</x:v>
      </x:c>
      <x:c r="E2220" s="11" t="str">
        <x:v>Central</x:v>
      </x:c>
      <x:c r="F2220" s="11" t="str">
        <x:v>Technology</x:v>
      </x:c>
      <x:c r="G2220" s="11" t="str">
        <x:v>Keyboard</x:v>
      </x:c>
      <x:c r="H2220" s="11" t="n">
        <x:v>4</x:v>
      </x:c>
      <x:c r="I2220" s="19" t="n">
        <x:v>0</x:v>
      </x:c>
      <x:c r="J2220" s="11" t="n">
        <x:v>0</x:v>
      </x:c>
      <x:c r="K2220" s="20" t="n">
        <x:v>260</x:v>
      </x:c>
      <x:c r="L2220" s="20" t="n">
        <x:v>0</x:v>
      </x:c>
      <x:c r="M2220" s="20" t="n">
        <x:v>128</x:v>
      </x:c>
      <x:c r="N2220" s="20" t="n">
        <x:f>IF(J2220=1,0,K2220-L2220)</x:f>
        <x:v>260</x:v>
      </x:c>
      <x:c r="O2220" s="20" t="n">
        <x:f>N2220-M2220</x:f>
        <x:v>132</x:v>
      </x:c>
    </x:row>
    <x:row r="2221" ht="22" customHeight="1">
      <x:c r="A2221" s="11" t="n">
        <x:v>2217</x:v>
      </x:c>
      <x:c r="B2221" s="11" t="n">
        <x:v>1121</x:v>
      </x:c>
      <x:c r="C2221" s="18" t="n">
        <x:v>45679</x:v>
      </x:c>
      <x:c r="D2221" s="11" t="str">
        <x:v>2025-01</x:v>
      </x:c>
      <x:c r="E2221" s="11" t="str">
        <x:v>Central</x:v>
      </x:c>
      <x:c r="F2221" s="11" t="str">
        <x:v>Furniture</x:v>
      </x:c>
      <x:c r="G2221" s="11" t="str">
        <x:v>Chair</x:v>
      </x:c>
      <x:c r="H2221" s="11" t="n">
        <x:v>1</x:v>
      </x:c>
      <x:c r="I2221" s="19" t="n">
        <x:v>0.15</x:v>
      </x:c>
      <x:c r="J2221" s="11" t="n">
        <x:v>0</x:v>
      </x:c>
      <x:c r="K2221" s="20" t="n">
        <x:v>170</x:v>
      </x:c>
      <x:c r="L2221" s="20" t="n">
        <x:v>25.5</x:v>
      </x:c>
      <x:c r="M2221" s="20" t="n">
        <x:v>110</x:v>
      </x:c>
      <x:c r="N2221" s="20" t="n">
        <x:f>IF(J2221=1,0,K2221-L2221)</x:f>
        <x:v>144.5</x:v>
      </x:c>
      <x:c r="O2221" s="20" t="n">
        <x:f>N2221-M2221</x:f>
        <x:v>34.5</x:v>
      </x:c>
    </x:row>
    <x:row r="2222" ht="22" customHeight="1">
      <x:c r="A2222" s="11" t="n">
        <x:v>2218</x:v>
      </x:c>
      <x:c r="B2222" s="11" t="n">
        <x:v>1121</x:v>
      </x:c>
      <x:c r="C2222" s="18" t="n">
        <x:v>45679</x:v>
      </x:c>
      <x:c r="D2222" s="11" t="str">
        <x:v>2025-01</x:v>
      </x:c>
      <x:c r="E2222" s="11" t="str">
        <x:v>Central</x:v>
      </x:c>
      <x:c r="F2222" s="11" t="str">
        <x:v>Office Supplies</x:v>
      </x:c>
      <x:c r="G2222" s="11" t="str">
        <x:v>Storage box</x:v>
      </x:c>
      <x:c r="H2222" s="11" t="n">
        <x:v>2</x:v>
      </x:c>
      <x:c r="I2222" s="19" t="n">
        <x:v>0</x:v>
      </x:c>
      <x:c r="J2222" s="11" t="n">
        <x:v>0</x:v>
      </x:c>
      <x:c r="K2222" s="20" t="n">
        <x:v>52</x:v>
      </x:c>
      <x:c r="L2222" s="20" t="n">
        <x:v>0</x:v>
      </x:c>
      <x:c r="M2222" s="20" t="n">
        <x:v>24</x:v>
      </x:c>
      <x:c r="N2222" s="20" t="n">
        <x:f>IF(J2222=1,0,K2222-L2222)</x:f>
        <x:v>52</x:v>
      </x:c>
      <x:c r="O2222" s="20" t="n">
        <x:f>N2222-M2222</x:f>
        <x:v>28</x:v>
      </x:c>
    </x:row>
    <x:row r="2223" ht="22" customHeight="1">
      <x:c r="A2223" s="11" t="n">
        <x:v>2219</x:v>
      </x:c>
      <x:c r="B2223" s="11" t="n">
        <x:v>1122</x:v>
      </x:c>
      <x:c r="C2223" s="18" t="n">
        <x:v>45915</x:v>
      </x:c>
      <x:c r="D2223" s="11" t="str">
        <x:v>2025-09</x:v>
      </x:c>
      <x:c r="E2223" s="11" t="str">
        <x:v>South</x:v>
      </x:c>
      <x:c r="F2223" s="11" t="str">
        <x:v>Furniture</x:v>
      </x:c>
      <x:c r="G2223" s="11" t="str">
        <x:v>Chair</x:v>
      </x:c>
      <x:c r="H2223" s="11" t="n">
        <x:v>4</x:v>
      </x:c>
      <x:c r="I2223" s="19" t="n">
        <x:v>0</x:v>
      </x:c>
      <x:c r="J2223" s="11" t="n">
        <x:v>0</x:v>
      </x:c>
      <x:c r="K2223" s="20" t="n">
        <x:v>680</x:v>
      </x:c>
      <x:c r="L2223" s="20" t="n">
        <x:v>0</x:v>
      </x:c>
      <x:c r="M2223" s="20" t="n">
        <x:v>440</x:v>
      </x:c>
      <x:c r="N2223" s="20" t="n">
        <x:f>IF(J2223=1,0,K2223-L2223)</x:f>
        <x:v>680</x:v>
      </x:c>
      <x:c r="O2223" s="20" t="n">
        <x:f>N2223-M2223</x:f>
        <x:v>240</x:v>
      </x:c>
    </x:row>
    <x:row r="2224" ht="22" customHeight="1">
      <x:c r="A2224" s="11" t="n">
        <x:v>2220</x:v>
      </x:c>
      <x:c r="B2224" s="11" t="n">
        <x:v>1122</x:v>
      </x:c>
      <x:c r="C2224" s="18" t="n">
        <x:v>45915</x:v>
      </x:c>
      <x:c r="D2224" s="11" t="str">
        <x:v>2025-09</x:v>
      </x:c>
      <x:c r="E2224" s="11" t="str">
        <x:v>South</x:v>
      </x:c>
      <x:c r="F2224" s="11" t="str">
        <x:v>Technology</x:v>
      </x:c>
      <x:c r="G2224" s="11" t="str">
        <x:v>Monitor</x:v>
      </x:c>
      <x:c r="H2224" s="11" t="n">
        <x:v>5</x:v>
      </x:c>
      <x:c r="I2224" s="19" t="n">
        <x:v>0</x:v>
      </x:c>
      <x:c r="J2224" s="11" t="n">
        <x:v>0</x:v>
      </x:c>
      <x:c r="K2224" s="20" t="n">
        <x:v>1200</x:v>
      </x:c>
      <x:c r="L2224" s="20" t="n">
        <x:v>0</x:v>
      </x:c>
      <x:c r="M2224" s="20" t="n">
        <x:v>800</x:v>
      </x:c>
      <x:c r="N2224" s="20" t="n">
        <x:f>IF(J2224=1,0,K2224-L2224)</x:f>
        <x:v>1200</x:v>
      </x:c>
      <x:c r="O2224" s="20" t="n">
        <x:f>N2224-M2224</x:f>
        <x:v>400</x:v>
      </x:c>
    </x:row>
    <x:row r="2225" ht="22" customHeight="1">
      <x:c r="A2225" s="11" t="n">
        <x:v>2221</x:v>
      </x:c>
      <x:c r="B2225" s="11" t="n">
        <x:v>1122</x:v>
      </x:c>
      <x:c r="C2225" s="18" t="n">
        <x:v>45915</x:v>
      </x:c>
      <x:c r="D2225" s="11" t="str">
        <x:v>2025-09</x:v>
      </x:c>
      <x:c r="E2225" s="11" t="str">
        <x:v>South</x:v>
      </x:c>
      <x:c r="F2225" s="11" t="str">
        <x:v>Technology</x:v>
      </x:c>
      <x:c r="G2225" s="11" t="str">
        <x:v>Keyboard</x:v>
      </x:c>
      <x:c r="H2225" s="11" t="n">
        <x:v>3</x:v>
      </x:c>
      <x:c r="I2225" s="19" t="n">
        <x:v>0</x:v>
      </x:c>
      <x:c r="J2225" s="11" t="n">
        <x:v>0</x:v>
      </x:c>
      <x:c r="K2225" s="20" t="n">
        <x:v>195</x:v>
      </x:c>
      <x:c r="L2225" s="20" t="n">
        <x:v>0</x:v>
      </x:c>
      <x:c r="M2225" s="20" t="n">
        <x:v>96</x:v>
      </x:c>
      <x:c r="N2225" s="20" t="n">
        <x:f>IF(J2225=1,0,K2225-L2225)</x:f>
        <x:v>195</x:v>
      </x:c>
      <x:c r="O2225" s="20" t="n">
        <x:f>N2225-M2225</x:f>
        <x:v>99</x:v>
      </x:c>
    </x:row>
    <x:row r="2226" ht="22" customHeight="1">
      <x:c r="A2226" s="11" t="n">
        <x:v>2222</x:v>
      </x:c>
      <x:c r="B2226" s="11" t="n">
        <x:v>1123</x:v>
      </x:c>
      <x:c r="C2226" s="18" t="n">
        <x:v>45393</x:v>
      </x:c>
      <x:c r="D2226" s="11" t="str">
        <x:v>2024-04</x:v>
      </x:c>
      <x:c r="E2226" s="11" t="str">
        <x:v>West</x:v>
      </x:c>
      <x:c r="F2226" s="11" t="str">
        <x:v>Office Supplies</x:v>
      </x:c>
      <x:c r="G2226" s="11" t="str">
        <x:v>Notebook pack</x:v>
      </x:c>
      <x:c r="H2226" s="11" t="n">
        <x:v>5</x:v>
      </x:c>
      <x:c r="I2226" s="19" t="n">
        <x:v>0</x:v>
      </x:c>
      <x:c r="J2226" s="11" t="n">
        <x:v>0</x:v>
      </x:c>
      <x:c r="K2226" s="20" t="n">
        <x:v>90</x:v>
      </x:c>
      <x:c r="L2226" s="20" t="n">
        <x:v>0</x:v>
      </x:c>
      <x:c r="M2226" s="20" t="n">
        <x:v>35</x:v>
      </x:c>
      <x:c r="N2226" s="20" t="n">
        <x:f>IF(J2226=1,0,K2226-L2226)</x:f>
        <x:v>90</x:v>
      </x:c>
      <x:c r="O2226" s="20" t="n">
        <x:f>N2226-M2226</x:f>
        <x:v>55</x:v>
      </x:c>
    </x:row>
    <x:row r="2227" ht="22" customHeight="1">
      <x:c r="A2227" s="11" t="n">
        <x:v>2223</x:v>
      </x:c>
      <x:c r="B2227" s="11" t="n">
        <x:v>1123</x:v>
      </x:c>
      <x:c r="C2227" s="18" t="n">
        <x:v>45393</x:v>
      </x:c>
      <x:c r="D2227" s="11" t="str">
        <x:v>2024-04</x:v>
      </x:c>
      <x:c r="E2227" s="11" t="str">
        <x:v>West</x:v>
      </x:c>
      <x:c r="F2227" s="11" t="str">
        <x:v>Office Supplies</x:v>
      </x:c>
      <x:c r="G2227" s="11" t="str">
        <x:v>Storage box</x:v>
      </x:c>
      <x:c r="H2227" s="11" t="n">
        <x:v>1</x:v>
      </x:c>
      <x:c r="I2227" s="19" t="n">
        <x:v>0.1</x:v>
      </x:c>
      <x:c r="J2227" s="11" t="n">
        <x:v>0</x:v>
      </x:c>
      <x:c r="K2227" s="20" t="n">
        <x:v>26</x:v>
      </x:c>
      <x:c r="L2227" s="20" t="n">
        <x:v>2.6</x:v>
      </x:c>
      <x:c r="M2227" s="20" t="n">
        <x:v>12</x:v>
      </x:c>
      <x:c r="N2227" s="20" t="n">
        <x:f>IF(J2227=1,0,K2227-L2227)</x:f>
        <x:v>23.4</x:v>
      </x:c>
      <x:c r="O2227" s="20" t="n">
        <x:f>N2227-M2227</x:f>
        <x:v>11.399999999999999</x:v>
      </x:c>
    </x:row>
    <x:row r="2228" ht="22" customHeight="1">
      <x:c r="A2228" s="11" t="n">
        <x:v>2224</x:v>
      </x:c>
      <x:c r="B2228" s="11" t="n">
        <x:v>1124</x:v>
      </x:c>
      <x:c r="C2228" s="18" t="n">
        <x:v>45545</x:v>
      </x:c>
      <x:c r="D2228" s="11" t="str">
        <x:v>2024-09</x:v>
      </x:c>
      <x:c r="E2228" s="11" t="str">
        <x:v>East</x:v>
      </x:c>
      <x:c r="F2228" s="11" t="str">
        <x:v>Furniture</x:v>
      </x:c>
      <x:c r="G2228" s="11" t="str">
        <x:v>Chair</x:v>
      </x:c>
      <x:c r="H2228" s="11" t="n">
        <x:v>4</x:v>
      </x:c>
      <x:c r="I2228" s="19" t="n">
        <x:v>0</x:v>
      </x:c>
      <x:c r="J2228" s="11" t="n">
        <x:v>1</x:v>
      </x:c>
      <x:c r="K2228" s="20" t="n">
        <x:v>680</x:v>
      </x:c>
      <x:c r="L2228" s="20" t="n">
        <x:v>0</x:v>
      </x:c>
      <x:c r="M2228" s="20" t="n">
        <x:v>0</x:v>
      </x:c>
      <x:c r="N2228" s="20" t="n">
        <x:f>IF(J2228=1,0,K2228-L2228)</x:f>
        <x:v>0</x:v>
      </x:c>
      <x:c r="O2228" s="20" t="n">
        <x:f>N2228-M2228</x:f>
        <x:v>0</x:v>
      </x:c>
    </x:row>
    <x:row r="2229" ht="22" customHeight="1">
      <x:c r="A2229" s="11" t="n">
        <x:v>2225</x:v>
      </x:c>
      <x:c r="B2229" s="11" t="n">
        <x:v>1124</x:v>
      </x:c>
      <x:c r="C2229" s="18" t="n">
        <x:v>45545</x:v>
      </x:c>
      <x:c r="D2229" s="11" t="str">
        <x:v>2024-09</x:v>
      </x:c>
      <x:c r="E2229" s="11" t="str">
        <x:v>East</x:v>
      </x:c>
      <x:c r="F2229" s="11" t="str">
        <x:v>Office Supplies</x:v>
      </x:c>
      <x:c r="G2229" s="11" t="str">
        <x:v>Storage box</x:v>
      </x:c>
      <x:c r="H2229" s="11" t="n">
        <x:v>5</x:v>
      </x:c>
      <x:c r="I2229" s="19" t="n">
        <x:v>0.05</x:v>
      </x:c>
      <x:c r="J2229" s="11" t="n">
        <x:v>0</x:v>
      </x:c>
      <x:c r="K2229" s="20" t="n">
        <x:v>130</x:v>
      </x:c>
      <x:c r="L2229" s="20" t="n">
        <x:v>6.5</x:v>
      </x:c>
      <x:c r="M2229" s="20" t="n">
        <x:v>60</x:v>
      </x:c>
      <x:c r="N2229" s="20" t="n">
        <x:f>IF(J2229=1,0,K2229-L2229)</x:f>
        <x:v>123.5</x:v>
      </x:c>
      <x:c r="O2229" s="20" t="n">
        <x:f>N2229-M2229</x:f>
        <x:v>63.5</x:v>
      </x:c>
    </x:row>
    <x:row r="2230" ht="22" customHeight="1">
      <x:c r="A2230" s="11" t="n">
        <x:v>2226</x:v>
      </x:c>
      <x:c r="B2230" s="11" t="n">
        <x:v>1124</x:v>
      </x:c>
      <x:c r="C2230" s="18" t="n">
        <x:v>45545</x:v>
      </x:c>
      <x:c r="D2230" s="11" t="str">
        <x:v>2024-09</x:v>
      </x:c>
      <x:c r="E2230" s="11" t="str">
        <x:v>East</x:v>
      </x:c>
      <x:c r="F2230" s="11" t="str">
        <x:v>Office Supplies</x:v>
      </x:c>
      <x:c r="G2230" s="11" t="str">
        <x:v>Notebook pack</x:v>
      </x:c>
      <x:c r="H2230" s="11" t="n">
        <x:v>1</x:v>
      </x:c>
      <x:c r="I2230" s="19" t="n">
        <x:v>0</x:v>
      </x:c>
      <x:c r="J2230" s="11" t="n">
        <x:v>0</x:v>
      </x:c>
      <x:c r="K2230" s="20" t="n">
        <x:v>18</x:v>
      </x:c>
      <x:c r="L2230" s="20" t="n">
        <x:v>0</x:v>
      </x:c>
      <x:c r="M2230" s="20" t="n">
        <x:v>7</x:v>
      </x:c>
      <x:c r="N2230" s="20" t="n">
        <x:f>IF(J2230=1,0,K2230-L2230)</x:f>
        <x:v>18</x:v>
      </x:c>
      <x:c r="O2230" s="20" t="n">
        <x:f>N2230-M2230</x:f>
        <x:v>11</x:v>
      </x:c>
    </x:row>
    <x:row r="2231" ht="22" customHeight="1">
      <x:c r="A2231" s="11" t="n">
        <x:v>2227</x:v>
      </x:c>
      <x:c r="B2231" s="11" t="n">
        <x:v>1125</x:v>
      </x:c>
      <x:c r="C2231" s="18" t="n">
        <x:v>45357</x:v>
      </x:c>
      <x:c r="D2231" s="11" t="str">
        <x:v>2024-03</x:v>
      </x:c>
      <x:c r="E2231" s="11" t="str">
        <x:v>West</x:v>
      </x:c>
      <x:c r="F2231" s="11" t="str">
        <x:v>Furniture</x:v>
      </x:c>
      <x:c r="G2231" s="11" t="str">
        <x:v>Chair</x:v>
      </x:c>
      <x:c r="H2231" s="11" t="n">
        <x:v>2</x:v>
      </x:c>
      <x:c r="I2231" s="19" t="n">
        <x:v>0.05</x:v>
      </x:c>
      <x:c r="J2231" s="11" t="n">
        <x:v>0</x:v>
      </x:c>
      <x:c r="K2231" s="20" t="n">
        <x:v>340</x:v>
      </x:c>
      <x:c r="L2231" s="20" t="n">
        <x:v>17</x:v>
      </x:c>
      <x:c r="M2231" s="20" t="n">
        <x:v>220</x:v>
      </x:c>
      <x:c r="N2231" s="20" t="n">
        <x:f>IF(J2231=1,0,K2231-L2231)</x:f>
        <x:v>323</x:v>
      </x:c>
      <x:c r="O2231" s="20" t="n">
        <x:f>N2231-M2231</x:f>
        <x:v>103</x:v>
      </x:c>
    </x:row>
    <x:row r="2232" ht="22" customHeight="1">
      <x:c r="A2232" s="11" t="n">
        <x:v>2228</x:v>
      </x:c>
      <x:c r="B2232" s="11" t="n">
        <x:v>1126</x:v>
      </x:c>
      <x:c r="C2232" s="18" t="n">
        <x:v>45887</x:v>
      </x:c>
      <x:c r="D2232" s="11" t="str">
        <x:v>2025-08</x:v>
      </x:c>
      <x:c r="E2232" s="11" t="str">
        <x:v>Central</x:v>
      </x:c>
      <x:c r="F2232" s="11" t="str">
        <x:v>Office Supplies</x:v>
      </x:c>
      <x:c r="G2232" s="11" t="str">
        <x:v>Notebook pack</x:v>
      </x:c>
      <x:c r="H2232" s="11" t="n">
        <x:v>1</x:v>
      </x:c>
      <x:c r="I2232" s="19" t="n">
        <x:v>0.05</x:v>
      </x:c>
      <x:c r="J2232" s="11" t="n">
        <x:v>0</x:v>
      </x:c>
      <x:c r="K2232" s="20" t="n">
        <x:v>18</x:v>
      </x:c>
      <x:c r="L2232" s="20" t="n">
        <x:v>0.9</x:v>
      </x:c>
      <x:c r="M2232" s="20" t="n">
        <x:v>7</x:v>
      </x:c>
      <x:c r="N2232" s="20" t="n">
        <x:f>IF(J2232=1,0,K2232-L2232)</x:f>
        <x:v>17.1</x:v>
      </x:c>
      <x:c r="O2232" s="20" t="n">
        <x:f>N2232-M2232</x:f>
        <x:v>10.100000000000001</x:v>
      </x:c>
    </x:row>
    <x:row r="2233" ht="22" customHeight="1">
      <x:c r="A2233" s="11" t="n">
        <x:v>2229</x:v>
      </x:c>
      <x:c r="B2233" s="11" t="n">
        <x:v>1127</x:v>
      </x:c>
      <x:c r="C2233" s="18" t="n">
        <x:v>45366</x:v>
      </x:c>
      <x:c r="D2233" s="11" t="str">
        <x:v>2024-03</x:v>
      </x:c>
      <x:c r="E2233" s="11" t="str">
        <x:v>South</x:v>
      </x:c>
      <x:c r="F2233" s="11" t="str">
        <x:v>Technology</x:v>
      </x:c>
      <x:c r="G2233" s="11" t="str">
        <x:v>Keyboard</x:v>
      </x:c>
      <x:c r="H2233" s="11" t="n">
        <x:v>1</x:v>
      </x:c>
      <x:c r="I2233" s="19" t="n">
        <x:v>0.1</x:v>
      </x:c>
      <x:c r="J2233" s="11" t="n">
        <x:v>0</x:v>
      </x:c>
      <x:c r="K2233" s="20" t="n">
        <x:v>65</x:v>
      </x:c>
      <x:c r="L2233" s="20" t="n">
        <x:v>6.5</x:v>
      </x:c>
      <x:c r="M2233" s="20" t="n">
        <x:v>32</x:v>
      </x:c>
      <x:c r="N2233" s="20" t="n">
        <x:f>IF(J2233=1,0,K2233-L2233)</x:f>
        <x:v>58.5</x:v>
      </x:c>
      <x:c r="O2233" s="20" t="n">
        <x:f>N2233-M2233</x:f>
        <x:v>26.5</x:v>
      </x:c>
    </x:row>
    <x:row r="2234" ht="22" customHeight="1">
      <x:c r="A2234" s="11" t="n">
        <x:v>2230</x:v>
      </x:c>
      <x:c r="B2234" s="11" t="n">
        <x:v>1128</x:v>
      </x:c>
      <x:c r="C2234" s="18" t="n">
        <x:v>45847</x:v>
      </x:c>
      <x:c r="D2234" s="11" t="str">
        <x:v>2025-07</x:v>
      </x:c>
      <x:c r="E2234" s="11" t="str">
        <x:v>East</x:v>
      </x:c>
      <x:c r="F2234" s="11" t="str">
        <x:v>Technology</x:v>
      </x:c>
      <x:c r="G2234" s="11" t="str">
        <x:v>Keyboard</x:v>
      </x:c>
      <x:c r="H2234" s="11" t="n">
        <x:v>5</x:v>
      </x:c>
      <x:c r="I2234" s="19" t="n">
        <x:v>0.1</x:v>
      </x:c>
      <x:c r="J2234" s="11" t="n">
        <x:v>0</x:v>
      </x:c>
      <x:c r="K2234" s="20" t="n">
        <x:v>325</x:v>
      </x:c>
      <x:c r="L2234" s="20" t="n">
        <x:v>32.5</x:v>
      </x:c>
      <x:c r="M2234" s="20" t="n">
        <x:v>160</x:v>
      </x:c>
      <x:c r="N2234" s="20" t="n">
        <x:f>IF(J2234=1,0,K2234-L2234)</x:f>
        <x:v>292.5</x:v>
      </x:c>
      <x:c r="O2234" s="20" t="n">
        <x:f>N2234-M2234</x:f>
        <x:v>132.5</x:v>
      </x:c>
    </x:row>
    <x:row r="2235" ht="22" customHeight="1">
      <x:c r="A2235" s="11" t="n">
        <x:v>2231</x:v>
      </x:c>
      <x:c r="B2235" s="11" t="n">
        <x:v>1128</x:v>
      </x:c>
      <x:c r="C2235" s="18" t="n">
        <x:v>45847</x:v>
      </x:c>
      <x:c r="D2235" s="11" t="str">
        <x:v>2025-07</x:v>
      </x:c>
      <x:c r="E2235" s="11" t="str">
        <x:v>East</x:v>
      </x:c>
      <x:c r="F2235" s="11" t="str">
        <x:v>Technology</x:v>
      </x:c>
      <x:c r="G2235" s="11" t="str">
        <x:v>Monitor</x:v>
      </x:c>
      <x:c r="H2235" s="11" t="n">
        <x:v>1</x:v>
      </x:c>
      <x:c r="I2235" s="19" t="n">
        <x:v>0.1</x:v>
      </x:c>
      <x:c r="J2235" s="11" t="n">
        <x:v>0</x:v>
      </x:c>
      <x:c r="K2235" s="20" t="n">
        <x:v>240</x:v>
      </x:c>
      <x:c r="L2235" s="20" t="n">
        <x:v>24</x:v>
      </x:c>
      <x:c r="M2235" s="20" t="n">
        <x:v>160</x:v>
      </x:c>
      <x:c r="N2235" s="20" t="n">
        <x:f>IF(J2235=1,0,K2235-L2235)</x:f>
        <x:v>216</x:v>
      </x:c>
      <x:c r="O2235" s="20" t="n">
        <x:f>N2235-M2235</x:f>
        <x:v>56</x:v>
      </x:c>
    </x:row>
    <x:row r="2236" ht="22" customHeight="1">
      <x:c r="A2236" s="11" t="n">
        <x:v>2232</x:v>
      </x:c>
      <x:c r="B2236" s="11" t="n">
        <x:v>1128</x:v>
      </x:c>
      <x:c r="C2236" s="18" t="n">
        <x:v>45847</x:v>
      </x:c>
      <x:c r="D2236" s="11" t="str">
        <x:v>2025-07</x:v>
      </x:c>
      <x:c r="E2236" s="11" t="str">
        <x:v>East</x:v>
      </x:c>
      <x:c r="F2236" s="11" t="str">
        <x:v>Furniture</x:v>
      </x:c>
      <x:c r="G2236" s="11" t="str">
        <x:v>Desk</x:v>
      </x:c>
      <x:c r="H2236" s="11" t="n">
        <x:v>2</x:v>
      </x:c>
      <x:c r="I2236" s="19" t="n">
        <x:v>0.35</x:v>
      </x:c>
      <x:c r="J2236" s="11" t="n">
        <x:v>0</x:v>
      </x:c>
      <x:c r="K2236" s="20" t="n">
        <x:v>560</x:v>
      </x:c>
      <x:c r="L2236" s="20" t="n">
        <x:v>196</x:v>
      </x:c>
      <x:c r="M2236" s="20" t="n">
        <x:v>380</x:v>
      </x:c>
      <x:c r="N2236" s="20" t="n">
        <x:f>IF(J2236=1,0,K2236-L2236)</x:f>
        <x:v>364</x:v>
      </x:c>
      <x:c r="O2236" s="20" t="n">
        <x:f>N2236-M2236</x:f>
        <x:v>-16</x:v>
      </x:c>
    </x:row>
    <x:row r="2237" ht="22" customHeight="1">
      <x:c r="A2237" s="11" t="n">
        <x:v>2233</x:v>
      </x:c>
      <x:c r="B2237" s="11" t="n">
        <x:v>1129</x:v>
      </x:c>
      <x:c r="C2237" s="18" t="n">
        <x:v>45549</x:v>
      </x:c>
      <x:c r="D2237" s="11" t="str">
        <x:v>2024-09</x:v>
      </x:c>
      <x:c r="E2237" s="11" t="str">
        <x:v>Central</x:v>
      </x:c>
      <x:c r="F2237" s="11" t="str">
        <x:v>Technology</x:v>
      </x:c>
      <x:c r="G2237" s="11" t="str">
        <x:v>Monitor</x:v>
      </x:c>
      <x:c r="H2237" s="11" t="n">
        <x:v>3</x:v>
      </x:c>
      <x:c r="I2237" s="19" t="n">
        <x:v>0.15</x:v>
      </x:c>
      <x:c r="J2237" s="11" t="n">
        <x:v>0</x:v>
      </x:c>
      <x:c r="K2237" s="20" t="n">
        <x:v>720</x:v>
      </x:c>
      <x:c r="L2237" s="20" t="n">
        <x:v>108</x:v>
      </x:c>
      <x:c r="M2237" s="20" t="n">
        <x:v>480</x:v>
      </x:c>
      <x:c r="N2237" s="20" t="n">
        <x:f>IF(J2237=1,0,K2237-L2237)</x:f>
        <x:v>612</x:v>
      </x:c>
      <x:c r="O2237" s="20" t="n">
        <x:f>N2237-M2237</x:f>
        <x:v>132</x:v>
      </x:c>
    </x:row>
    <x:row r="2238" ht="22" customHeight="1">
      <x:c r="A2238" s="11" t="n">
        <x:v>2234</x:v>
      </x:c>
      <x:c r="B2238" s="11" t="n">
        <x:v>1129</x:v>
      </x:c>
      <x:c r="C2238" s="18" t="n">
        <x:v>45549</x:v>
      </x:c>
      <x:c r="D2238" s="11" t="str">
        <x:v>2024-09</x:v>
      </x:c>
      <x:c r="E2238" s="11" t="str">
        <x:v>Central</x:v>
      </x:c>
      <x:c r="F2238" s="11" t="str">
        <x:v>Technology</x:v>
      </x:c>
      <x:c r="G2238" s="11" t="str">
        <x:v>Keyboard</x:v>
      </x:c>
      <x:c r="H2238" s="11" t="n">
        <x:v>3</x:v>
      </x:c>
      <x:c r="I2238" s="19" t="n">
        <x:v>0.05</x:v>
      </x:c>
      <x:c r="J2238" s="11" t="n">
        <x:v>0</x:v>
      </x:c>
      <x:c r="K2238" s="20" t="n">
        <x:v>195</x:v>
      </x:c>
      <x:c r="L2238" s="20" t="n">
        <x:v>9.75</x:v>
      </x:c>
      <x:c r="M2238" s="20" t="n">
        <x:v>96</x:v>
      </x:c>
      <x:c r="N2238" s="20" t="n">
        <x:f>IF(J2238=1,0,K2238-L2238)</x:f>
        <x:v>185.25</x:v>
      </x:c>
      <x:c r="O2238" s="20" t="n">
        <x:f>N2238-M2238</x:f>
        <x:v>89.25</x:v>
      </x:c>
    </x:row>
    <x:row r="2239" ht="22" customHeight="1">
      <x:c r="A2239" s="11" t="n">
        <x:v>2235</x:v>
      </x:c>
      <x:c r="B2239" s="11" t="n">
        <x:v>1129</x:v>
      </x:c>
      <x:c r="C2239" s="18" t="n">
        <x:v>45549</x:v>
      </x:c>
      <x:c r="D2239" s="11" t="str">
        <x:v>2024-09</x:v>
      </x:c>
      <x:c r="E2239" s="11" t="str">
        <x:v>Central</x:v>
      </x:c>
      <x:c r="F2239" s="11" t="str">
        <x:v>Furniture</x:v>
      </x:c>
      <x:c r="G2239" s="11" t="str">
        <x:v>Chair</x:v>
      </x:c>
      <x:c r="H2239" s="11" t="n">
        <x:v>5</x:v>
      </x:c>
      <x:c r="I2239" s="19" t="n">
        <x:v>0.05</x:v>
      </x:c>
      <x:c r="J2239" s="11" t="n">
        <x:v>0</x:v>
      </x:c>
      <x:c r="K2239" s="20" t="n">
        <x:v>850</x:v>
      </x:c>
      <x:c r="L2239" s="20" t="n">
        <x:v>42.5</x:v>
      </x:c>
      <x:c r="M2239" s="20" t="n">
        <x:v>550</x:v>
      </x:c>
      <x:c r="N2239" s="20" t="n">
        <x:f>IF(J2239=1,0,K2239-L2239)</x:f>
        <x:v>807.5</x:v>
      </x:c>
      <x:c r="O2239" s="20" t="n">
        <x:f>N2239-M2239</x:f>
        <x:v>257.5</x:v>
      </x:c>
    </x:row>
    <x:row r="2240" ht="22" customHeight="1">
      <x:c r="A2240" s="11" t="n">
        <x:v>2236</x:v>
      </x:c>
      <x:c r="B2240" s="11" t="n">
        <x:v>1130</x:v>
      </x:c>
      <x:c r="C2240" s="18" t="n">
        <x:v>45986</x:v>
      </x:c>
      <x:c r="D2240" s="11" t="str">
        <x:v>2025-11</x:v>
      </x:c>
      <x:c r="E2240" s="11" t="str">
        <x:v>East</x:v>
      </x:c>
      <x:c r="F2240" s="11" t="str">
        <x:v>Technology</x:v>
      </x:c>
      <x:c r="G2240" s="11" t="str">
        <x:v>Keyboard</x:v>
      </x:c>
      <x:c r="H2240" s="11" t="n">
        <x:v>4</x:v>
      </x:c>
      <x:c r="I2240" s="19" t="n">
        <x:v>0</x:v>
      </x:c>
      <x:c r="J2240" s="11" t="n">
        <x:v>0</x:v>
      </x:c>
      <x:c r="K2240" s="20" t="n">
        <x:v>260</x:v>
      </x:c>
      <x:c r="L2240" s="20" t="n">
        <x:v>0</x:v>
      </x:c>
      <x:c r="M2240" s="20" t="n">
        <x:v>128</x:v>
      </x:c>
      <x:c r="N2240" s="20" t="n">
        <x:f>IF(J2240=1,0,K2240-L2240)</x:f>
        <x:v>260</x:v>
      </x:c>
      <x:c r="O2240" s="20" t="n">
        <x:f>N2240-M2240</x:f>
        <x:v>132</x:v>
      </x:c>
    </x:row>
    <x:row r="2241" ht="22" customHeight="1">
      <x:c r="A2241" s="11" t="n">
        <x:v>2237</x:v>
      </x:c>
      <x:c r="B2241" s="11" t="n">
        <x:v>1130</x:v>
      </x:c>
      <x:c r="C2241" s="18" t="n">
        <x:v>45986</x:v>
      </x:c>
      <x:c r="D2241" s="11" t="str">
        <x:v>2025-11</x:v>
      </x:c>
      <x:c r="E2241" s="11" t="str">
        <x:v>East</x:v>
      </x:c>
      <x:c r="F2241" s="11" t="str">
        <x:v>Furniture</x:v>
      </x:c>
      <x:c r="G2241" s="11" t="str">
        <x:v>Desk</x:v>
      </x:c>
      <x:c r="H2241" s="11" t="n">
        <x:v>5</x:v>
      </x:c>
      <x:c r="I2241" s="19" t="n">
        <x:v>0.35</x:v>
      </x:c>
      <x:c r="J2241" s="11" t="n">
        <x:v>0</x:v>
      </x:c>
      <x:c r="K2241" s="20" t="n">
        <x:v>1400</x:v>
      </x:c>
      <x:c r="L2241" s="20" t="n">
        <x:v>490</x:v>
      </x:c>
      <x:c r="M2241" s="20" t="n">
        <x:v>950</x:v>
      </x:c>
      <x:c r="N2241" s="20" t="n">
        <x:f>IF(J2241=1,0,K2241-L2241)</x:f>
        <x:v>910</x:v>
      </x:c>
      <x:c r="O2241" s="20" t="n">
        <x:f>N2241-M2241</x:f>
        <x:v>-40</x:v>
      </x:c>
    </x:row>
    <x:row r="2242" ht="22" customHeight="1">
      <x:c r="A2242" s="11" t="n">
        <x:v>2238</x:v>
      </x:c>
      <x:c r="B2242" s="11" t="n">
        <x:v>1130</x:v>
      </x:c>
      <x:c r="C2242" s="18" t="n">
        <x:v>45986</x:v>
      </x:c>
      <x:c r="D2242" s="11" t="str">
        <x:v>2025-11</x:v>
      </x:c>
      <x:c r="E2242" s="11" t="str">
        <x:v>East</x:v>
      </x:c>
      <x:c r="F2242" s="11" t="str">
        <x:v>Furniture</x:v>
      </x:c>
      <x:c r="G2242" s="11" t="str">
        <x:v>Chair</x:v>
      </x:c>
      <x:c r="H2242" s="11" t="n">
        <x:v>2</x:v>
      </x:c>
      <x:c r="I2242" s="19" t="n">
        <x:v>0</x:v>
      </x:c>
      <x:c r="J2242" s="11" t="n">
        <x:v>0</x:v>
      </x:c>
      <x:c r="K2242" s="20" t="n">
        <x:v>340</x:v>
      </x:c>
      <x:c r="L2242" s="20" t="n">
        <x:v>0</x:v>
      </x:c>
      <x:c r="M2242" s="20" t="n">
        <x:v>220</x:v>
      </x:c>
      <x:c r="N2242" s="20" t="n">
        <x:f>IF(J2242=1,0,K2242-L2242)</x:f>
        <x:v>340</x:v>
      </x:c>
      <x:c r="O2242" s="20" t="n">
        <x:f>N2242-M2242</x:f>
        <x:v>120</x:v>
      </x:c>
    </x:row>
    <x:row r="2243" ht="22" customHeight="1">
      <x:c r="A2243" s="11" t="n">
        <x:v>2239</x:v>
      </x:c>
      <x:c r="B2243" s="11" t="n">
        <x:v>1131</x:v>
      </x:c>
      <x:c r="C2243" s="18" t="n">
        <x:v>45981</x:v>
      </x:c>
      <x:c r="D2243" s="11" t="str">
        <x:v>2025-11</x:v>
      </x:c>
      <x:c r="E2243" s="11" t="str">
        <x:v>West</x:v>
      </x:c>
      <x:c r="F2243" s="11" t="str">
        <x:v>Technology</x:v>
      </x:c>
      <x:c r="G2243" s="11" t="str">
        <x:v>Monitor</x:v>
      </x:c>
      <x:c r="H2243" s="11" t="n">
        <x:v>2</x:v>
      </x:c>
      <x:c r="I2243" s="19" t="n">
        <x:v>0</x:v>
      </x:c>
      <x:c r="J2243" s="11" t="n">
        <x:v>0</x:v>
      </x:c>
      <x:c r="K2243" s="20" t="n">
        <x:v>480</x:v>
      </x:c>
      <x:c r="L2243" s="20" t="n">
        <x:v>0</x:v>
      </x:c>
      <x:c r="M2243" s="20" t="n">
        <x:v>320</x:v>
      </x:c>
      <x:c r="N2243" s="20" t="n">
        <x:f>IF(J2243=1,0,K2243-L2243)</x:f>
        <x:v>480</x:v>
      </x:c>
      <x:c r="O2243" s="20" t="n">
        <x:f>N2243-M2243</x:f>
        <x:v>160</x:v>
      </x:c>
    </x:row>
    <x:row r="2244" ht="22" customHeight="1">
      <x:c r="A2244" s="11" t="n">
        <x:v>2240</x:v>
      </x:c>
      <x:c r="B2244" s="11" t="n">
        <x:v>1131</x:v>
      </x:c>
      <x:c r="C2244" s="18" t="n">
        <x:v>45981</x:v>
      </x:c>
      <x:c r="D2244" s="11" t="str">
        <x:v>2025-11</x:v>
      </x:c>
      <x:c r="E2244" s="11" t="str">
        <x:v>West</x:v>
      </x:c>
      <x:c r="F2244" s="11" t="str">
        <x:v>Office Supplies</x:v>
      </x:c>
      <x:c r="G2244" s="11" t="str">
        <x:v>Notebook pack</x:v>
      </x:c>
      <x:c r="H2244" s="11" t="n">
        <x:v>2</x:v>
      </x:c>
      <x:c r="I2244" s="19" t="n">
        <x:v>0</x:v>
      </x:c>
      <x:c r="J2244" s="11" t="n">
        <x:v>0</x:v>
      </x:c>
      <x:c r="K2244" s="20" t="n">
        <x:v>36</x:v>
      </x:c>
      <x:c r="L2244" s="20" t="n">
        <x:v>0</x:v>
      </x:c>
      <x:c r="M2244" s="20" t="n">
        <x:v>14</x:v>
      </x:c>
      <x:c r="N2244" s="20" t="n">
        <x:f>IF(J2244=1,0,K2244-L2244)</x:f>
        <x:v>36</x:v>
      </x:c>
      <x:c r="O2244" s="20" t="n">
        <x:f>N2244-M2244</x:f>
        <x:v>22</x:v>
      </x:c>
    </x:row>
    <x:row r="2245" ht="22" customHeight="1">
      <x:c r="A2245" s="11" t="n">
        <x:v>2241</x:v>
      </x:c>
      <x:c r="B2245" s="11" t="n">
        <x:v>1132</x:v>
      </x:c>
      <x:c r="C2245" s="18" t="n">
        <x:v>45604</x:v>
      </x:c>
      <x:c r="D2245" s="11" t="str">
        <x:v>2024-11</x:v>
      </x:c>
      <x:c r="E2245" s="11" t="str">
        <x:v>Central</x:v>
      </x:c>
      <x:c r="F2245" s="11" t="str">
        <x:v>Office Supplies</x:v>
      </x:c>
      <x:c r="G2245" s="11" t="str">
        <x:v>Storage box</x:v>
      </x:c>
      <x:c r="H2245" s="11" t="n">
        <x:v>3</x:v>
      </x:c>
      <x:c r="I2245" s="19" t="n">
        <x:v>0.15</x:v>
      </x:c>
      <x:c r="J2245" s="11" t="n">
        <x:v>0</x:v>
      </x:c>
      <x:c r="K2245" s="20" t="n">
        <x:v>78</x:v>
      </x:c>
      <x:c r="L2245" s="20" t="n">
        <x:v>11.7</x:v>
      </x:c>
      <x:c r="M2245" s="20" t="n">
        <x:v>36</x:v>
      </x:c>
      <x:c r="N2245" s="20" t="n">
        <x:f>IF(J2245=1,0,K2245-L2245)</x:f>
        <x:v>66.3</x:v>
      </x:c>
      <x:c r="O2245" s="20" t="n">
        <x:f>N2245-M2245</x:f>
        <x:v>30.299999999999997</x:v>
      </x:c>
    </x:row>
    <x:row r="2246" ht="22" customHeight="1">
      <x:c r="A2246" s="11" t="n">
        <x:v>2242</x:v>
      </x:c>
      <x:c r="B2246" s="11" t="n">
        <x:v>1133</x:v>
      </x:c>
      <x:c r="C2246" s="18" t="n">
        <x:v>45980</x:v>
      </x:c>
      <x:c r="D2246" s="11" t="str">
        <x:v>2025-11</x:v>
      </x:c>
      <x:c r="E2246" s="11" t="str">
        <x:v>South</x:v>
      </x:c>
      <x:c r="F2246" s="11" t="str">
        <x:v>Furniture</x:v>
      </x:c>
      <x:c r="G2246" s="11" t="str">
        <x:v>Chair</x:v>
      </x:c>
      <x:c r="H2246" s="11" t="n">
        <x:v>4</x:v>
      </x:c>
      <x:c r="I2246" s="19" t="n">
        <x:v>0</x:v>
      </x:c>
      <x:c r="J2246" s="11" t="n">
        <x:v>0</x:v>
      </x:c>
      <x:c r="K2246" s="20" t="n">
        <x:v>680</x:v>
      </x:c>
      <x:c r="L2246" s="20" t="n">
        <x:v>0</x:v>
      </x:c>
      <x:c r="M2246" s="20" t="n">
        <x:v>440</x:v>
      </x:c>
      <x:c r="N2246" s="20" t="n">
        <x:f>IF(J2246=1,0,K2246-L2246)</x:f>
        <x:v>680</x:v>
      </x:c>
      <x:c r="O2246" s="20" t="n">
        <x:f>N2246-M2246</x:f>
        <x:v>240</x:v>
      </x:c>
    </x:row>
    <x:row r="2247" ht="22" customHeight="1">
      <x:c r="A2247" s="11" t="n">
        <x:v>2243</x:v>
      </x:c>
      <x:c r="B2247" s="11" t="n">
        <x:v>1134</x:v>
      </x:c>
      <x:c r="C2247" s="18" t="n">
        <x:v>45916</x:v>
      </x:c>
      <x:c r="D2247" s="11" t="str">
        <x:v>2025-09</x:v>
      </x:c>
      <x:c r="E2247" s="11" t="str">
        <x:v>West</x:v>
      </x:c>
      <x:c r="F2247" s="11" t="str">
        <x:v>Office Supplies</x:v>
      </x:c>
      <x:c r="G2247" s="11" t="str">
        <x:v>Notebook pack</x:v>
      </x:c>
      <x:c r="H2247" s="11" t="n">
        <x:v>5</x:v>
      </x:c>
      <x:c r="I2247" s="19" t="n">
        <x:v>0.1</x:v>
      </x:c>
      <x:c r="J2247" s="11" t="n">
        <x:v>0</x:v>
      </x:c>
      <x:c r="K2247" s="20" t="n">
        <x:v>90</x:v>
      </x:c>
      <x:c r="L2247" s="20" t="n">
        <x:v>9</x:v>
      </x:c>
      <x:c r="M2247" s="20" t="n">
        <x:v>35</x:v>
      </x:c>
      <x:c r="N2247" s="20" t="n">
        <x:f>IF(J2247=1,0,K2247-L2247)</x:f>
        <x:v>81</x:v>
      </x:c>
      <x:c r="O2247" s="20" t="n">
        <x:f>N2247-M2247</x:f>
        <x:v>46</x:v>
      </x:c>
    </x:row>
    <x:row r="2248" ht="22" customHeight="1">
      <x:c r="A2248" s="11" t="n">
        <x:v>2244</x:v>
      </x:c>
      <x:c r="B2248" s="11" t="n">
        <x:v>1134</x:v>
      </x:c>
      <x:c r="C2248" s="18" t="n">
        <x:v>45916</x:v>
      </x:c>
      <x:c r="D2248" s="11" t="str">
        <x:v>2025-09</x:v>
      </x:c>
      <x:c r="E2248" s="11" t="str">
        <x:v>West</x:v>
      </x:c>
      <x:c r="F2248" s="11" t="str">
        <x:v>Technology</x:v>
      </x:c>
      <x:c r="G2248" s="11" t="str">
        <x:v>Keyboard</x:v>
      </x:c>
      <x:c r="H2248" s="11" t="n">
        <x:v>3</x:v>
      </x:c>
      <x:c r="I2248" s="19" t="n">
        <x:v>0</x:v>
      </x:c>
      <x:c r="J2248" s="11" t="n">
        <x:v>0</x:v>
      </x:c>
      <x:c r="K2248" s="20" t="n">
        <x:v>195</x:v>
      </x:c>
      <x:c r="L2248" s="20" t="n">
        <x:v>0</x:v>
      </x:c>
      <x:c r="M2248" s="20" t="n">
        <x:v>96</x:v>
      </x:c>
      <x:c r="N2248" s="20" t="n">
        <x:f>IF(J2248=1,0,K2248-L2248)</x:f>
        <x:v>195</x:v>
      </x:c>
      <x:c r="O2248" s="20" t="n">
        <x:f>N2248-M2248</x:f>
        <x:v>99</x:v>
      </x:c>
    </x:row>
    <x:row r="2249" ht="22" customHeight="1">
      <x:c r="A2249" s="11" t="n">
        <x:v>2245</x:v>
      </x:c>
      <x:c r="B2249" s="11" t="n">
        <x:v>1135</x:v>
      </x:c>
      <x:c r="C2249" s="18" t="n">
        <x:v>45775</x:v>
      </x:c>
      <x:c r="D2249" s="11" t="str">
        <x:v>2025-04</x:v>
      </x:c>
      <x:c r="E2249" s="11" t="str">
        <x:v>West</x:v>
      </x:c>
      <x:c r="F2249" s="11" t="str">
        <x:v>Technology</x:v>
      </x:c>
      <x:c r="G2249" s="11" t="str">
        <x:v>Monitor</x:v>
      </x:c>
      <x:c r="H2249" s="11" t="n">
        <x:v>3</x:v>
      </x:c>
      <x:c r="I2249" s="19" t="n">
        <x:v>0.05</x:v>
      </x:c>
      <x:c r="J2249" s="11" t="n">
        <x:v>0</x:v>
      </x:c>
      <x:c r="K2249" s="20" t="n">
        <x:v>720</x:v>
      </x:c>
      <x:c r="L2249" s="20" t="n">
        <x:v>36</x:v>
      </x:c>
      <x:c r="M2249" s="20" t="n">
        <x:v>480</x:v>
      </x:c>
      <x:c r="N2249" s="20" t="n">
        <x:f>IF(J2249=1,0,K2249-L2249)</x:f>
        <x:v>684</x:v>
      </x:c>
      <x:c r="O2249" s="20" t="n">
        <x:f>N2249-M2249</x:f>
        <x:v>204</x:v>
      </x:c>
    </x:row>
    <x:row r="2250" ht="22" customHeight="1">
      <x:c r="A2250" s="11" t="n">
        <x:v>2246</x:v>
      </x:c>
      <x:c r="B2250" s="11" t="n">
        <x:v>1136</x:v>
      </x:c>
      <x:c r="C2250" s="18" t="n">
        <x:v>45614</x:v>
      </x:c>
      <x:c r="D2250" s="11" t="str">
        <x:v>2024-11</x:v>
      </x:c>
      <x:c r="E2250" s="11" t="str">
        <x:v>West</x:v>
      </x:c>
      <x:c r="F2250" s="11" t="str">
        <x:v>Office Supplies</x:v>
      </x:c>
      <x:c r="G2250" s="11" t="str">
        <x:v>Notebook pack</x:v>
      </x:c>
      <x:c r="H2250" s="11" t="n">
        <x:v>4</x:v>
      </x:c>
      <x:c r="I2250" s="19" t="n">
        <x:v>0</x:v>
      </x:c>
      <x:c r="J2250" s="11" t="n">
        <x:v>0</x:v>
      </x:c>
      <x:c r="K2250" s="20" t="n">
        <x:v>72</x:v>
      </x:c>
      <x:c r="L2250" s="20" t="n">
        <x:v>0</x:v>
      </x:c>
      <x:c r="M2250" s="20" t="n">
        <x:v>28</x:v>
      </x:c>
      <x:c r="N2250" s="20" t="n">
        <x:f>IF(J2250=1,0,K2250-L2250)</x:f>
        <x:v>72</x:v>
      </x:c>
      <x:c r="O2250" s="20" t="n">
        <x:f>N2250-M2250</x:f>
        <x:v>44</x:v>
      </x:c>
    </x:row>
    <x:row r="2251" ht="22" customHeight="1">
      <x:c r="A2251" s="11" t="n">
        <x:v>2247</x:v>
      </x:c>
      <x:c r="B2251" s="11" t="n">
        <x:v>1136</x:v>
      </x:c>
      <x:c r="C2251" s="18" t="n">
        <x:v>45614</x:v>
      </x:c>
      <x:c r="D2251" s="11" t="str">
        <x:v>2024-11</x:v>
      </x:c>
      <x:c r="E2251" s="11" t="str">
        <x:v>West</x:v>
      </x:c>
      <x:c r="F2251" s="11" t="str">
        <x:v>Technology</x:v>
      </x:c>
      <x:c r="G2251" s="11" t="str">
        <x:v>Keyboard</x:v>
      </x:c>
      <x:c r="H2251" s="11" t="n">
        <x:v>4</x:v>
      </x:c>
      <x:c r="I2251" s="19" t="n">
        <x:v>0</x:v>
      </x:c>
      <x:c r="J2251" s="11" t="n">
        <x:v>0</x:v>
      </x:c>
      <x:c r="K2251" s="20" t="n">
        <x:v>260</x:v>
      </x:c>
      <x:c r="L2251" s="20" t="n">
        <x:v>0</x:v>
      </x:c>
      <x:c r="M2251" s="20" t="n">
        <x:v>128</x:v>
      </x:c>
      <x:c r="N2251" s="20" t="n">
        <x:f>IF(J2251=1,0,K2251-L2251)</x:f>
        <x:v>260</x:v>
      </x:c>
      <x:c r="O2251" s="20" t="n">
        <x:f>N2251-M2251</x:f>
        <x:v>132</x:v>
      </x:c>
    </x:row>
    <x:row r="2252" ht="22" customHeight="1">
      <x:c r="A2252" s="11" t="n">
        <x:v>2248</x:v>
      </x:c>
      <x:c r="B2252" s="11" t="n">
        <x:v>1137</x:v>
      </x:c>
      <x:c r="C2252" s="18" t="n">
        <x:v>45654</x:v>
      </x:c>
      <x:c r="D2252" s="11" t="str">
        <x:v>2024-12</x:v>
      </x:c>
      <x:c r="E2252" s="11" t="str">
        <x:v>South</x:v>
      </x:c>
      <x:c r="F2252" s="11" t="str">
        <x:v>Technology</x:v>
      </x:c>
      <x:c r="G2252" s="11" t="str">
        <x:v>Monitor</x:v>
      </x:c>
      <x:c r="H2252" s="11" t="n">
        <x:v>2</x:v>
      </x:c>
      <x:c r="I2252" s="19" t="n">
        <x:v>0</x:v>
      </x:c>
      <x:c r="J2252" s="11" t="n">
        <x:v>0</x:v>
      </x:c>
      <x:c r="K2252" s="20" t="n">
        <x:v>480</x:v>
      </x:c>
      <x:c r="L2252" s="20" t="n">
        <x:v>0</x:v>
      </x:c>
      <x:c r="M2252" s="20" t="n">
        <x:v>320</x:v>
      </x:c>
      <x:c r="N2252" s="20" t="n">
        <x:f>IF(J2252=1,0,K2252-L2252)</x:f>
        <x:v>480</x:v>
      </x:c>
      <x:c r="O2252" s="20" t="n">
        <x:f>N2252-M2252</x:f>
        <x:v>160</x:v>
      </x:c>
    </x:row>
    <x:row r="2253" ht="22" customHeight="1">
      <x:c r="A2253" s="11" t="n">
        <x:v>2249</x:v>
      </x:c>
      <x:c r="B2253" s="11" t="n">
        <x:v>1137</x:v>
      </x:c>
      <x:c r="C2253" s="18" t="n">
        <x:v>45654</x:v>
      </x:c>
      <x:c r="D2253" s="11" t="str">
        <x:v>2024-12</x:v>
      </x:c>
      <x:c r="E2253" s="11" t="str">
        <x:v>South</x:v>
      </x:c>
      <x:c r="F2253" s="11" t="str">
        <x:v>Furniture</x:v>
      </x:c>
      <x:c r="G2253" s="11" t="str">
        <x:v>Desk</x:v>
      </x:c>
      <x:c r="H2253" s="11" t="n">
        <x:v>3</x:v>
      </x:c>
      <x:c r="I2253" s="19" t="n">
        <x:v>0.1</x:v>
      </x:c>
      <x:c r="J2253" s="11" t="n">
        <x:v>0</x:v>
      </x:c>
      <x:c r="K2253" s="20" t="n">
        <x:v>840</x:v>
      </x:c>
      <x:c r="L2253" s="20" t="n">
        <x:v>84</x:v>
      </x:c>
      <x:c r="M2253" s="20" t="n">
        <x:v>570</x:v>
      </x:c>
      <x:c r="N2253" s="20" t="n">
        <x:f>IF(J2253=1,0,K2253-L2253)</x:f>
        <x:v>756</x:v>
      </x:c>
      <x:c r="O2253" s="20" t="n">
        <x:f>N2253-M2253</x:f>
        <x:v>186</x:v>
      </x:c>
    </x:row>
    <x:row r="2254" ht="22" customHeight="1">
      <x:c r="A2254" s="11" t="n">
        <x:v>2250</x:v>
      </x:c>
      <x:c r="B2254" s="11" t="n">
        <x:v>1138</x:v>
      </x:c>
      <x:c r="C2254" s="18" t="n">
        <x:v>45316</x:v>
      </x:c>
      <x:c r="D2254" s="11" t="str">
        <x:v>2024-01</x:v>
      </x:c>
      <x:c r="E2254" s="11" t="str">
        <x:v>West</x:v>
      </x:c>
      <x:c r="F2254" s="11" t="str">
        <x:v>Technology</x:v>
      </x:c>
      <x:c r="G2254" s="11" t="str">
        <x:v>Monitor</x:v>
      </x:c>
      <x:c r="H2254" s="11" t="n">
        <x:v>5</x:v>
      </x:c>
      <x:c r="I2254" s="19" t="n">
        <x:v>0</x:v>
      </x:c>
      <x:c r="J2254" s="11" t="n">
        <x:v>0</x:v>
      </x:c>
      <x:c r="K2254" s="20" t="n">
        <x:v>1200</x:v>
      </x:c>
      <x:c r="L2254" s="20" t="n">
        <x:v>0</x:v>
      </x:c>
      <x:c r="M2254" s="20" t="n">
        <x:v>800</x:v>
      </x:c>
      <x:c r="N2254" s="20" t="n">
        <x:f>IF(J2254=1,0,K2254-L2254)</x:f>
        <x:v>1200</x:v>
      </x:c>
      <x:c r="O2254" s="20" t="n">
        <x:f>N2254-M2254</x:f>
        <x:v>400</x:v>
      </x:c>
    </x:row>
    <x:row r="2255" ht="22" customHeight="1">
      <x:c r="A2255" s="11" t="n">
        <x:v>2251</x:v>
      </x:c>
      <x:c r="B2255" s="11" t="n">
        <x:v>1138</x:v>
      </x:c>
      <x:c r="C2255" s="18" t="n">
        <x:v>45316</x:v>
      </x:c>
      <x:c r="D2255" s="11" t="str">
        <x:v>2024-01</x:v>
      </x:c>
      <x:c r="E2255" s="11" t="str">
        <x:v>West</x:v>
      </x:c>
      <x:c r="F2255" s="11" t="str">
        <x:v>Office Supplies</x:v>
      </x:c>
      <x:c r="G2255" s="11" t="str">
        <x:v>Notebook pack</x:v>
      </x:c>
      <x:c r="H2255" s="11" t="n">
        <x:v>5</x:v>
      </x:c>
      <x:c r="I2255" s="19" t="n">
        <x:v>0.15</x:v>
      </x:c>
      <x:c r="J2255" s="11" t="n">
        <x:v>0</x:v>
      </x:c>
      <x:c r="K2255" s="20" t="n">
        <x:v>90</x:v>
      </x:c>
      <x:c r="L2255" s="20" t="n">
        <x:v>13.5</x:v>
      </x:c>
      <x:c r="M2255" s="20" t="n">
        <x:v>35</x:v>
      </x:c>
      <x:c r="N2255" s="20" t="n">
        <x:f>IF(J2255=1,0,K2255-L2255)</x:f>
        <x:v>76.5</x:v>
      </x:c>
      <x:c r="O2255" s="20" t="n">
        <x:f>N2255-M2255</x:f>
        <x:v>41.5</x:v>
      </x:c>
    </x:row>
    <x:row r="2256" ht="22" customHeight="1">
      <x:c r="A2256" s="11" t="n">
        <x:v>2252</x:v>
      </x:c>
      <x:c r="B2256" s="11" t="n">
        <x:v>1139</x:v>
      </x:c>
      <x:c r="C2256" s="18" t="n">
        <x:v>45572</x:v>
      </x:c>
      <x:c r="D2256" s="11" t="str">
        <x:v>2024-10</x:v>
      </x:c>
      <x:c r="E2256" s="11" t="str">
        <x:v>West</x:v>
      </x:c>
      <x:c r="F2256" s="11" t="str">
        <x:v>Furniture</x:v>
      </x:c>
      <x:c r="G2256" s="11" t="str">
        <x:v>Chair</x:v>
      </x:c>
      <x:c r="H2256" s="11" t="n">
        <x:v>3</x:v>
      </x:c>
      <x:c r="I2256" s="19" t="n">
        <x:v>0.35</x:v>
      </x:c>
      <x:c r="J2256" s="11" t="n">
        <x:v>0</x:v>
      </x:c>
      <x:c r="K2256" s="20" t="n">
        <x:v>510</x:v>
      </x:c>
      <x:c r="L2256" s="20" t="n">
        <x:v>178.5</x:v>
      </x:c>
      <x:c r="M2256" s="20" t="n">
        <x:v>330</x:v>
      </x:c>
      <x:c r="N2256" s="20" t="n">
        <x:f>IF(J2256=1,0,K2256-L2256)</x:f>
        <x:v>331.5</x:v>
      </x:c>
      <x:c r="O2256" s="20" t="n">
        <x:f>N2256-M2256</x:f>
        <x:v>1.5</x:v>
      </x:c>
    </x:row>
    <x:row r="2257" ht="22" customHeight="1">
      <x:c r="A2257" s="11" t="n">
        <x:v>2253</x:v>
      </x:c>
      <x:c r="B2257" s="11" t="n">
        <x:v>1140</x:v>
      </x:c>
      <x:c r="C2257" s="18" t="n">
        <x:v>45899</x:v>
      </x:c>
      <x:c r="D2257" s="11" t="str">
        <x:v>2025-08</x:v>
      </x:c>
      <x:c r="E2257" s="11" t="str">
        <x:v>East</x:v>
      </x:c>
      <x:c r="F2257" s="11" t="str">
        <x:v>Technology</x:v>
      </x:c>
      <x:c r="G2257" s="11" t="str">
        <x:v>Keyboard</x:v>
      </x:c>
      <x:c r="H2257" s="11" t="n">
        <x:v>3</x:v>
      </x:c>
      <x:c r="I2257" s="19" t="n">
        <x:v>0.15</x:v>
      </x:c>
      <x:c r="J2257" s="11" t="n">
        <x:v>0</x:v>
      </x:c>
      <x:c r="K2257" s="20" t="n">
        <x:v>195</x:v>
      </x:c>
      <x:c r="L2257" s="20" t="n">
        <x:v>29.25</x:v>
      </x:c>
      <x:c r="M2257" s="20" t="n">
        <x:v>96</x:v>
      </x:c>
      <x:c r="N2257" s="20" t="n">
        <x:f>IF(J2257=1,0,K2257-L2257)</x:f>
        <x:v>165.75</x:v>
      </x:c>
      <x:c r="O2257" s="20" t="n">
        <x:f>N2257-M2257</x:f>
        <x:v>69.75</x:v>
      </x:c>
    </x:row>
    <x:row r="2258" ht="22" customHeight="1">
      <x:c r="A2258" s="11" t="n">
        <x:v>2254</x:v>
      </x:c>
      <x:c r="B2258" s="11" t="n">
        <x:v>1140</x:v>
      </x:c>
      <x:c r="C2258" s="18" t="n">
        <x:v>45899</x:v>
      </x:c>
      <x:c r="D2258" s="11" t="str">
        <x:v>2025-08</x:v>
      </x:c>
      <x:c r="E2258" s="11" t="str">
        <x:v>East</x:v>
      </x:c>
      <x:c r="F2258" s="11" t="str">
        <x:v>Office Supplies</x:v>
      </x:c>
      <x:c r="G2258" s="11" t="str">
        <x:v>Storage box</x:v>
      </x:c>
      <x:c r="H2258" s="11" t="n">
        <x:v>1</x:v>
      </x:c>
      <x:c r="I2258" s="19" t="n">
        <x:v>0</x:v>
      </x:c>
      <x:c r="J2258" s="11" t="n">
        <x:v>1</x:v>
      </x:c>
      <x:c r="K2258" s="20" t="n">
        <x:v>26</x:v>
      </x:c>
      <x:c r="L2258" s="20" t="n">
        <x:v>0</x:v>
      </x:c>
      <x:c r="M2258" s="20" t="n">
        <x:v>0</x:v>
      </x:c>
      <x:c r="N2258" s="20" t="n">
        <x:f>IF(J2258=1,0,K2258-L2258)</x:f>
        <x:v>0</x:v>
      </x:c>
      <x:c r="O2258" s="20" t="n">
        <x:f>N2258-M2258</x:f>
        <x:v>0</x:v>
      </x:c>
    </x:row>
    <x:row r="2259" ht="22" customHeight="1">
      <x:c r="A2259" s="11" t="n">
        <x:v>2255</x:v>
      </x:c>
      <x:c r="B2259" s="11" t="n">
        <x:v>1140</x:v>
      </x:c>
      <x:c r="C2259" s="18" t="n">
        <x:v>45899</x:v>
      </x:c>
      <x:c r="D2259" s="11" t="str">
        <x:v>2025-08</x:v>
      </x:c>
      <x:c r="E2259" s="11" t="str">
        <x:v>East</x:v>
      </x:c>
      <x:c r="F2259" s="11" t="str">
        <x:v>Furniture</x:v>
      </x:c>
      <x:c r="G2259" s="11" t="str">
        <x:v>Chair</x:v>
      </x:c>
      <x:c r="H2259" s="11" t="n">
        <x:v>3</x:v>
      </x:c>
      <x:c r="I2259" s="19" t="n">
        <x:v>0.1</x:v>
      </x:c>
      <x:c r="J2259" s="11" t="n">
        <x:v>0</x:v>
      </x:c>
      <x:c r="K2259" s="20" t="n">
        <x:v>510</x:v>
      </x:c>
      <x:c r="L2259" s="20" t="n">
        <x:v>51</x:v>
      </x:c>
      <x:c r="M2259" s="20" t="n">
        <x:v>330</x:v>
      </x:c>
      <x:c r="N2259" s="20" t="n">
        <x:f>IF(J2259=1,0,K2259-L2259)</x:f>
        <x:v>459</x:v>
      </x:c>
      <x:c r="O2259" s="20" t="n">
        <x:f>N2259-M2259</x:f>
        <x:v>129</x:v>
      </x:c>
    </x:row>
    <x:row r="2260" ht="22" customHeight="1">
      <x:c r="A2260" s="11" t="n">
        <x:v>2256</x:v>
      </x:c>
      <x:c r="B2260" s="11" t="n">
        <x:v>1141</x:v>
      </x:c>
      <x:c r="C2260" s="18" t="n">
        <x:v>45740</x:v>
      </x:c>
      <x:c r="D2260" s="11" t="str">
        <x:v>2025-03</x:v>
      </x:c>
      <x:c r="E2260" s="11" t="str">
        <x:v>South</x:v>
      </x:c>
      <x:c r="F2260" s="11" t="str">
        <x:v>Furniture</x:v>
      </x:c>
      <x:c r="G2260" s="11" t="str">
        <x:v>Chair</x:v>
      </x:c>
      <x:c r="H2260" s="11" t="n">
        <x:v>3</x:v>
      </x:c>
      <x:c r="I2260" s="19" t="n">
        <x:v>0.25</x:v>
      </x:c>
      <x:c r="J2260" s="11" t="n">
        <x:v>0</x:v>
      </x:c>
      <x:c r="K2260" s="20" t="n">
        <x:v>510</x:v>
      </x:c>
      <x:c r="L2260" s="20" t="n">
        <x:v>127.5</x:v>
      </x:c>
      <x:c r="M2260" s="20" t="n">
        <x:v>330</x:v>
      </x:c>
      <x:c r="N2260" s="20" t="n">
        <x:f>IF(J2260=1,0,K2260-L2260)</x:f>
        <x:v>382.5</x:v>
      </x:c>
      <x:c r="O2260" s="20" t="n">
        <x:f>N2260-M2260</x:f>
        <x:v>52.5</x:v>
      </x:c>
    </x:row>
    <x:row r="2261" ht="22" customHeight="1">
      <x:c r="A2261" s="11" t="n">
        <x:v>2257</x:v>
      </x:c>
      <x:c r="B2261" s="11" t="n">
        <x:v>1141</x:v>
      </x:c>
      <x:c r="C2261" s="18" t="n">
        <x:v>45740</x:v>
      </x:c>
      <x:c r="D2261" s="11" t="str">
        <x:v>2025-03</x:v>
      </x:c>
      <x:c r="E2261" s="11" t="str">
        <x:v>South</x:v>
      </x:c>
      <x:c r="F2261" s="11" t="str">
        <x:v>Furniture</x:v>
      </x:c>
      <x:c r="G2261" s="11" t="str">
        <x:v>Desk</x:v>
      </x:c>
      <x:c r="H2261" s="11" t="n">
        <x:v>2</x:v>
      </x:c>
      <x:c r="I2261" s="19" t="n">
        <x:v>0.1</x:v>
      </x:c>
      <x:c r="J2261" s="11" t="n">
        <x:v>0</x:v>
      </x:c>
      <x:c r="K2261" s="20" t="n">
        <x:v>560</x:v>
      </x:c>
      <x:c r="L2261" s="20" t="n">
        <x:v>56</x:v>
      </x:c>
      <x:c r="M2261" s="20" t="n">
        <x:v>380</x:v>
      </x:c>
      <x:c r="N2261" s="20" t="n">
        <x:f>IF(J2261=1,0,K2261-L2261)</x:f>
        <x:v>504</x:v>
      </x:c>
      <x:c r="O2261" s="20" t="n">
        <x:f>N2261-M2261</x:f>
        <x:v>124</x:v>
      </x:c>
    </x:row>
    <x:row r="2262" ht="22" customHeight="1">
      <x:c r="A2262" s="11" t="n">
        <x:v>2258</x:v>
      </x:c>
      <x:c r="B2262" s="11" t="n">
        <x:v>1142</x:v>
      </x:c>
      <x:c r="C2262" s="18" t="n">
        <x:v>45867</x:v>
      </x:c>
      <x:c r="D2262" s="11" t="str">
        <x:v>2025-07</x:v>
      </x:c>
      <x:c r="E2262" s="11" t="str">
        <x:v>East</x:v>
      </x:c>
      <x:c r="F2262" s="11" t="str">
        <x:v>Technology</x:v>
      </x:c>
      <x:c r="G2262" s="11" t="str">
        <x:v>Monitor</x:v>
      </x:c>
      <x:c r="H2262" s="11" t="n">
        <x:v>5</x:v>
      </x:c>
      <x:c r="I2262" s="19" t="n">
        <x:v>0.15</x:v>
      </x:c>
      <x:c r="J2262" s="11" t="n">
        <x:v>0</x:v>
      </x:c>
      <x:c r="K2262" s="20" t="n">
        <x:v>1200</x:v>
      </x:c>
      <x:c r="L2262" s="20" t="n">
        <x:v>180</x:v>
      </x:c>
      <x:c r="M2262" s="20" t="n">
        <x:v>800</x:v>
      </x:c>
      <x:c r="N2262" s="20" t="n">
        <x:f>IF(J2262=1,0,K2262-L2262)</x:f>
        <x:v>1020</x:v>
      </x:c>
      <x:c r="O2262" s="20" t="n">
        <x:f>N2262-M2262</x:f>
        <x:v>220</x:v>
      </x:c>
    </x:row>
    <x:row r="2263" ht="22" customHeight="1">
      <x:c r="A2263" s="11" t="n">
        <x:v>2259</x:v>
      </x:c>
      <x:c r="B2263" s="11" t="n">
        <x:v>1143</x:v>
      </x:c>
      <x:c r="C2263" s="18" t="n">
        <x:v>45558</x:v>
      </x:c>
      <x:c r="D2263" s="11" t="str">
        <x:v>2024-09</x:v>
      </x:c>
      <x:c r="E2263" s="11" t="str">
        <x:v>South</x:v>
      </x:c>
      <x:c r="F2263" s="11" t="str">
        <x:v>Furniture</x:v>
      </x:c>
      <x:c r="G2263" s="11" t="str">
        <x:v>Desk</x:v>
      </x:c>
      <x:c r="H2263" s="11" t="n">
        <x:v>3</x:v>
      </x:c>
      <x:c r="I2263" s="19" t="n">
        <x:v>0.15</x:v>
      </x:c>
      <x:c r="J2263" s="11" t="n">
        <x:v>0</x:v>
      </x:c>
      <x:c r="K2263" s="20" t="n">
        <x:v>840</x:v>
      </x:c>
      <x:c r="L2263" s="20" t="n">
        <x:v>126</x:v>
      </x:c>
      <x:c r="M2263" s="20" t="n">
        <x:v>570</x:v>
      </x:c>
      <x:c r="N2263" s="20" t="n">
        <x:f>IF(J2263=1,0,K2263-L2263)</x:f>
        <x:v>714</x:v>
      </x:c>
      <x:c r="O2263" s="20" t="n">
        <x:f>N2263-M2263</x:f>
        <x:v>144</x:v>
      </x:c>
    </x:row>
    <x:row r="2264" ht="22" customHeight="1">
      <x:c r="A2264" s="11" t="n">
        <x:v>2260</x:v>
      </x:c>
      <x:c r="B2264" s="11" t="n">
        <x:v>1143</x:v>
      </x:c>
      <x:c r="C2264" s="18" t="n">
        <x:v>45558</x:v>
      </x:c>
      <x:c r="D2264" s="11" t="str">
        <x:v>2024-09</x:v>
      </x:c>
      <x:c r="E2264" s="11" t="str">
        <x:v>South</x:v>
      </x:c>
      <x:c r="F2264" s="11" t="str">
        <x:v>Furniture</x:v>
      </x:c>
      <x:c r="G2264" s="11" t="str">
        <x:v>Chair</x:v>
      </x:c>
      <x:c r="H2264" s="11" t="n">
        <x:v>4</x:v>
      </x:c>
      <x:c r="I2264" s="19" t="n">
        <x:v>0.05</x:v>
      </x:c>
      <x:c r="J2264" s="11" t="n">
        <x:v>0</x:v>
      </x:c>
      <x:c r="K2264" s="20" t="n">
        <x:v>680</x:v>
      </x:c>
      <x:c r="L2264" s="20" t="n">
        <x:v>34</x:v>
      </x:c>
      <x:c r="M2264" s="20" t="n">
        <x:v>440</x:v>
      </x:c>
      <x:c r="N2264" s="20" t="n">
        <x:f>IF(J2264=1,0,K2264-L2264)</x:f>
        <x:v>646</x:v>
      </x:c>
      <x:c r="O2264" s="20" t="n">
        <x:f>N2264-M2264</x:f>
        <x:v>206</x:v>
      </x:c>
    </x:row>
    <x:row r="2265" ht="22" customHeight="1">
      <x:c r="A2265" s="11" t="n">
        <x:v>2261</x:v>
      </x:c>
      <x:c r="B2265" s="11" t="n">
        <x:v>1143</x:v>
      </x:c>
      <x:c r="C2265" s="18" t="n">
        <x:v>45558</x:v>
      </x:c>
      <x:c r="D2265" s="11" t="str">
        <x:v>2024-09</x:v>
      </x:c>
      <x:c r="E2265" s="11" t="str">
        <x:v>South</x:v>
      </x:c>
      <x:c r="F2265" s="11" t="str">
        <x:v>Office Supplies</x:v>
      </x:c>
      <x:c r="G2265" s="11" t="str">
        <x:v>Storage box</x:v>
      </x:c>
      <x:c r="H2265" s="11" t="n">
        <x:v>4</x:v>
      </x:c>
      <x:c r="I2265" s="19" t="n">
        <x:v>0</x:v>
      </x:c>
      <x:c r="J2265" s="11" t="n">
        <x:v>0</x:v>
      </x:c>
      <x:c r="K2265" s="20" t="n">
        <x:v>104</x:v>
      </x:c>
      <x:c r="L2265" s="20" t="n">
        <x:v>0</x:v>
      </x:c>
      <x:c r="M2265" s="20" t="n">
        <x:v>48</x:v>
      </x:c>
      <x:c r="N2265" s="20" t="n">
        <x:f>IF(J2265=1,0,K2265-L2265)</x:f>
        <x:v>104</x:v>
      </x:c>
      <x:c r="O2265" s="20" t="n">
        <x:f>N2265-M2265</x:f>
        <x:v>56</x:v>
      </x:c>
    </x:row>
    <x:row r="2266" ht="22" customHeight="1">
      <x:c r="A2266" s="11" t="n">
        <x:v>2262</x:v>
      </x:c>
      <x:c r="B2266" s="11" t="n">
        <x:v>1144</x:v>
      </x:c>
      <x:c r="C2266" s="18" t="n">
        <x:v>45633</x:v>
      </x:c>
      <x:c r="D2266" s="11" t="str">
        <x:v>2024-12</x:v>
      </x:c>
      <x:c r="E2266" s="11" t="str">
        <x:v>South</x:v>
      </x:c>
      <x:c r="F2266" s="11" t="str">
        <x:v>Office Supplies</x:v>
      </x:c>
      <x:c r="G2266" s="11" t="str">
        <x:v>Notebook pack</x:v>
      </x:c>
      <x:c r="H2266" s="11" t="n">
        <x:v>2</x:v>
      </x:c>
      <x:c r="I2266" s="19" t="n">
        <x:v>0</x:v>
      </x:c>
      <x:c r="J2266" s="11" t="n">
        <x:v>0</x:v>
      </x:c>
      <x:c r="K2266" s="20" t="n">
        <x:v>36</x:v>
      </x:c>
      <x:c r="L2266" s="20" t="n">
        <x:v>0</x:v>
      </x:c>
      <x:c r="M2266" s="20" t="n">
        <x:v>14</x:v>
      </x:c>
      <x:c r="N2266" s="20" t="n">
        <x:f>IF(J2266=1,0,K2266-L2266)</x:f>
        <x:v>36</x:v>
      </x:c>
      <x:c r="O2266" s="20" t="n">
        <x:f>N2266-M2266</x:f>
        <x:v>22</x:v>
      </x:c>
    </x:row>
    <x:row r="2267" ht="22" customHeight="1">
      <x:c r="A2267" s="11" t="n">
        <x:v>2263</x:v>
      </x:c>
      <x:c r="B2267" s="11" t="n">
        <x:v>1144</x:v>
      </x:c>
      <x:c r="C2267" s="18" t="n">
        <x:v>45633</x:v>
      </x:c>
      <x:c r="D2267" s="11" t="str">
        <x:v>2024-12</x:v>
      </x:c>
      <x:c r="E2267" s="11" t="str">
        <x:v>South</x:v>
      </x:c>
      <x:c r="F2267" s="11" t="str">
        <x:v>Furniture</x:v>
      </x:c>
      <x:c r="G2267" s="11" t="str">
        <x:v>Desk</x:v>
      </x:c>
      <x:c r="H2267" s="11" t="n">
        <x:v>4</x:v>
      </x:c>
      <x:c r="I2267" s="19" t="n">
        <x:v>0.25</x:v>
      </x:c>
      <x:c r="J2267" s="11" t="n">
        <x:v>0</x:v>
      </x:c>
      <x:c r="K2267" s="20" t="n">
        <x:v>1120</x:v>
      </x:c>
      <x:c r="L2267" s="20" t="n">
        <x:v>280</x:v>
      </x:c>
      <x:c r="M2267" s="20" t="n">
        <x:v>760</x:v>
      </x:c>
      <x:c r="N2267" s="20" t="n">
        <x:f>IF(J2267=1,0,K2267-L2267)</x:f>
        <x:v>840</x:v>
      </x:c>
      <x:c r="O2267" s="20" t="n">
        <x:f>N2267-M2267</x:f>
        <x:v>80</x:v>
      </x:c>
    </x:row>
    <x:row r="2268" ht="22" customHeight="1">
      <x:c r="A2268" s="11" t="n">
        <x:v>2264</x:v>
      </x:c>
      <x:c r="B2268" s="11" t="n">
        <x:v>1145</x:v>
      </x:c>
      <x:c r="C2268" s="18" t="n">
        <x:v>45341</x:v>
      </x:c>
      <x:c r="D2268" s="11" t="str">
        <x:v>2024-02</x:v>
      </x:c>
      <x:c r="E2268" s="11" t="str">
        <x:v>East</x:v>
      </x:c>
      <x:c r="F2268" s="11" t="str">
        <x:v>Technology</x:v>
      </x:c>
      <x:c r="G2268" s="11" t="str">
        <x:v>Monitor</x:v>
      </x:c>
      <x:c r="H2268" s="11" t="n">
        <x:v>1</x:v>
      </x:c>
      <x:c r="I2268" s="19" t="n">
        <x:v>0.15</x:v>
      </x:c>
      <x:c r="J2268" s="11" t="n">
        <x:v>0</x:v>
      </x:c>
      <x:c r="K2268" s="20" t="n">
        <x:v>240</x:v>
      </x:c>
      <x:c r="L2268" s="20" t="n">
        <x:v>36</x:v>
      </x:c>
      <x:c r="M2268" s="20" t="n">
        <x:v>160</x:v>
      </x:c>
      <x:c r="N2268" s="20" t="n">
        <x:f>IF(J2268=1,0,K2268-L2268)</x:f>
        <x:v>204</x:v>
      </x:c>
      <x:c r="O2268" s="20" t="n">
        <x:f>N2268-M2268</x:f>
        <x:v>44</x:v>
      </x:c>
    </x:row>
    <x:row r="2269" ht="22" customHeight="1">
      <x:c r="A2269" s="11" t="n">
        <x:v>2265</x:v>
      </x:c>
      <x:c r="B2269" s="11" t="n">
        <x:v>1145</x:v>
      </x:c>
      <x:c r="C2269" s="18" t="n">
        <x:v>45341</x:v>
      </x:c>
      <x:c r="D2269" s="11" t="str">
        <x:v>2024-02</x:v>
      </x:c>
      <x:c r="E2269" s="11" t="str">
        <x:v>East</x:v>
      </x:c>
      <x:c r="F2269" s="11" t="str">
        <x:v>Furniture</x:v>
      </x:c>
      <x:c r="G2269" s="11" t="str">
        <x:v>Desk</x:v>
      </x:c>
      <x:c r="H2269" s="11" t="n">
        <x:v>3</x:v>
      </x:c>
      <x:c r="I2269" s="19" t="n">
        <x:v>0.35</x:v>
      </x:c>
      <x:c r="J2269" s="11" t="n">
        <x:v>0</x:v>
      </x:c>
      <x:c r="K2269" s="20" t="n">
        <x:v>840</x:v>
      </x:c>
      <x:c r="L2269" s="20" t="n">
        <x:v>294</x:v>
      </x:c>
      <x:c r="M2269" s="20" t="n">
        <x:v>570</x:v>
      </x:c>
      <x:c r="N2269" s="20" t="n">
        <x:f>IF(J2269=1,0,K2269-L2269)</x:f>
        <x:v>546</x:v>
      </x:c>
      <x:c r="O2269" s="20" t="n">
        <x:f>N2269-M2269</x:f>
        <x:v>-24</x:v>
      </x:c>
    </x:row>
    <x:row r="2270" ht="22" customHeight="1">
      <x:c r="A2270" s="11" t="n">
        <x:v>2266</x:v>
      </x:c>
      <x:c r="B2270" s="11" t="n">
        <x:v>1145</x:v>
      </x:c>
      <x:c r="C2270" s="18" t="n">
        <x:v>45341</x:v>
      </x:c>
      <x:c r="D2270" s="11" t="str">
        <x:v>2024-02</x:v>
      </x:c>
      <x:c r="E2270" s="11" t="str">
        <x:v>East</x:v>
      </x:c>
      <x:c r="F2270" s="11" t="str">
        <x:v>Technology</x:v>
      </x:c>
      <x:c r="G2270" s="11" t="str">
        <x:v>Keyboard</x:v>
      </x:c>
      <x:c r="H2270" s="11" t="n">
        <x:v>3</x:v>
      </x:c>
      <x:c r="I2270" s="19" t="n">
        <x:v>0</x:v>
      </x:c>
      <x:c r="J2270" s="11" t="n">
        <x:v>0</x:v>
      </x:c>
      <x:c r="K2270" s="20" t="n">
        <x:v>195</x:v>
      </x:c>
      <x:c r="L2270" s="20" t="n">
        <x:v>0</x:v>
      </x:c>
      <x:c r="M2270" s="20" t="n">
        <x:v>96</x:v>
      </x:c>
      <x:c r="N2270" s="20" t="n">
        <x:f>IF(J2270=1,0,K2270-L2270)</x:f>
        <x:v>195</x:v>
      </x:c>
      <x:c r="O2270" s="20" t="n">
        <x:f>N2270-M2270</x:f>
        <x:v>99</x:v>
      </x:c>
    </x:row>
    <x:row r="2271" ht="22" customHeight="1">
      <x:c r="A2271" s="11" t="n">
        <x:v>2267</x:v>
      </x:c>
      <x:c r="B2271" s="11" t="n">
        <x:v>1146</x:v>
      </x:c>
      <x:c r="C2271" s="18" t="n">
        <x:v>45870</x:v>
      </x:c>
      <x:c r="D2271" s="11" t="str">
        <x:v>2025-08</x:v>
      </x:c>
      <x:c r="E2271" s="11" t="str">
        <x:v>Central</x:v>
      </x:c>
      <x:c r="F2271" s="11" t="str">
        <x:v>Furniture</x:v>
      </x:c>
      <x:c r="G2271" s="11" t="str">
        <x:v>Chair</x:v>
      </x:c>
      <x:c r="H2271" s="11" t="n">
        <x:v>5</x:v>
      </x:c>
      <x:c r="I2271" s="19" t="n">
        <x:v>0.35</x:v>
      </x:c>
      <x:c r="J2271" s="11" t="n">
        <x:v>0</x:v>
      </x:c>
      <x:c r="K2271" s="20" t="n">
        <x:v>850</x:v>
      </x:c>
      <x:c r="L2271" s="20" t="n">
        <x:v>297.5</x:v>
      </x:c>
      <x:c r="M2271" s="20" t="n">
        <x:v>550</x:v>
      </x:c>
      <x:c r="N2271" s="20" t="n">
        <x:f>IF(J2271=1,0,K2271-L2271)</x:f>
        <x:v>552.5</x:v>
      </x:c>
      <x:c r="O2271" s="20" t="n">
        <x:f>N2271-M2271</x:f>
        <x:v>2.5</x:v>
      </x:c>
    </x:row>
    <x:row r="2272" ht="22" customHeight="1">
      <x:c r="A2272" s="11" t="n">
        <x:v>2268</x:v>
      </x:c>
      <x:c r="B2272" s="11" t="n">
        <x:v>1146</x:v>
      </x:c>
      <x:c r="C2272" s="18" t="n">
        <x:v>45870</x:v>
      </x:c>
      <x:c r="D2272" s="11" t="str">
        <x:v>2025-08</x:v>
      </x:c>
      <x:c r="E2272" s="11" t="str">
        <x:v>Central</x:v>
      </x:c>
      <x:c r="F2272" s="11" t="str">
        <x:v>Office Supplies</x:v>
      </x:c>
      <x:c r="G2272" s="11" t="str">
        <x:v>Notebook pack</x:v>
      </x:c>
      <x:c r="H2272" s="11" t="n">
        <x:v>2</x:v>
      </x:c>
      <x:c r="I2272" s="19" t="n">
        <x:v>0</x:v>
      </x:c>
      <x:c r="J2272" s="11" t="n">
        <x:v>0</x:v>
      </x:c>
      <x:c r="K2272" s="20" t="n">
        <x:v>36</x:v>
      </x:c>
      <x:c r="L2272" s="20" t="n">
        <x:v>0</x:v>
      </x:c>
      <x:c r="M2272" s="20" t="n">
        <x:v>14</x:v>
      </x:c>
      <x:c r="N2272" s="20" t="n">
        <x:f>IF(J2272=1,0,K2272-L2272)</x:f>
        <x:v>36</x:v>
      </x:c>
      <x:c r="O2272" s="20" t="n">
        <x:f>N2272-M2272</x:f>
        <x:v>22</x:v>
      </x:c>
    </x:row>
    <x:row r="2273" ht="22" customHeight="1">
      <x:c r="A2273" s="11" t="n">
        <x:v>2269</x:v>
      </x:c>
      <x:c r="B2273" s="11" t="n">
        <x:v>1146</x:v>
      </x:c>
      <x:c r="C2273" s="18" t="n">
        <x:v>45870</x:v>
      </x:c>
      <x:c r="D2273" s="11" t="str">
        <x:v>2025-08</x:v>
      </x:c>
      <x:c r="E2273" s="11" t="str">
        <x:v>Central</x:v>
      </x:c>
      <x:c r="F2273" s="11" t="str">
        <x:v>Furniture</x:v>
      </x:c>
      <x:c r="G2273" s="11" t="str">
        <x:v>Desk</x:v>
      </x:c>
      <x:c r="H2273" s="11" t="n">
        <x:v>4</x:v>
      </x:c>
      <x:c r="I2273" s="19" t="n">
        <x:v>0.1</x:v>
      </x:c>
      <x:c r="J2273" s="11" t="n">
        <x:v>0</x:v>
      </x:c>
      <x:c r="K2273" s="20" t="n">
        <x:v>1120</x:v>
      </x:c>
      <x:c r="L2273" s="20" t="n">
        <x:v>112</x:v>
      </x:c>
      <x:c r="M2273" s="20" t="n">
        <x:v>760</x:v>
      </x:c>
      <x:c r="N2273" s="20" t="n">
        <x:f>IF(J2273=1,0,K2273-L2273)</x:f>
        <x:v>1008</x:v>
      </x:c>
      <x:c r="O2273" s="20" t="n">
        <x:f>N2273-M2273</x:f>
        <x:v>248</x:v>
      </x:c>
    </x:row>
    <x:row r="2274" ht="22" customHeight="1">
      <x:c r="A2274" s="11" t="n">
        <x:v>2270</x:v>
      </x:c>
      <x:c r="B2274" s="11" t="n">
        <x:v>1147</x:v>
      </x:c>
      <x:c r="C2274" s="18" t="n">
        <x:v>45447</x:v>
      </x:c>
      <x:c r="D2274" s="11" t="str">
        <x:v>2024-06</x:v>
      </x:c>
      <x:c r="E2274" s="11" t="str">
        <x:v>South</x:v>
      </x:c>
      <x:c r="F2274" s="11" t="str">
        <x:v>Furniture</x:v>
      </x:c>
      <x:c r="G2274" s="11" t="str">
        <x:v>Chair</x:v>
      </x:c>
      <x:c r="H2274" s="11" t="n">
        <x:v>5</x:v>
      </x:c>
      <x:c r="I2274" s="19" t="n">
        <x:v>0.15</x:v>
      </x:c>
      <x:c r="J2274" s="11" t="n">
        <x:v>0</x:v>
      </x:c>
      <x:c r="K2274" s="20" t="n">
        <x:v>850</x:v>
      </x:c>
      <x:c r="L2274" s="20" t="n">
        <x:v>127.5</x:v>
      </x:c>
      <x:c r="M2274" s="20" t="n">
        <x:v>550</x:v>
      </x:c>
      <x:c r="N2274" s="20" t="n">
        <x:f>IF(J2274=1,0,K2274-L2274)</x:f>
        <x:v>722.5</x:v>
      </x:c>
      <x:c r="O2274" s="20" t="n">
        <x:f>N2274-M2274</x:f>
        <x:v>172.5</x:v>
      </x:c>
    </x:row>
    <x:row r="2275" ht="22" customHeight="1">
      <x:c r="A2275" s="11" t="n">
        <x:v>2271</x:v>
      </x:c>
      <x:c r="B2275" s="11" t="n">
        <x:v>1148</x:v>
      </x:c>
      <x:c r="C2275" s="18" t="n">
        <x:v>46001</x:v>
      </x:c>
      <x:c r="D2275" s="11" t="str">
        <x:v>2025-12</x:v>
      </x:c>
      <x:c r="E2275" s="11" t="str">
        <x:v>Central</x:v>
      </x:c>
      <x:c r="F2275" s="11" t="str">
        <x:v>Technology</x:v>
      </x:c>
      <x:c r="G2275" s="11" t="str">
        <x:v>Keyboard</x:v>
      </x:c>
      <x:c r="H2275" s="11" t="n">
        <x:v>5</x:v>
      </x:c>
      <x:c r="I2275" s="19" t="n">
        <x:v>0.05</x:v>
      </x:c>
      <x:c r="J2275" s="11" t="n">
        <x:v>1</x:v>
      </x:c>
      <x:c r="K2275" s="20" t="n">
        <x:v>325</x:v>
      </x:c>
      <x:c r="L2275" s="20" t="n">
        <x:v>16.25</x:v>
      </x:c>
      <x:c r="M2275" s="20" t="n">
        <x:v>0</x:v>
      </x:c>
      <x:c r="N2275" s="20" t="n">
        <x:f>IF(J2275=1,0,K2275-L2275)</x:f>
        <x:v>0</x:v>
      </x:c>
      <x:c r="O2275" s="20" t="n">
        <x:f>N2275-M2275</x:f>
        <x:v>0</x:v>
      </x:c>
    </x:row>
    <x:row r="2276" ht="22" customHeight="1">
      <x:c r="A2276" s="11" t="n">
        <x:v>2272</x:v>
      </x:c>
      <x:c r="B2276" s="11" t="n">
        <x:v>1149</x:v>
      </x:c>
      <x:c r="C2276" s="18" t="n">
        <x:v>45691</x:v>
      </x:c>
      <x:c r="D2276" s="11" t="str">
        <x:v>2025-02</x:v>
      </x:c>
      <x:c r="E2276" s="11" t="str">
        <x:v>South</x:v>
      </x:c>
      <x:c r="F2276" s="11" t="str">
        <x:v>Technology</x:v>
      </x:c>
      <x:c r="G2276" s="11" t="str">
        <x:v>Monitor</x:v>
      </x:c>
      <x:c r="H2276" s="11" t="n">
        <x:v>4</x:v>
      </x:c>
      <x:c r="I2276" s="19" t="n">
        <x:v>0</x:v>
      </x:c>
      <x:c r="J2276" s="11" t="n">
        <x:v>0</x:v>
      </x:c>
      <x:c r="K2276" s="20" t="n">
        <x:v>960</x:v>
      </x:c>
      <x:c r="L2276" s="20" t="n">
        <x:v>0</x:v>
      </x:c>
      <x:c r="M2276" s="20" t="n">
        <x:v>640</x:v>
      </x:c>
      <x:c r="N2276" s="20" t="n">
        <x:f>IF(J2276=1,0,K2276-L2276)</x:f>
        <x:v>960</x:v>
      </x:c>
      <x:c r="O2276" s="20" t="n">
        <x:f>N2276-M2276</x:f>
        <x:v>320</x:v>
      </x:c>
    </x:row>
    <x:row r="2277" ht="22" customHeight="1">
      <x:c r="A2277" s="11" t="n">
        <x:v>2273</x:v>
      </x:c>
      <x:c r="B2277" s="11" t="n">
        <x:v>1150</x:v>
      </x:c>
      <x:c r="C2277" s="18" t="n">
        <x:v>45520</x:v>
      </x:c>
      <x:c r="D2277" s="11" t="str">
        <x:v>2024-08</x:v>
      </x:c>
      <x:c r="E2277" s="11" t="str">
        <x:v>East</x:v>
      </x:c>
      <x:c r="F2277" s="11" t="str">
        <x:v>Technology</x:v>
      </x:c>
      <x:c r="G2277" s="11" t="str">
        <x:v>Keyboard</x:v>
      </x:c>
      <x:c r="H2277" s="11" t="n">
        <x:v>5</x:v>
      </x:c>
      <x:c r="I2277" s="19" t="n">
        <x:v>0</x:v>
      </x:c>
      <x:c r="J2277" s="11" t="n">
        <x:v>0</x:v>
      </x:c>
      <x:c r="K2277" s="20" t="n">
        <x:v>325</x:v>
      </x:c>
      <x:c r="L2277" s="20" t="n">
        <x:v>0</x:v>
      </x:c>
      <x:c r="M2277" s="20" t="n">
        <x:v>160</x:v>
      </x:c>
      <x:c r="N2277" s="20" t="n">
        <x:f>IF(J2277=1,0,K2277-L2277)</x:f>
        <x:v>325</x:v>
      </x:c>
      <x:c r="O2277" s="20" t="n">
        <x:f>N2277-M2277</x:f>
        <x:v>165</x:v>
      </x:c>
    </x:row>
    <x:row r="2278" ht="22" customHeight="1">
      <x:c r="A2278" s="11" t="n">
        <x:v>2274</x:v>
      </x:c>
      <x:c r="B2278" s="11" t="n">
        <x:v>1150</x:v>
      </x:c>
      <x:c r="C2278" s="18" t="n">
        <x:v>45520</x:v>
      </x:c>
      <x:c r="D2278" s="11" t="str">
        <x:v>2024-08</x:v>
      </x:c>
      <x:c r="E2278" s="11" t="str">
        <x:v>East</x:v>
      </x:c>
      <x:c r="F2278" s="11" t="str">
        <x:v>Furniture</x:v>
      </x:c>
      <x:c r="G2278" s="11" t="str">
        <x:v>Chair</x:v>
      </x:c>
      <x:c r="H2278" s="11" t="n">
        <x:v>2</x:v>
      </x:c>
      <x:c r="I2278" s="19" t="n">
        <x:v>0.05</x:v>
      </x:c>
      <x:c r="J2278" s="11" t="n">
        <x:v>0</x:v>
      </x:c>
      <x:c r="K2278" s="20" t="n">
        <x:v>340</x:v>
      </x:c>
      <x:c r="L2278" s="20" t="n">
        <x:v>17</x:v>
      </x:c>
      <x:c r="M2278" s="20" t="n">
        <x:v>220</x:v>
      </x:c>
      <x:c r="N2278" s="20" t="n">
        <x:f>IF(J2278=1,0,K2278-L2278)</x:f>
        <x:v>323</x:v>
      </x:c>
      <x:c r="O2278" s="20" t="n">
        <x:f>N2278-M2278</x:f>
        <x:v>103</x:v>
      </x:c>
    </x:row>
    <x:row r="2279" ht="22" customHeight="1">
      <x:c r="A2279" s="11" t="n">
        <x:v>2275</x:v>
      </x:c>
      <x:c r="B2279" s="11" t="n">
        <x:v>1150</x:v>
      </x:c>
      <x:c r="C2279" s="18" t="n">
        <x:v>45520</x:v>
      </x:c>
      <x:c r="D2279" s="11" t="str">
        <x:v>2024-08</x:v>
      </x:c>
      <x:c r="E2279" s="11" t="str">
        <x:v>East</x:v>
      </x:c>
      <x:c r="F2279" s="11" t="str">
        <x:v>Technology</x:v>
      </x:c>
      <x:c r="G2279" s="11" t="str">
        <x:v>Monitor</x:v>
      </x:c>
      <x:c r="H2279" s="11" t="n">
        <x:v>1</x:v>
      </x:c>
      <x:c r="I2279" s="19" t="n">
        <x:v>0</x:v>
      </x:c>
      <x:c r="J2279" s="11" t="n">
        <x:v>0</x:v>
      </x:c>
      <x:c r="K2279" s="20" t="n">
        <x:v>240</x:v>
      </x:c>
      <x:c r="L2279" s="20" t="n">
        <x:v>0</x:v>
      </x:c>
      <x:c r="M2279" s="20" t="n">
        <x:v>160</x:v>
      </x:c>
      <x:c r="N2279" s="20" t="n">
        <x:f>IF(J2279=1,0,K2279-L2279)</x:f>
        <x:v>240</x:v>
      </x:c>
      <x:c r="O2279" s="20" t="n">
        <x:f>N2279-M2279</x:f>
        <x:v>80</x:v>
      </x:c>
    </x:row>
    <x:row r="2280" ht="22" customHeight="1">
      <x:c r="A2280" s="11" t="n">
        <x:v>2276</x:v>
      </x:c>
      <x:c r="B2280" s="11" t="n">
        <x:v>1151</x:v>
      </x:c>
      <x:c r="C2280" s="18" t="n">
        <x:v>45332</x:v>
      </x:c>
      <x:c r="D2280" s="11" t="str">
        <x:v>2024-02</x:v>
      </x:c>
      <x:c r="E2280" s="11" t="str">
        <x:v>South</x:v>
      </x:c>
      <x:c r="F2280" s="11" t="str">
        <x:v>Technology</x:v>
      </x:c>
      <x:c r="G2280" s="11" t="str">
        <x:v>Monitor</x:v>
      </x:c>
      <x:c r="H2280" s="11" t="n">
        <x:v>3</x:v>
      </x:c>
      <x:c r="I2280" s="19" t="n">
        <x:v>0</x:v>
      </x:c>
      <x:c r="J2280" s="11" t="n">
        <x:v>0</x:v>
      </x:c>
      <x:c r="K2280" s="20" t="n">
        <x:v>720</x:v>
      </x:c>
      <x:c r="L2280" s="20" t="n">
        <x:v>0</x:v>
      </x:c>
      <x:c r="M2280" s="20" t="n">
        <x:v>480</x:v>
      </x:c>
      <x:c r="N2280" s="20" t="n">
        <x:f>IF(J2280=1,0,K2280-L2280)</x:f>
        <x:v>720</x:v>
      </x:c>
      <x:c r="O2280" s="20" t="n">
        <x:f>N2280-M2280</x:f>
        <x:v>240</x:v>
      </x:c>
    </x:row>
    <x:row r="2281" ht="22" customHeight="1">
      <x:c r="A2281" s="11" t="n">
        <x:v>2277</x:v>
      </x:c>
      <x:c r="B2281" s="11" t="n">
        <x:v>1151</x:v>
      </x:c>
      <x:c r="C2281" s="18" t="n">
        <x:v>45332</x:v>
      </x:c>
      <x:c r="D2281" s="11" t="str">
        <x:v>2024-02</x:v>
      </x:c>
      <x:c r="E2281" s="11" t="str">
        <x:v>South</x:v>
      </x:c>
      <x:c r="F2281" s="11" t="str">
        <x:v>Furniture</x:v>
      </x:c>
      <x:c r="G2281" s="11" t="str">
        <x:v>Desk</x:v>
      </x:c>
      <x:c r="H2281" s="11" t="n">
        <x:v>2</x:v>
      </x:c>
      <x:c r="I2281" s="19" t="n">
        <x:v>0.1</x:v>
      </x:c>
      <x:c r="J2281" s="11" t="n">
        <x:v>0</x:v>
      </x:c>
      <x:c r="K2281" s="20" t="n">
        <x:v>560</x:v>
      </x:c>
      <x:c r="L2281" s="20" t="n">
        <x:v>56</x:v>
      </x:c>
      <x:c r="M2281" s="20" t="n">
        <x:v>380</x:v>
      </x:c>
      <x:c r="N2281" s="20" t="n">
        <x:f>IF(J2281=1,0,K2281-L2281)</x:f>
        <x:v>504</x:v>
      </x:c>
      <x:c r="O2281" s="20" t="n">
        <x:f>N2281-M2281</x:f>
        <x:v>124</x:v>
      </x:c>
    </x:row>
    <x:row r="2282" ht="22" customHeight="1">
      <x:c r="A2282" s="11" t="n">
        <x:v>2278</x:v>
      </x:c>
      <x:c r="B2282" s="11" t="n">
        <x:v>1151</x:v>
      </x:c>
      <x:c r="C2282" s="18" t="n">
        <x:v>45332</x:v>
      </x:c>
      <x:c r="D2282" s="11" t="str">
        <x:v>2024-02</x:v>
      </x:c>
      <x:c r="E2282" s="11" t="str">
        <x:v>South</x:v>
      </x:c>
      <x:c r="F2282" s="11" t="str">
        <x:v>Office Supplies</x:v>
      </x:c>
      <x:c r="G2282" s="11" t="str">
        <x:v>Storage box</x:v>
      </x:c>
      <x:c r="H2282" s="11" t="n">
        <x:v>3</x:v>
      </x:c>
      <x:c r="I2282" s="19" t="n">
        <x:v>0</x:v>
      </x:c>
      <x:c r="J2282" s="11" t="n">
        <x:v>0</x:v>
      </x:c>
      <x:c r="K2282" s="20" t="n">
        <x:v>78</x:v>
      </x:c>
      <x:c r="L2282" s="20" t="n">
        <x:v>0</x:v>
      </x:c>
      <x:c r="M2282" s="20" t="n">
        <x:v>36</x:v>
      </x:c>
      <x:c r="N2282" s="20" t="n">
        <x:f>IF(J2282=1,0,K2282-L2282)</x:f>
        <x:v>78</x:v>
      </x:c>
      <x:c r="O2282" s="20" t="n">
        <x:f>N2282-M2282</x:f>
        <x:v>42</x:v>
      </x:c>
    </x:row>
    <x:row r="2283" ht="22" customHeight="1">
      <x:c r="A2283" s="11" t="n">
        <x:v>2279</x:v>
      </x:c>
      <x:c r="B2283" s="11" t="n">
        <x:v>1152</x:v>
      </x:c>
      <x:c r="C2283" s="18" t="n">
        <x:v>45514</x:v>
      </x:c>
      <x:c r="D2283" s="11" t="str">
        <x:v>2024-08</x:v>
      </x:c>
      <x:c r="E2283" s="11" t="str">
        <x:v>South</x:v>
      </x:c>
      <x:c r="F2283" s="11" t="str">
        <x:v>Furniture</x:v>
      </x:c>
      <x:c r="G2283" s="11" t="str">
        <x:v>Chair</x:v>
      </x:c>
      <x:c r="H2283" s="11" t="n">
        <x:v>4</x:v>
      </x:c>
      <x:c r="I2283" s="19" t="n">
        <x:v>0</x:v>
      </x:c>
      <x:c r="J2283" s="11" t="n">
        <x:v>0</x:v>
      </x:c>
      <x:c r="K2283" s="20" t="n">
        <x:v>680</x:v>
      </x:c>
      <x:c r="L2283" s="20" t="n">
        <x:v>0</x:v>
      </x:c>
      <x:c r="M2283" s="20" t="n">
        <x:v>440</x:v>
      </x:c>
      <x:c r="N2283" s="20" t="n">
        <x:f>IF(J2283=1,0,K2283-L2283)</x:f>
        <x:v>680</x:v>
      </x:c>
      <x:c r="O2283" s="20" t="n">
        <x:f>N2283-M2283</x:f>
        <x:v>240</x:v>
      </x:c>
    </x:row>
    <x:row r="2284" ht="22" customHeight="1">
      <x:c r="A2284" s="11" t="n">
        <x:v>2280</x:v>
      </x:c>
      <x:c r="B2284" s="11" t="n">
        <x:v>1153</x:v>
      </x:c>
      <x:c r="C2284" s="18" t="n">
        <x:v>45676</x:v>
      </x:c>
      <x:c r="D2284" s="11" t="str">
        <x:v>2025-01</x:v>
      </x:c>
      <x:c r="E2284" s="11" t="str">
        <x:v>West</x:v>
      </x:c>
      <x:c r="F2284" s="11" t="str">
        <x:v>Office Supplies</x:v>
      </x:c>
      <x:c r="G2284" s="11" t="str">
        <x:v>Storage box</x:v>
      </x:c>
      <x:c r="H2284" s="11" t="n">
        <x:v>1</x:v>
      </x:c>
      <x:c r="I2284" s="19" t="n">
        <x:v>0.1</x:v>
      </x:c>
      <x:c r="J2284" s="11" t="n">
        <x:v>0</x:v>
      </x:c>
      <x:c r="K2284" s="20" t="n">
        <x:v>26</x:v>
      </x:c>
      <x:c r="L2284" s="20" t="n">
        <x:v>2.6</x:v>
      </x:c>
      <x:c r="M2284" s="20" t="n">
        <x:v>12</x:v>
      </x:c>
      <x:c r="N2284" s="20" t="n">
        <x:f>IF(J2284=1,0,K2284-L2284)</x:f>
        <x:v>23.4</x:v>
      </x:c>
      <x:c r="O2284" s="20" t="n">
        <x:f>N2284-M2284</x:f>
        <x:v>11.399999999999999</x:v>
      </x:c>
    </x:row>
    <x:row r="2285" ht="22" customHeight="1">
      <x:c r="A2285" s="11" t="n">
        <x:v>2281</x:v>
      </x:c>
      <x:c r="B2285" s="11" t="n">
        <x:v>1153</x:v>
      </x:c>
      <x:c r="C2285" s="18" t="n">
        <x:v>45676</x:v>
      </x:c>
      <x:c r="D2285" s="11" t="str">
        <x:v>2025-01</x:v>
      </x:c>
      <x:c r="E2285" s="11" t="str">
        <x:v>West</x:v>
      </x:c>
      <x:c r="F2285" s="11" t="str">
        <x:v>Furniture</x:v>
      </x:c>
      <x:c r="G2285" s="11" t="str">
        <x:v>Chair</x:v>
      </x:c>
      <x:c r="H2285" s="11" t="n">
        <x:v>2</x:v>
      </x:c>
      <x:c r="I2285" s="19" t="n">
        <x:v>0.05</x:v>
      </x:c>
      <x:c r="J2285" s="11" t="n">
        <x:v>0</x:v>
      </x:c>
      <x:c r="K2285" s="20" t="n">
        <x:v>340</x:v>
      </x:c>
      <x:c r="L2285" s="20" t="n">
        <x:v>17</x:v>
      </x:c>
      <x:c r="M2285" s="20" t="n">
        <x:v>220</x:v>
      </x:c>
      <x:c r="N2285" s="20" t="n">
        <x:f>IF(J2285=1,0,K2285-L2285)</x:f>
        <x:v>323</x:v>
      </x:c>
      <x:c r="O2285" s="20" t="n">
        <x:f>N2285-M2285</x:f>
        <x:v>103</x:v>
      </x:c>
    </x:row>
    <x:row r="2286" ht="22" customHeight="1">
      <x:c r="A2286" s="11" t="n">
        <x:v>2282</x:v>
      </x:c>
      <x:c r="B2286" s="11" t="n">
        <x:v>1153</x:v>
      </x:c>
      <x:c r="C2286" s="18" t="n">
        <x:v>45676</x:v>
      </x:c>
      <x:c r="D2286" s="11" t="str">
        <x:v>2025-01</x:v>
      </x:c>
      <x:c r="E2286" s="11" t="str">
        <x:v>West</x:v>
      </x:c>
      <x:c r="F2286" s="11" t="str">
        <x:v>Technology</x:v>
      </x:c>
      <x:c r="G2286" s="11" t="str">
        <x:v>Keyboard</x:v>
      </x:c>
      <x:c r="H2286" s="11" t="n">
        <x:v>5</x:v>
      </x:c>
      <x:c r="I2286" s="19" t="n">
        <x:v>0</x:v>
      </x:c>
      <x:c r="J2286" s="11" t="n">
        <x:v>0</x:v>
      </x:c>
      <x:c r="K2286" s="20" t="n">
        <x:v>325</x:v>
      </x:c>
      <x:c r="L2286" s="20" t="n">
        <x:v>0</x:v>
      </x:c>
      <x:c r="M2286" s="20" t="n">
        <x:v>160</x:v>
      </x:c>
      <x:c r="N2286" s="20" t="n">
        <x:f>IF(J2286=1,0,K2286-L2286)</x:f>
        <x:v>325</x:v>
      </x:c>
      <x:c r="O2286" s="20" t="n">
        <x:f>N2286-M2286</x:f>
        <x:v>165</x:v>
      </x:c>
    </x:row>
    <x:row r="2287" ht="22" customHeight="1">
      <x:c r="A2287" s="11" t="n">
        <x:v>2283</x:v>
      </x:c>
      <x:c r="B2287" s="11" t="n">
        <x:v>1154</x:v>
      </x:c>
      <x:c r="C2287" s="18" t="n">
        <x:v>45471</x:v>
      </x:c>
      <x:c r="D2287" s="11" t="str">
        <x:v>2024-06</x:v>
      </x:c>
      <x:c r="E2287" s="11" t="str">
        <x:v>East</x:v>
      </x:c>
      <x:c r="F2287" s="11" t="str">
        <x:v>Furniture</x:v>
      </x:c>
      <x:c r="G2287" s="11" t="str">
        <x:v>Chair</x:v>
      </x:c>
      <x:c r="H2287" s="11" t="n">
        <x:v>1</x:v>
      </x:c>
      <x:c r="I2287" s="19" t="n">
        <x:v>0.35</x:v>
      </x:c>
      <x:c r="J2287" s="11" t="n">
        <x:v>0</x:v>
      </x:c>
      <x:c r="K2287" s="20" t="n">
        <x:v>170</x:v>
      </x:c>
      <x:c r="L2287" s="20" t="n">
        <x:v>59.5</x:v>
      </x:c>
      <x:c r="M2287" s="20" t="n">
        <x:v>110</x:v>
      </x:c>
      <x:c r="N2287" s="20" t="n">
        <x:f>IF(J2287=1,0,K2287-L2287)</x:f>
        <x:v>110.5</x:v>
      </x:c>
      <x:c r="O2287" s="20" t="n">
        <x:f>N2287-M2287</x:f>
        <x:v>0.5</x:v>
      </x:c>
    </x:row>
    <x:row r="2288" ht="22" customHeight="1">
      <x:c r="A2288" s="11" t="n">
        <x:v>2284</x:v>
      </x:c>
      <x:c r="B2288" s="11" t="n">
        <x:v>1155</x:v>
      </x:c>
      <x:c r="C2288" s="18" t="n">
        <x:v>45658</x:v>
      </x:c>
      <x:c r="D2288" s="11" t="str">
        <x:v>2025-01</x:v>
      </x:c>
      <x:c r="E2288" s="11" t="str">
        <x:v>West</x:v>
      </x:c>
      <x:c r="F2288" s="11" t="str">
        <x:v>Furniture</x:v>
      </x:c>
      <x:c r="G2288" s="11" t="str">
        <x:v>Chair</x:v>
      </x:c>
      <x:c r="H2288" s="11" t="n">
        <x:v>1</x:v>
      </x:c>
      <x:c r="I2288" s="19" t="n">
        <x:v>0.15</x:v>
      </x:c>
      <x:c r="J2288" s="11" t="n">
        <x:v>0</x:v>
      </x:c>
      <x:c r="K2288" s="20" t="n">
        <x:v>170</x:v>
      </x:c>
      <x:c r="L2288" s="20" t="n">
        <x:v>25.5</x:v>
      </x:c>
      <x:c r="M2288" s="20" t="n">
        <x:v>110</x:v>
      </x:c>
      <x:c r="N2288" s="20" t="n">
        <x:f>IF(J2288=1,0,K2288-L2288)</x:f>
        <x:v>144.5</x:v>
      </x:c>
      <x:c r="O2288" s="20" t="n">
        <x:f>N2288-M2288</x:f>
        <x:v>34.5</x:v>
      </x:c>
    </x:row>
    <x:row r="2289" ht="22" customHeight="1">
      <x:c r="A2289" s="11" t="n">
        <x:v>2285</x:v>
      </x:c>
      <x:c r="B2289" s="11" t="n">
        <x:v>1155</x:v>
      </x:c>
      <x:c r="C2289" s="18" t="n">
        <x:v>45658</x:v>
      </x:c>
      <x:c r="D2289" s="11" t="str">
        <x:v>2025-01</x:v>
      </x:c>
      <x:c r="E2289" s="11" t="str">
        <x:v>West</x:v>
      </x:c>
      <x:c r="F2289" s="11" t="str">
        <x:v>Office Supplies</x:v>
      </x:c>
      <x:c r="G2289" s="11" t="str">
        <x:v>Storage box</x:v>
      </x:c>
      <x:c r="H2289" s="11" t="n">
        <x:v>5</x:v>
      </x:c>
      <x:c r="I2289" s="19" t="n">
        <x:v>0</x:v>
      </x:c>
      <x:c r="J2289" s="11" t="n">
        <x:v>0</x:v>
      </x:c>
      <x:c r="K2289" s="20" t="n">
        <x:v>130</x:v>
      </x:c>
      <x:c r="L2289" s="20" t="n">
        <x:v>0</x:v>
      </x:c>
      <x:c r="M2289" s="20" t="n">
        <x:v>60</x:v>
      </x:c>
      <x:c r="N2289" s="20" t="n">
        <x:f>IF(J2289=1,0,K2289-L2289)</x:f>
        <x:v>130</x:v>
      </x:c>
      <x:c r="O2289" s="20" t="n">
        <x:f>N2289-M2289</x:f>
        <x:v>70</x:v>
      </x:c>
    </x:row>
    <x:row r="2290" ht="22" customHeight="1">
      <x:c r="A2290" s="11" t="n">
        <x:v>2286</x:v>
      </x:c>
      <x:c r="B2290" s="11" t="n">
        <x:v>1156</x:v>
      </x:c>
      <x:c r="C2290" s="18" t="n">
        <x:v>45308</x:v>
      </x:c>
      <x:c r="D2290" s="11" t="str">
        <x:v>2024-01</x:v>
      </x:c>
      <x:c r="E2290" s="11" t="str">
        <x:v>Central</x:v>
      </x:c>
      <x:c r="F2290" s="11" t="str">
        <x:v>Technology</x:v>
      </x:c>
      <x:c r="G2290" s="11" t="str">
        <x:v>Keyboard</x:v>
      </x:c>
      <x:c r="H2290" s="11" t="n">
        <x:v>3</x:v>
      </x:c>
      <x:c r="I2290" s="19" t="n">
        <x:v>0.05</x:v>
      </x:c>
      <x:c r="J2290" s="11" t="n">
        <x:v>0</x:v>
      </x:c>
      <x:c r="K2290" s="20" t="n">
        <x:v>195</x:v>
      </x:c>
      <x:c r="L2290" s="20" t="n">
        <x:v>9.75</x:v>
      </x:c>
      <x:c r="M2290" s="20" t="n">
        <x:v>96</x:v>
      </x:c>
      <x:c r="N2290" s="20" t="n">
        <x:f>IF(J2290=1,0,K2290-L2290)</x:f>
        <x:v>185.25</x:v>
      </x:c>
      <x:c r="O2290" s="20" t="n">
        <x:f>N2290-M2290</x:f>
        <x:v>89.25</x:v>
      </x:c>
    </x:row>
    <x:row r="2291" ht="22" customHeight="1">
      <x:c r="A2291" s="11" t="n">
        <x:v>2287</x:v>
      </x:c>
      <x:c r="B2291" s="11" t="n">
        <x:v>1156</x:v>
      </x:c>
      <x:c r="C2291" s="18" t="n">
        <x:v>45308</x:v>
      </x:c>
      <x:c r="D2291" s="11" t="str">
        <x:v>2024-01</x:v>
      </x:c>
      <x:c r="E2291" s="11" t="str">
        <x:v>Central</x:v>
      </x:c>
      <x:c r="F2291" s="11" t="str">
        <x:v>Furniture</x:v>
      </x:c>
      <x:c r="G2291" s="11" t="str">
        <x:v>Desk</x:v>
      </x:c>
      <x:c r="H2291" s="11" t="n">
        <x:v>1</x:v>
      </x:c>
      <x:c r="I2291" s="19" t="n">
        <x:v>0.25</x:v>
      </x:c>
      <x:c r="J2291" s="11" t="n">
        <x:v>0</x:v>
      </x:c>
      <x:c r="K2291" s="20" t="n">
        <x:v>280</x:v>
      </x:c>
      <x:c r="L2291" s="20" t="n">
        <x:v>70</x:v>
      </x:c>
      <x:c r="M2291" s="20" t="n">
        <x:v>190</x:v>
      </x:c>
      <x:c r="N2291" s="20" t="n">
        <x:f>IF(J2291=1,0,K2291-L2291)</x:f>
        <x:v>210</x:v>
      </x:c>
      <x:c r="O2291" s="20" t="n">
        <x:f>N2291-M2291</x:f>
        <x:v>20</x:v>
      </x:c>
    </x:row>
    <x:row r="2292" ht="22" customHeight="1">
      <x:c r="A2292" s="11" t="n">
        <x:v>2288</x:v>
      </x:c>
      <x:c r="B2292" s="11" t="n">
        <x:v>1157</x:v>
      </x:c>
      <x:c r="C2292" s="18" t="n">
        <x:v>45959</x:v>
      </x:c>
      <x:c r="D2292" s="11" t="str">
        <x:v>2025-10</x:v>
      </x:c>
      <x:c r="E2292" s="11" t="str">
        <x:v>Central</x:v>
      </x:c>
      <x:c r="F2292" s="11" t="str">
        <x:v>Furniture</x:v>
      </x:c>
      <x:c r="G2292" s="11" t="str">
        <x:v>Desk</x:v>
      </x:c>
      <x:c r="H2292" s="11" t="n">
        <x:v>1</x:v>
      </x:c>
      <x:c r="I2292" s="19" t="n">
        <x:v>0.1</x:v>
      </x:c>
      <x:c r="J2292" s="11" t="n">
        <x:v>0</x:v>
      </x:c>
      <x:c r="K2292" s="20" t="n">
        <x:v>280</x:v>
      </x:c>
      <x:c r="L2292" s="20" t="n">
        <x:v>28</x:v>
      </x:c>
      <x:c r="M2292" s="20" t="n">
        <x:v>190</x:v>
      </x:c>
      <x:c r="N2292" s="20" t="n">
        <x:f>IF(J2292=1,0,K2292-L2292)</x:f>
        <x:v>252</x:v>
      </x:c>
      <x:c r="O2292" s="20" t="n">
        <x:f>N2292-M2292</x:f>
        <x:v>62</x:v>
      </x:c>
    </x:row>
    <x:row r="2293" ht="22" customHeight="1">
      <x:c r="A2293" s="11" t="n">
        <x:v>2289</x:v>
      </x:c>
      <x:c r="B2293" s="11" t="n">
        <x:v>1157</x:v>
      </x:c>
      <x:c r="C2293" s="18" t="n">
        <x:v>45959</x:v>
      </x:c>
      <x:c r="D2293" s="11" t="str">
        <x:v>2025-10</x:v>
      </x:c>
      <x:c r="E2293" s="11" t="str">
        <x:v>Central</x:v>
      </x:c>
      <x:c r="F2293" s="11" t="str">
        <x:v>Technology</x:v>
      </x:c>
      <x:c r="G2293" s="11" t="str">
        <x:v>Keyboard</x:v>
      </x:c>
      <x:c r="H2293" s="11" t="n">
        <x:v>3</x:v>
      </x:c>
      <x:c r="I2293" s="19" t="n">
        <x:v>0</x:v>
      </x:c>
      <x:c r="J2293" s="11" t="n">
        <x:v>0</x:v>
      </x:c>
      <x:c r="K2293" s="20" t="n">
        <x:v>195</x:v>
      </x:c>
      <x:c r="L2293" s="20" t="n">
        <x:v>0</x:v>
      </x:c>
      <x:c r="M2293" s="20" t="n">
        <x:v>96</x:v>
      </x:c>
      <x:c r="N2293" s="20" t="n">
        <x:f>IF(J2293=1,0,K2293-L2293)</x:f>
        <x:v>195</x:v>
      </x:c>
      <x:c r="O2293" s="20" t="n">
        <x:f>N2293-M2293</x:f>
        <x:v>99</x:v>
      </x:c>
    </x:row>
    <x:row r="2294" ht="22" customHeight="1">
      <x:c r="A2294" s="11" t="n">
        <x:v>2290</x:v>
      </x:c>
      <x:c r="B2294" s="11" t="n">
        <x:v>1157</x:v>
      </x:c>
      <x:c r="C2294" s="18" t="n">
        <x:v>45959</x:v>
      </x:c>
      <x:c r="D2294" s="11" t="str">
        <x:v>2025-10</x:v>
      </x:c>
      <x:c r="E2294" s="11" t="str">
        <x:v>Central</x:v>
      </x:c>
      <x:c r="F2294" s="11" t="str">
        <x:v>Office Supplies</x:v>
      </x:c>
      <x:c r="G2294" s="11" t="str">
        <x:v>Notebook pack</x:v>
      </x:c>
      <x:c r="H2294" s="11" t="n">
        <x:v>2</x:v>
      </x:c>
      <x:c r="I2294" s="19" t="n">
        <x:v>0</x:v>
      </x:c>
      <x:c r="J2294" s="11" t="n">
        <x:v>0</x:v>
      </x:c>
      <x:c r="K2294" s="20" t="n">
        <x:v>36</x:v>
      </x:c>
      <x:c r="L2294" s="20" t="n">
        <x:v>0</x:v>
      </x:c>
      <x:c r="M2294" s="20" t="n">
        <x:v>14</x:v>
      </x:c>
      <x:c r="N2294" s="20" t="n">
        <x:f>IF(J2294=1,0,K2294-L2294)</x:f>
        <x:v>36</x:v>
      </x:c>
      <x:c r="O2294" s="20" t="n">
        <x:f>N2294-M2294</x:f>
        <x:v>22</x:v>
      </x:c>
    </x:row>
    <x:row r="2295" ht="22" customHeight="1">
      <x:c r="A2295" s="11" t="n">
        <x:v>2291</x:v>
      </x:c>
      <x:c r="B2295" s="11" t="n">
        <x:v>1158</x:v>
      </x:c>
      <x:c r="C2295" s="18" t="n">
        <x:v>45423</x:v>
      </x:c>
      <x:c r="D2295" s="11" t="str">
        <x:v>2024-05</x:v>
      </x:c>
      <x:c r="E2295" s="11" t="str">
        <x:v>West</x:v>
      </x:c>
      <x:c r="F2295" s="11" t="str">
        <x:v>Office Supplies</x:v>
      </x:c>
      <x:c r="G2295" s="11" t="str">
        <x:v>Storage box</x:v>
      </x:c>
      <x:c r="H2295" s="11" t="n">
        <x:v>4</x:v>
      </x:c>
      <x:c r="I2295" s="19" t="n">
        <x:v>0</x:v>
      </x:c>
      <x:c r="J2295" s="11" t="n">
        <x:v>0</x:v>
      </x:c>
      <x:c r="K2295" s="20" t="n">
        <x:v>104</x:v>
      </x:c>
      <x:c r="L2295" s="20" t="n">
        <x:v>0</x:v>
      </x:c>
      <x:c r="M2295" s="20" t="n">
        <x:v>48</x:v>
      </x:c>
      <x:c r="N2295" s="20" t="n">
        <x:f>IF(J2295=1,0,K2295-L2295)</x:f>
        <x:v>104</x:v>
      </x:c>
      <x:c r="O2295" s="20" t="n">
        <x:f>N2295-M2295</x:f>
        <x:v>56</x:v>
      </x:c>
    </x:row>
    <x:row r="2296" ht="22" customHeight="1">
      <x:c r="A2296" s="11" t="n">
        <x:v>2292</x:v>
      </x:c>
      <x:c r="B2296" s="11" t="n">
        <x:v>1159</x:v>
      </x:c>
      <x:c r="C2296" s="18" t="n">
        <x:v>45506</x:v>
      </x:c>
      <x:c r="D2296" s="11" t="str">
        <x:v>2024-08</x:v>
      </x:c>
      <x:c r="E2296" s="11" t="str">
        <x:v>Central</x:v>
      </x:c>
      <x:c r="F2296" s="11" t="str">
        <x:v>Office Supplies</x:v>
      </x:c>
      <x:c r="G2296" s="11" t="str">
        <x:v>Notebook pack</x:v>
      </x:c>
      <x:c r="H2296" s="11" t="n">
        <x:v>2</x:v>
      </x:c>
      <x:c r="I2296" s="19" t="n">
        <x:v>0.1</x:v>
      </x:c>
      <x:c r="J2296" s="11" t="n">
        <x:v>0</x:v>
      </x:c>
      <x:c r="K2296" s="20" t="n">
        <x:v>36</x:v>
      </x:c>
      <x:c r="L2296" s="20" t="n">
        <x:v>3.6</x:v>
      </x:c>
      <x:c r="M2296" s="20" t="n">
        <x:v>14</x:v>
      </x:c>
      <x:c r="N2296" s="20" t="n">
        <x:f>IF(J2296=1,0,K2296-L2296)</x:f>
        <x:v>32.4</x:v>
      </x:c>
      <x:c r="O2296" s="20" t="n">
        <x:f>N2296-M2296</x:f>
        <x:v>18.4</x:v>
      </x:c>
    </x:row>
    <x:row r="2297" ht="22" customHeight="1">
      <x:c r="A2297" s="11" t="n">
        <x:v>2293</x:v>
      </x:c>
      <x:c r="B2297" s="11" t="n">
        <x:v>1159</x:v>
      </x:c>
      <x:c r="C2297" s="18" t="n">
        <x:v>45506</x:v>
      </x:c>
      <x:c r="D2297" s="11" t="str">
        <x:v>2024-08</x:v>
      </x:c>
      <x:c r="E2297" s="11" t="str">
        <x:v>Central</x:v>
      </x:c>
      <x:c r="F2297" s="11" t="str">
        <x:v>Technology</x:v>
      </x:c>
      <x:c r="G2297" s="11" t="str">
        <x:v>Keyboard</x:v>
      </x:c>
      <x:c r="H2297" s="11" t="n">
        <x:v>5</x:v>
      </x:c>
      <x:c r="I2297" s="19" t="n">
        <x:v>0</x:v>
      </x:c>
      <x:c r="J2297" s="11" t="n">
        <x:v>0</x:v>
      </x:c>
      <x:c r="K2297" s="20" t="n">
        <x:v>325</x:v>
      </x:c>
      <x:c r="L2297" s="20" t="n">
        <x:v>0</x:v>
      </x:c>
      <x:c r="M2297" s="20" t="n">
        <x:v>160</x:v>
      </x:c>
      <x:c r="N2297" s="20" t="n">
        <x:f>IF(J2297=1,0,K2297-L2297)</x:f>
        <x:v>325</x:v>
      </x:c>
      <x:c r="O2297" s="20" t="n">
        <x:f>N2297-M2297</x:f>
        <x:v>165</x:v>
      </x:c>
    </x:row>
    <x:row r="2298" ht="22" customHeight="1">
      <x:c r="A2298" s="11" t="n">
        <x:v>2294</x:v>
      </x:c>
      <x:c r="B2298" s="11" t="n">
        <x:v>1160</x:v>
      </x:c>
      <x:c r="C2298" s="18" t="n">
        <x:v>45976</x:v>
      </x:c>
      <x:c r="D2298" s="11" t="str">
        <x:v>2025-11</x:v>
      </x:c>
      <x:c r="E2298" s="11" t="str">
        <x:v>East</x:v>
      </x:c>
      <x:c r="F2298" s="11" t="str">
        <x:v>Furniture</x:v>
      </x:c>
      <x:c r="G2298" s="11" t="str">
        <x:v>Chair</x:v>
      </x:c>
      <x:c r="H2298" s="11" t="n">
        <x:v>1</x:v>
      </x:c>
      <x:c r="I2298" s="19" t="n">
        <x:v>0.35</x:v>
      </x:c>
      <x:c r="J2298" s="11" t="n">
        <x:v>0</x:v>
      </x:c>
      <x:c r="K2298" s="20" t="n">
        <x:v>170</x:v>
      </x:c>
      <x:c r="L2298" s="20" t="n">
        <x:v>59.5</x:v>
      </x:c>
      <x:c r="M2298" s="20" t="n">
        <x:v>110</x:v>
      </x:c>
      <x:c r="N2298" s="20" t="n">
        <x:f>IF(J2298=1,0,K2298-L2298)</x:f>
        <x:v>110.5</x:v>
      </x:c>
      <x:c r="O2298" s="20" t="n">
        <x:f>N2298-M2298</x:f>
        <x:v>0.5</x:v>
      </x:c>
    </x:row>
    <x:row r="2299" ht="22" customHeight="1">
      <x:c r="A2299" s="11" t="n">
        <x:v>2295</x:v>
      </x:c>
      <x:c r="B2299" s="11" t="n">
        <x:v>1161</x:v>
      </x:c>
      <x:c r="C2299" s="18" t="n">
        <x:v>45705</x:v>
      </x:c>
      <x:c r="D2299" s="11" t="str">
        <x:v>2025-02</x:v>
      </x:c>
      <x:c r="E2299" s="11" t="str">
        <x:v>West</x:v>
      </x:c>
      <x:c r="F2299" s="11" t="str">
        <x:v>Office Supplies</x:v>
      </x:c>
      <x:c r="G2299" s="11" t="str">
        <x:v>Notebook pack</x:v>
      </x:c>
      <x:c r="H2299" s="11" t="n">
        <x:v>1</x:v>
      </x:c>
      <x:c r="I2299" s="19" t="n">
        <x:v>0</x:v>
      </x:c>
      <x:c r="J2299" s="11" t="n">
        <x:v>0</x:v>
      </x:c>
      <x:c r="K2299" s="20" t="n">
        <x:v>18</x:v>
      </x:c>
      <x:c r="L2299" s="20" t="n">
        <x:v>0</x:v>
      </x:c>
      <x:c r="M2299" s="20" t="n">
        <x:v>7</x:v>
      </x:c>
      <x:c r="N2299" s="20" t="n">
        <x:f>IF(J2299=1,0,K2299-L2299)</x:f>
        <x:v>18</x:v>
      </x:c>
      <x:c r="O2299" s="20" t="n">
        <x:f>N2299-M2299</x:f>
        <x:v>11</x:v>
      </x:c>
    </x:row>
    <x:row r="2300" ht="22" customHeight="1">
      <x:c r="A2300" s="11" t="n">
        <x:v>2296</x:v>
      </x:c>
      <x:c r="B2300" s="11" t="n">
        <x:v>1161</x:v>
      </x:c>
      <x:c r="C2300" s="18" t="n">
        <x:v>45705</x:v>
      </x:c>
      <x:c r="D2300" s="11" t="str">
        <x:v>2025-02</x:v>
      </x:c>
      <x:c r="E2300" s="11" t="str">
        <x:v>West</x:v>
      </x:c>
      <x:c r="F2300" s="11" t="str">
        <x:v>Technology</x:v>
      </x:c>
      <x:c r="G2300" s="11" t="str">
        <x:v>Monitor</x:v>
      </x:c>
      <x:c r="H2300" s="11" t="n">
        <x:v>4</x:v>
      </x:c>
      <x:c r="I2300" s="19" t="n">
        <x:v>0</x:v>
      </x:c>
      <x:c r="J2300" s="11" t="n">
        <x:v>0</x:v>
      </x:c>
      <x:c r="K2300" s="20" t="n">
        <x:v>960</x:v>
      </x:c>
      <x:c r="L2300" s="20" t="n">
        <x:v>0</x:v>
      </x:c>
      <x:c r="M2300" s="20" t="n">
        <x:v>640</x:v>
      </x:c>
      <x:c r="N2300" s="20" t="n">
        <x:f>IF(J2300=1,0,K2300-L2300)</x:f>
        <x:v>960</x:v>
      </x:c>
      <x:c r="O2300" s="20" t="n">
        <x:f>N2300-M2300</x:f>
        <x:v>320</x:v>
      </x:c>
    </x:row>
    <x:row r="2301" ht="22" customHeight="1">
      <x:c r="A2301" s="11" t="n">
        <x:v>2297</x:v>
      </x:c>
      <x:c r="B2301" s="11" t="n">
        <x:v>1162</x:v>
      </x:c>
      <x:c r="C2301" s="18" t="n">
        <x:v>45439</x:v>
      </x:c>
      <x:c r="D2301" s="11" t="str">
        <x:v>2024-05</x:v>
      </x:c>
      <x:c r="E2301" s="11" t="str">
        <x:v>West</x:v>
      </x:c>
      <x:c r="F2301" s="11" t="str">
        <x:v>Technology</x:v>
      </x:c>
      <x:c r="G2301" s="11" t="str">
        <x:v>Keyboard</x:v>
      </x:c>
      <x:c r="H2301" s="11" t="n">
        <x:v>2</x:v>
      </x:c>
      <x:c r="I2301" s="19" t="n">
        <x:v>0</x:v>
      </x:c>
      <x:c r="J2301" s="11" t="n">
        <x:v>1</x:v>
      </x:c>
      <x:c r="K2301" s="20" t="n">
        <x:v>130</x:v>
      </x:c>
      <x:c r="L2301" s="20" t="n">
        <x:v>0</x:v>
      </x:c>
      <x:c r="M2301" s="20" t="n">
        <x:v>0</x:v>
      </x:c>
      <x:c r="N2301" s="20" t="n">
        <x:f>IF(J2301=1,0,K2301-L2301)</x:f>
        <x:v>0</x:v>
      </x:c>
      <x:c r="O2301" s="20" t="n">
        <x:f>N2301-M2301</x:f>
        <x:v>0</x:v>
      </x:c>
    </x:row>
    <x:row r="2302" ht="22" customHeight="1">
      <x:c r="A2302" s="11" t="n">
        <x:v>2298</x:v>
      </x:c>
      <x:c r="B2302" s="11" t="n">
        <x:v>1162</x:v>
      </x:c>
      <x:c r="C2302" s="18" t="n">
        <x:v>45439</x:v>
      </x:c>
      <x:c r="D2302" s="11" t="str">
        <x:v>2024-05</x:v>
      </x:c>
      <x:c r="E2302" s="11" t="str">
        <x:v>West</x:v>
      </x:c>
      <x:c r="F2302" s="11" t="str">
        <x:v>Office Supplies</x:v>
      </x:c>
      <x:c r="G2302" s="11" t="str">
        <x:v>Notebook pack</x:v>
      </x:c>
      <x:c r="H2302" s="11" t="n">
        <x:v>2</x:v>
      </x:c>
      <x:c r="I2302" s="19" t="n">
        <x:v>0</x:v>
      </x:c>
      <x:c r="J2302" s="11" t="n">
        <x:v>0</x:v>
      </x:c>
      <x:c r="K2302" s="20" t="n">
        <x:v>36</x:v>
      </x:c>
      <x:c r="L2302" s="20" t="n">
        <x:v>0</x:v>
      </x:c>
      <x:c r="M2302" s="20" t="n">
        <x:v>14</x:v>
      </x:c>
      <x:c r="N2302" s="20" t="n">
        <x:f>IF(J2302=1,0,K2302-L2302)</x:f>
        <x:v>36</x:v>
      </x:c>
      <x:c r="O2302" s="20" t="n">
        <x:f>N2302-M2302</x:f>
        <x:v>22</x:v>
      </x:c>
    </x:row>
    <x:row r="2303" ht="22" customHeight="1">
      <x:c r="A2303" s="11" t="n">
        <x:v>2299</x:v>
      </x:c>
      <x:c r="B2303" s="11" t="n">
        <x:v>1162</x:v>
      </x:c>
      <x:c r="C2303" s="18" t="n">
        <x:v>45439</x:v>
      </x:c>
      <x:c r="D2303" s="11" t="str">
        <x:v>2024-05</x:v>
      </x:c>
      <x:c r="E2303" s="11" t="str">
        <x:v>West</x:v>
      </x:c>
      <x:c r="F2303" s="11" t="str">
        <x:v>Furniture</x:v>
      </x:c>
      <x:c r="G2303" s="11" t="str">
        <x:v>Chair</x:v>
      </x:c>
      <x:c r="H2303" s="11" t="n">
        <x:v>1</x:v>
      </x:c>
      <x:c r="I2303" s="19" t="n">
        <x:v>0</x:v>
      </x:c>
      <x:c r="J2303" s="11" t="n">
        <x:v>0</x:v>
      </x:c>
      <x:c r="K2303" s="20" t="n">
        <x:v>170</x:v>
      </x:c>
      <x:c r="L2303" s="20" t="n">
        <x:v>0</x:v>
      </x:c>
      <x:c r="M2303" s="20" t="n">
        <x:v>110</x:v>
      </x:c>
      <x:c r="N2303" s="20" t="n">
        <x:f>IF(J2303=1,0,K2303-L2303)</x:f>
        <x:v>170</x:v>
      </x:c>
      <x:c r="O2303" s="20" t="n">
        <x:f>N2303-M2303</x:f>
        <x:v>60</x:v>
      </x:c>
    </x:row>
    <x:row r="2304" ht="22" customHeight="1">
      <x:c r="A2304" s="11" t="n">
        <x:v>2300</x:v>
      </x:c>
      <x:c r="B2304" s="11" t="n">
        <x:v>1163</x:v>
      </x:c>
      <x:c r="C2304" s="18" t="n">
        <x:v>45767</x:v>
      </x:c>
      <x:c r="D2304" s="11" t="str">
        <x:v>2025-04</x:v>
      </x:c>
      <x:c r="E2304" s="11" t="str">
        <x:v>South</x:v>
      </x:c>
      <x:c r="F2304" s="11" t="str">
        <x:v>Office Supplies</x:v>
      </x:c>
      <x:c r="G2304" s="11" t="str">
        <x:v>Notebook pack</x:v>
      </x:c>
      <x:c r="H2304" s="11" t="n">
        <x:v>1</x:v>
      </x:c>
      <x:c r="I2304" s="19" t="n">
        <x:v>0.05</x:v>
      </x:c>
      <x:c r="J2304" s="11" t="n">
        <x:v>0</x:v>
      </x:c>
      <x:c r="K2304" s="20" t="n">
        <x:v>18</x:v>
      </x:c>
      <x:c r="L2304" s="20" t="n">
        <x:v>0.9</x:v>
      </x:c>
      <x:c r="M2304" s="20" t="n">
        <x:v>7</x:v>
      </x:c>
      <x:c r="N2304" s="20" t="n">
        <x:f>IF(J2304=1,0,K2304-L2304)</x:f>
        <x:v>17.1</x:v>
      </x:c>
      <x:c r="O2304" s="20" t="n">
        <x:f>N2304-M2304</x:f>
        <x:v>10.100000000000001</x:v>
      </x:c>
    </x:row>
    <x:row r="2305" ht="22" customHeight="1">
      <x:c r="A2305" s="11" t="n">
        <x:v>2301</x:v>
      </x:c>
      <x:c r="B2305" s="11" t="n">
        <x:v>1164</x:v>
      </x:c>
      <x:c r="C2305" s="18" t="n">
        <x:v>45555</x:v>
      </x:c>
      <x:c r="D2305" s="11" t="str">
        <x:v>2024-09</x:v>
      </x:c>
      <x:c r="E2305" s="11" t="str">
        <x:v>South</x:v>
      </x:c>
      <x:c r="F2305" s="11" t="str">
        <x:v>Office Supplies</x:v>
      </x:c>
      <x:c r="G2305" s="11" t="str">
        <x:v>Notebook pack</x:v>
      </x:c>
      <x:c r="H2305" s="11" t="n">
        <x:v>4</x:v>
      </x:c>
      <x:c r="I2305" s="19" t="n">
        <x:v>0.1</x:v>
      </x:c>
      <x:c r="J2305" s="11" t="n">
        <x:v>0</x:v>
      </x:c>
      <x:c r="K2305" s="20" t="n">
        <x:v>72</x:v>
      </x:c>
      <x:c r="L2305" s="20" t="n">
        <x:v>7.2</x:v>
      </x:c>
      <x:c r="M2305" s="20" t="n">
        <x:v>28</x:v>
      </x:c>
      <x:c r="N2305" s="20" t="n">
        <x:f>IF(J2305=1,0,K2305-L2305)</x:f>
        <x:v>64.8</x:v>
      </x:c>
      <x:c r="O2305" s="20" t="n">
        <x:f>N2305-M2305</x:f>
        <x:v>36.8</x:v>
      </x:c>
    </x:row>
    <x:row r="2306" ht="22" customHeight="1">
      <x:c r="A2306" s="11" t="n">
        <x:v>2302</x:v>
      </x:c>
      <x:c r="B2306" s="11" t="n">
        <x:v>1164</x:v>
      </x:c>
      <x:c r="C2306" s="18" t="n">
        <x:v>45555</x:v>
      </x:c>
      <x:c r="D2306" s="11" t="str">
        <x:v>2024-09</x:v>
      </x:c>
      <x:c r="E2306" s="11" t="str">
        <x:v>South</x:v>
      </x:c>
      <x:c r="F2306" s="11" t="str">
        <x:v>Technology</x:v>
      </x:c>
      <x:c r="G2306" s="11" t="str">
        <x:v>Monitor</x:v>
      </x:c>
      <x:c r="H2306" s="11" t="n">
        <x:v>5</x:v>
      </x:c>
      <x:c r="I2306" s="19" t="n">
        <x:v>0</x:v>
      </x:c>
      <x:c r="J2306" s="11" t="n">
        <x:v>0</x:v>
      </x:c>
      <x:c r="K2306" s="20" t="n">
        <x:v>1200</x:v>
      </x:c>
      <x:c r="L2306" s="20" t="n">
        <x:v>0</x:v>
      </x:c>
      <x:c r="M2306" s="20" t="n">
        <x:v>800</x:v>
      </x:c>
      <x:c r="N2306" s="20" t="n">
        <x:f>IF(J2306=1,0,K2306-L2306)</x:f>
        <x:v>1200</x:v>
      </x:c>
      <x:c r="O2306" s="20" t="n">
        <x:f>N2306-M2306</x:f>
        <x:v>400</x:v>
      </x:c>
    </x:row>
    <x:row r="2307" ht="22" customHeight="1">
      <x:c r="A2307" s="11" t="n">
        <x:v>2303</x:v>
      </x:c>
      <x:c r="B2307" s="11" t="n">
        <x:v>1164</x:v>
      </x:c>
      <x:c r="C2307" s="18" t="n">
        <x:v>45555</x:v>
      </x:c>
      <x:c r="D2307" s="11" t="str">
        <x:v>2024-09</x:v>
      </x:c>
      <x:c r="E2307" s="11" t="str">
        <x:v>South</x:v>
      </x:c>
      <x:c r="F2307" s="11" t="str">
        <x:v>Furniture</x:v>
      </x:c>
      <x:c r="G2307" s="11" t="str">
        <x:v>Desk</x:v>
      </x:c>
      <x:c r="H2307" s="11" t="n">
        <x:v>5</x:v>
      </x:c>
      <x:c r="I2307" s="19" t="n">
        <x:v>0</x:v>
      </x:c>
      <x:c r="J2307" s="11" t="n">
        <x:v>0</x:v>
      </x:c>
      <x:c r="K2307" s="20" t="n">
        <x:v>1400</x:v>
      </x:c>
      <x:c r="L2307" s="20" t="n">
        <x:v>0</x:v>
      </x:c>
      <x:c r="M2307" s="20" t="n">
        <x:v>950</x:v>
      </x:c>
      <x:c r="N2307" s="20" t="n">
        <x:f>IF(J2307=1,0,K2307-L2307)</x:f>
        <x:v>1400</x:v>
      </x:c>
      <x:c r="O2307" s="20" t="n">
        <x:f>N2307-M2307</x:f>
        <x:v>450</x:v>
      </x:c>
    </x:row>
    <x:row r="2308" ht="22" customHeight="1">
      <x:c r="A2308" s="11" t="n">
        <x:v>2304</x:v>
      </x:c>
      <x:c r="B2308" s="11" t="n">
        <x:v>1165</x:v>
      </x:c>
      <x:c r="C2308" s="18" t="n">
        <x:v>45438</x:v>
      </x:c>
      <x:c r="D2308" s="11" t="str">
        <x:v>2024-05</x:v>
      </x:c>
      <x:c r="E2308" s="11" t="str">
        <x:v>West</x:v>
      </x:c>
      <x:c r="F2308" s="11" t="str">
        <x:v>Furniture</x:v>
      </x:c>
      <x:c r="G2308" s="11" t="str">
        <x:v>Desk</x:v>
      </x:c>
      <x:c r="H2308" s="11" t="n">
        <x:v>5</x:v>
      </x:c>
      <x:c r="I2308" s="19" t="n">
        <x:v>0</x:v>
      </x:c>
      <x:c r="J2308" s="11" t="n">
        <x:v>0</x:v>
      </x:c>
      <x:c r="K2308" s="20" t="n">
        <x:v>1400</x:v>
      </x:c>
      <x:c r="L2308" s="20" t="n">
        <x:v>0</x:v>
      </x:c>
      <x:c r="M2308" s="20" t="n">
        <x:v>950</x:v>
      </x:c>
      <x:c r="N2308" s="20" t="n">
        <x:f>IF(J2308=1,0,K2308-L2308)</x:f>
        <x:v>1400</x:v>
      </x:c>
      <x:c r="O2308" s="20" t="n">
        <x:f>N2308-M2308</x:f>
        <x:v>450</x:v>
      </x:c>
    </x:row>
    <x:row r="2309" ht="22" customHeight="1">
      <x:c r="A2309" s="11" t="n">
        <x:v>2305</x:v>
      </x:c>
      <x:c r="B2309" s="11" t="n">
        <x:v>1165</x:v>
      </x:c>
      <x:c r="C2309" s="18" t="n">
        <x:v>45438</x:v>
      </x:c>
      <x:c r="D2309" s="11" t="str">
        <x:v>2024-05</x:v>
      </x:c>
      <x:c r="E2309" s="11" t="str">
        <x:v>West</x:v>
      </x:c>
      <x:c r="F2309" s="11" t="str">
        <x:v>Technology</x:v>
      </x:c>
      <x:c r="G2309" s="11" t="str">
        <x:v>Keyboard</x:v>
      </x:c>
      <x:c r="H2309" s="11" t="n">
        <x:v>3</x:v>
      </x:c>
      <x:c r="I2309" s="19" t="n">
        <x:v>0</x:v>
      </x:c>
      <x:c r="J2309" s="11" t="n">
        <x:v>0</x:v>
      </x:c>
      <x:c r="K2309" s="20" t="n">
        <x:v>195</x:v>
      </x:c>
      <x:c r="L2309" s="20" t="n">
        <x:v>0</x:v>
      </x:c>
      <x:c r="M2309" s="20" t="n">
        <x:v>96</x:v>
      </x:c>
      <x:c r="N2309" s="20" t="n">
        <x:f>IF(J2309=1,0,K2309-L2309)</x:f>
        <x:v>195</x:v>
      </x:c>
      <x:c r="O2309" s="20" t="n">
        <x:f>N2309-M2309</x:f>
        <x:v>99</x:v>
      </x:c>
    </x:row>
    <x:row r="2310" ht="22" customHeight="1">
      <x:c r="A2310" s="11" t="n">
        <x:v>2306</x:v>
      </x:c>
      <x:c r="B2310" s="11" t="n">
        <x:v>1165</x:v>
      </x:c>
      <x:c r="C2310" s="18" t="n">
        <x:v>45438</x:v>
      </x:c>
      <x:c r="D2310" s="11" t="str">
        <x:v>2024-05</x:v>
      </x:c>
      <x:c r="E2310" s="11" t="str">
        <x:v>West</x:v>
      </x:c>
      <x:c r="F2310" s="11" t="str">
        <x:v>Technology</x:v>
      </x:c>
      <x:c r="G2310" s="11" t="str">
        <x:v>Monitor</x:v>
      </x:c>
      <x:c r="H2310" s="11" t="n">
        <x:v>3</x:v>
      </x:c>
      <x:c r="I2310" s="19" t="n">
        <x:v>0.05</x:v>
      </x:c>
      <x:c r="J2310" s="11" t="n">
        <x:v>0</x:v>
      </x:c>
      <x:c r="K2310" s="20" t="n">
        <x:v>720</x:v>
      </x:c>
      <x:c r="L2310" s="20" t="n">
        <x:v>36</x:v>
      </x:c>
      <x:c r="M2310" s="20" t="n">
        <x:v>480</x:v>
      </x:c>
      <x:c r="N2310" s="20" t="n">
        <x:f>IF(J2310=1,0,K2310-L2310)</x:f>
        <x:v>684</x:v>
      </x:c>
      <x:c r="O2310" s="20" t="n">
        <x:f>N2310-M2310</x:f>
        <x:v>204</x:v>
      </x:c>
    </x:row>
    <x:row r="2311" ht="22" customHeight="1">
      <x:c r="A2311" s="11" t="n">
        <x:v>2307</x:v>
      </x:c>
      <x:c r="B2311" s="11" t="n">
        <x:v>1166</x:v>
      </x:c>
      <x:c r="C2311" s="18" t="n">
        <x:v>45765</x:v>
      </x:c>
      <x:c r="D2311" s="11" t="str">
        <x:v>2025-04</x:v>
      </x:c>
      <x:c r="E2311" s="11" t="str">
        <x:v>South</x:v>
      </x:c>
      <x:c r="F2311" s="11" t="str">
        <x:v>Technology</x:v>
      </x:c>
      <x:c r="G2311" s="11" t="str">
        <x:v>Monitor</x:v>
      </x:c>
      <x:c r="H2311" s="11" t="n">
        <x:v>4</x:v>
      </x:c>
      <x:c r="I2311" s="19" t="n">
        <x:v>0.05</x:v>
      </x:c>
      <x:c r="J2311" s="11" t="n">
        <x:v>0</x:v>
      </x:c>
      <x:c r="K2311" s="20" t="n">
        <x:v>960</x:v>
      </x:c>
      <x:c r="L2311" s="20" t="n">
        <x:v>48</x:v>
      </x:c>
      <x:c r="M2311" s="20" t="n">
        <x:v>640</x:v>
      </x:c>
      <x:c r="N2311" s="20" t="n">
        <x:f>IF(J2311=1,0,K2311-L2311)</x:f>
        <x:v>912</x:v>
      </x:c>
      <x:c r="O2311" s="20" t="n">
        <x:f>N2311-M2311</x:f>
        <x:v>272</x:v>
      </x:c>
    </x:row>
    <x:row r="2312" ht="22" customHeight="1">
      <x:c r="A2312" s="11" t="n">
        <x:v>2308</x:v>
      </x:c>
      <x:c r="B2312" s="11" t="n">
        <x:v>1167</x:v>
      </x:c>
      <x:c r="C2312" s="18" t="n">
        <x:v>45885</x:v>
      </x:c>
      <x:c r="D2312" s="11" t="str">
        <x:v>2025-08</x:v>
      </x:c>
      <x:c r="E2312" s="11" t="str">
        <x:v>Central</x:v>
      </x:c>
      <x:c r="F2312" s="11" t="str">
        <x:v>Technology</x:v>
      </x:c>
      <x:c r="G2312" s="11" t="str">
        <x:v>Keyboard</x:v>
      </x:c>
      <x:c r="H2312" s="11" t="n">
        <x:v>2</x:v>
      </x:c>
      <x:c r="I2312" s="19" t="n">
        <x:v>0</x:v>
      </x:c>
      <x:c r="J2312" s="11" t="n">
        <x:v>0</x:v>
      </x:c>
      <x:c r="K2312" s="20" t="n">
        <x:v>130</x:v>
      </x:c>
      <x:c r="L2312" s="20" t="n">
        <x:v>0</x:v>
      </x:c>
      <x:c r="M2312" s="20" t="n">
        <x:v>64</x:v>
      </x:c>
      <x:c r="N2312" s="20" t="n">
        <x:f>IF(J2312=1,0,K2312-L2312)</x:f>
        <x:v>130</x:v>
      </x:c>
      <x:c r="O2312" s="20" t="n">
        <x:f>N2312-M2312</x:f>
        <x:v>66</x:v>
      </x:c>
    </x:row>
    <x:row r="2313" ht="22" customHeight="1">
      <x:c r="A2313" s="11" t="n">
        <x:v>2309</x:v>
      </x:c>
      <x:c r="B2313" s="11" t="n">
        <x:v>1167</x:v>
      </x:c>
      <x:c r="C2313" s="18" t="n">
        <x:v>45885</x:v>
      </x:c>
      <x:c r="D2313" s="11" t="str">
        <x:v>2025-08</x:v>
      </x:c>
      <x:c r="E2313" s="11" t="str">
        <x:v>Central</x:v>
      </x:c>
      <x:c r="F2313" s="11" t="str">
        <x:v>Furniture</x:v>
      </x:c>
      <x:c r="G2313" s="11" t="str">
        <x:v>Desk</x:v>
      </x:c>
      <x:c r="H2313" s="11" t="n">
        <x:v>1</x:v>
      </x:c>
      <x:c r="I2313" s="19" t="n">
        <x:v>0.05</x:v>
      </x:c>
      <x:c r="J2313" s="11" t="n">
        <x:v>0</x:v>
      </x:c>
      <x:c r="K2313" s="20" t="n">
        <x:v>280</x:v>
      </x:c>
      <x:c r="L2313" s="20" t="n">
        <x:v>14</x:v>
      </x:c>
      <x:c r="M2313" s="20" t="n">
        <x:v>190</x:v>
      </x:c>
      <x:c r="N2313" s="20" t="n">
        <x:f>IF(J2313=1,0,K2313-L2313)</x:f>
        <x:v>266</x:v>
      </x:c>
      <x:c r="O2313" s="20" t="n">
        <x:f>N2313-M2313</x:f>
        <x:v>76</x:v>
      </x:c>
    </x:row>
    <x:row r="2314" ht="22" customHeight="1">
      <x:c r="A2314" s="11" t="n">
        <x:v>2310</x:v>
      </x:c>
      <x:c r="B2314" s="11" t="n">
        <x:v>1167</x:v>
      </x:c>
      <x:c r="C2314" s="18" t="n">
        <x:v>45885</x:v>
      </x:c>
      <x:c r="D2314" s="11" t="str">
        <x:v>2025-08</x:v>
      </x:c>
      <x:c r="E2314" s="11" t="str">
        <x:v>Central</x:v>
      </x:c>
      <x:c r="F2314" s="11" t="str">
        <x:v>Furniture</x:v>
      </x:c>
      <x:c r="G2314" s="11" t="str">
        <x:v>Chair</x:v>
      </x:c>
      <x:c r="H2314" s="11" t="n">
        <x:v>3</x:v>
      </x:c>
      <x:c r="I2314" s="19" t="n">
        <x:v>0</x:v>
      </x:c>
      <x:c r="J2314" s="11" t="n">
        <x:v>0</x:v>
      </x:c>
      <x:c r="K2314" s="20" t="n">
        <x:v>510</x:v>
      </x:c>
      <x:c r="L2314" s="20" t="n">
        <x:v>0</x:v>
      </x:c>
      <x:c r="M2314" s="20" t="n">
        <x:v>330</x:v>
      </x:c>
      <x:c r="N2314" s="20" t="n">
        <x:f>IF(J2314=1,0,K2314-L2314)</x:f>
        <x:v>510</x:v>
      </x:c>
      <x:c r="O2314" s="20" t="n">
        <x:f>N2314-M2314</x:f>
        <x:v>180</x:v>
      </x:c>
    </x:row>
    <x:row r="2315" ht="22" customHeight="1">
      <x:c r="A2315" s="11" t="n">
        <x:v>2311</x:v>
      </x:c>
      <x:c r="B2315" s="11" t="n">
        <x:v>1168</x:v>
      </x:c>
      <x:c r="C2315" s="18" t="n">
        <x:v>45787</x:v>
      </x:c>
      <x:c r="D2315" s="11" t="str">
        <x:v>2025-05</x:v>
      </x:c>
      <x:c r="E2315" s="11" t="str">
        <x:v>South</x:v>
      </x:c>
      <x:c r="F2315" s="11" t="str">
        <x:v>Office Supplies</x:v>
      </x:c>
      <x:c r="G2315" s="11" t="str">
        <x:v>Notebook pack</x:v>
      </x:c>
      <x:c r="H2315" s="11" t="n">
        <x:v>2</x:v>
      </x:c>
      <x:c r="I2315" s="19" t="n">
        <x:v>0.1</x:v>
      </x:c>
      <x:c r="J2315" s="11" t="n">
        <x:v>0</x:v>
      </x:c>
      <x:c r="K2315" s="20" t="n">
        <x:v>36</x:v>
      </x:c>
      <x:c r="L2315" s="20" t="n">
        <x:v>3.6</x:v>
      </x:c>
      <x:c r="M2315" s="20" t="n">
        <x:v>14</x:v>
      </x:c>
      <x:c r="N2315" s="20" t="n">
        <x:f>IF(J2315=1,0,K2315-L2315)</x:f>
        <x:v>32.4</x:v>
      </x:c>
      <x:c r="O2315" s="20" t="n">
        <x:f>N2315-M2315</x:f>
        <x:v>18.4</x:v>
      </x:c>
    </x:row>
    <x:row r="2316" ht="22" customHeight="1">
      <x:c r="A2316" s="11" t="n">
        <x:v>2312</x:v>
      </x:c>
      <x:c r="B2316" s="11" t="n">
        <x:v>1168</x:v>
      </x:c>
      <x:c r="C2316" s="18" t="n">
        <x:v>45787</x:v>
      </x:c>
      <x:c r="D2316" s="11" t="str">
        <x:v>2025-05</x:v>
      </x:c>
      <x:c r="E2316" s="11" t="str">
        <x:v>South</x:v>
      </x:c>
      <x:c r="F2316" s="11" t="str">
        <x:v>Technology</x:v>
      </x:c>
      <x:c r="G2316" s="11" t="str">
        <x:v>Keyboard</x:v>
      </x:c>
      <x:c r="H2316" s="11" t="n">
        <x:v>5</x:v>
      </x:c>
      <x:c r="I2316" s="19" t="n">
        <x:v>0.1</x:v>
      </x:c>
      <x:c r="J2316" s="11" t="n">
        <x:v>0</x:v>
      </x:c>
      <x:c r="K2316" s="20" t="n">
        <x:v>325</x:v>
      </x:c>
      <x:c r="L2316" s="20" t="n">
        <x:v>32.5</x:v>
      </x:c>
      <x:c r="M2316" s="20" t="n">
        <x:v>160</x:v>
      </x:c>
      <x:c r="N2316" s="20" t="n">
        <x:f>IF(J2316=1,0,K2316-L2316)</x:f>
        <x:v>292.5</x:v>
      </x:c>
      <x:c r="O2316" s="20" t="n">
        <x:f>N2316-M2316</x:f>
        <x:v>132.5</x:v>
      </x:c>
    </x:row>
    <x:row r="2317" ht="22" customHeight="1">
      <x:c r="A2317" s="11" t="n">
        <x:v>2313</x:v>
      </x:c>
      <x:c r="B2317" s="11" t="n">
        <x:v>1168</x:v>
      </x:c>
      <x:c r="C2317" s="18" t="n">
        <x:v>45787</x:v>
      </x:c>
      <x:c r="D2317" s="11" t="str">
        <x:v>2025-05</x:v>
      </x:c>
      <x:c r="E2317" s="11" t="str">
        <x:v>South</x:v>
      </x:c>
      <x:c r="F2317" s="11" t="str">
        <x:v>Office Supplies</x:v>
      </x:c>
      <x:c r="G2317" s="11" t="str">
        <x:v>Storage box</x:v>
      </x:c>
      <x:c r="H2317" s="11" t="n">
        <x:v>3</x:v>
      </x:c>
      <x:c r="I2317" s="19" t="n">
        <x:v>0.15</x:v>
      </x:c>
      <x:c r="J2317" s="11" t="n">
        <x:v>0</x:v>
      </x:c>
      <x:c r="K2317" s="20" t="n">
        <x:v>78</x:v>
      </x:c>
      <x:c r="L2317" s="20" t="n">
        <x:v>11.7</x:v>
      </x:c>
      <x:c r="M2317" s="20" t="n">
        <x:v>36</x:v>
      </x:c>
      <x:c r="N2317" s="20" t="n">
        <x:f>IF(J2317=1,0,K2317-L2317)</x:f>
        <x:v>66.3</x:v>
      </x:c>
      <x:c r="O2317" s="20" t="n">
        <x:f>N2317-M2317</x:f>
        <x:v>30.299999999999997</x:v>
      </x:c>
    </x:row>
    <x:row r="2318" ht="22" customHeight="1">
      <x:c r="A2318" s="11" t="n">
        <x:v>2314</x:v>
      </x:c>
      <x:c r="B2318" s="11" t="n">
        <x:v>1169</x:v>
      </x:c>
      <x:c r="C2318" s="18" t="n">
        <x:v>45637</x:v>
      </x:c>
      <x:c r="D2318" s="11" t="str">
        <x:v>2024-12</x:v>
      </x:c>
      <x:c r="E2318" s="11" t="str">
        <x:v>East</x:v>
      </x:c>
      <x:c r="F2318" s="11" t="str">
        <x:v>Technology</x:v>
      </x:c>
      <x:c r="G2318" s="11" t="str">
        <x:v>Keyboard</x:v>
      </x:c>
      <x:c r="H2318" s="11" t="n">
        <x:v>4</x:v>
      </x:c>
      <x:c r="I2318" s="19" t="n">
        <x:v>0</x:v>
      </x:c>
      <x:c r="J2318" s="11" t="n">
        <x:v>0</x:v>
      </x:c>
      <x:c r="K2318" s="20" t="n">
        <x:v>260</x:v>
      </x:c>
      <x:c r="L2318" s="20" t="n">
        <x:v>0</x:v>
      </x:c>
      <x:c r="M2318" s="20" t="n">
        <x:v>128</x:v>
      </x:c>
      <x:c r="N2318" s="20" t="n">
        <x:f>IF(J2318=1,0,K2318-L2318)</x:f>
        <x:v>260</x:v>
      </x:c>
      <x:c r="O2318" s="20" t="n">
        <x:f>N2318-M2318</x:f>
        <x:v>132</x:v>
      </x:c>
    </x:row>
    <x:row r="2319" ht="22" customHeight="1">
      <x:c r="A2319" s="11" t="n">
        <x:v>2315</x:v>
      </x:c>
      <x:c r="B2319" s="11" t="n">
        <x:v>1169</x:v>
      </x:c>
      <x:c r="C2319" s="18" t="n">
        <x:v>45637</x:v>
      </x:c>
      <x:c r="D2319" s="11" t="str">
        <x:v>2024-12</x:v>
      </x:c>
      <x:c r="E2319" s="11" t="str">
        <x:v>East</x:v>
      </x:c>
      <x:c r="F2319" s="11" t="str">
        <x:v>Office Supplies</x:v>
      </x:c>
      <x:c r="G2319" s="11" t="str">
        <x:v>Notebook pack</x:v>
      </x:c>
      <x:c r="H2319" s="11" t="n">
        <x:v>3</x:v>
      </x:c>
      <x:c r="I2319" s="19" t="n">
        <x:v>0.15</x:v>
      </x:c>
      <x:c r="J2319" s="11" t="n">
        <x:v>0</x:v>
      </x:c>
      <x:c r="K2319" s="20" t="n">
        <x:v>54</x:v>
      </x:c>
      <x:c r="L2319" s="20" t="n">
        <x:v>8.1</x:v>
      </x:c>
      <x:c r="M2319" s="20" t="n">
        <x:v>21</x:v>
      </x:c>
      <x:c r="N2319" s="20" t="n">
        <x:f>IF(J2319=1,0,K2319-L2319)</x:f>
        <x:v>45.9</x:v>
      </x:c>
      <x:c r="O2319" s="20" t="n">
        <x:f>N2319-M2319</x:f>
        <x:v>24.9</x:v>
      </x:c>
    </x:row>
    <x:row r="2320" ht="22" customHeight="1">
      <x:c r="A2320" s="11" t="n">
        <x:v>2316</x:v>
      </x:c>
      <x:c r="B2320" s="11" t="n">
        <x:v>1170</x:v>
      </x:c>
      <x:c r="C2320" s="18" t="n">
        <x:v>45666</x:v>
      </x:c>
      <x:c r="D2320" s="11" t="str">
        <x:v>2025-01</x:v>
      </x:c>
      <x:c r="E2320" s="11" t="str">
        <x:v>South</x:v>
      </x:c>
      <x:c r="F2320" s="11" t="str">
        <x:v>Furniture</x:v>
      </x:c>
      <x:c r="G2320" s="11" t="str">
        <x:v>Chair</x:v>
      </x:c>
      <x:c r="H2320" s="11" t="n">
        <x:v>4</x:v>
      </x:c>
      <x:c r="I2320" s="19" t="n">
        <x:v>0</x:v>
      </x:c>
      <x:c r="J2320" s="11" t="n">
        <x:v>0</x:v>
      </x:c>
      <x:c r="K2320" s="20" t="n">
        <x:v>680</x:v>
      </x:c>
      <x:c r="L2320" s="20" t="n">
        <x:v>0</x:v>
      </x:c>
      <x:c r="M2320" s="20" t="n">
        <x:v>440</x:v>
      </x:c>
      <x:c r="N2320" s="20" t="n">
        <x:f>IF(J2320=1,0,K2320-L2320)</x:f>
        <x:v>680</x:v>
      </x:c>
      <x:c r="O2320" s="20" t="n">
        <x:f>N2320-M2320</x:f>
        <x:v>240</x:v>
      </x:c>
    </x:row>
    <x:row r="2321" ht="22" customHeight="1">
      <x:c r="A2321" s="11" t="n">
        <x:v>2317</x:v>
      </x:c>
      <x:c r="B2321" s="11" t="n">
        <x:v>1170</x:v>
      </x:c>
      <x:c r="C2321" s="18" t="n">
        <x:v>45666</x:v>
      </x:c>
      <x:c r="D2321" s="11" t="str">
        <x:v>2025-01</x:v>
      </x:c>
      <x:c r="E2321" s="11" t="str">
        <x:v>South</x:v>
      </x:c>
      <x:c r="F2321" s="11" t="str">
        <x:v>Furniture</x:v>
      </x:c>
      <x:c r="G2321" s="11" t="str">
        <x:v>Desk</x:v>
      </x:c>
      <x:c r="H2321" s="11" t="n">
        <x:v>3</x:v>
      </x:c>
      <x:c r="I2321" s="19" t="n">
        <x:v>0</x:v>
      </x:c>
      <x:c r="J2321" s="11" t="n">
        <x:v>0</x:v>
      </x:c>
      <x:c r="K2321" s="20" t="n">
        <x:v>840</x:v>
      </x:c>
      <x:c r="L2321" s="20" t="n">
        <x:v>0</x:v>
      </x:c>
      <x:c r="M2321" s="20" t="n">
        <x:v>570</x:v>
      </x:c>
      <x:c r="N2321" s="20" t="n">
        <x:f>IF(J2321=1,0,K2321-L2321)</x:f>
        <x:v>840</x:v>
      </x:c>
      <x:c r="O2321" s="20" t="n">
        <x:f>N2321-M2321</x:f>
        <x:v>270</x:v>
      </x:c>
    </x:row>
    <x:row r="2322" ht="22" customHeight="1">
      <x:c r="A2322" s="11" t="n">
        <x:v>2318</x:v>
      </x:c>
      <x:c r="B2322" s="11" t="n">
        <x:v>1170</x:v>
      </x:c>
      <x:c r="C2322" s="18" t="n">
        <x:v>45666</x:v>
      </x:c>
      <x:c r="D2322" s="11" t="str">
        <x:v>2025-01</x:v>
      </x:c>
      <x:c r="E2322" s="11" t="str">
        <x:v>South</x:v>
      </x:c>
      <x:c r="F2322" s="11" t="str">
        <x:v>Office Supplies</x:v>
      </x:c>
      <x:c r="G2322" s="11" t="str">
        <x:v>Storage box</x:v>
      </x:c>
      <x:c r="H2322" s="11" t="n">
        <x:v>3</x:v>
      </x:c>
      <x:c r="I2322" s="19" t="n">
        <x:v>0.1</x:v>
      </x:c>
      <x:c r="J2322" s="11" t="n">
        <x:v>0</x:v>
      </x:c>
      <x:c r="K2322" s="20" t="n">
        <x:v>78</x:v>
      </x:c>
      <x:c r="L2322" s="20" t="n">
        <x:v>7.8</x:v>
      </x:c>
      <x:c r="M2322" s="20" t="n">
        <x:v>36</x:v>
      </x:c>
      <x:c r="N2322" s="20" t="n">
        <x:f>IF(J2322=1,0,K2322-L2322)</x:f>
        <x:v>70.2</x:v>
      </x:c>
      <x:c r="O2322" s="20" t="n">
        <x:f>N2322-M2322</x:f>
        <x:v>34.2</x:v>
      </x:c>
    </x:row>
    <x:row r="2323" ht="22" customHeight="1">
      <x:c r="A2323" s="11" t="n">
        <x:v>2319</x:v>
      </x:c>
      <x:c r="B2323" s="11" t="n">
        <x:v>1171</x:v>
      </x:c>
      <x:c r="C2323" s="18" t="n">
        <x:v>45376</x:v>
      </x:c>
      <x:c r="D2323" s="11" t="str">
        <x:v>2024-03</x:v>
      </x:c>
      <x:c r="E2323" s="11" t="str">
        <x:v>East</x:v>
      </x:c>
      <x:c r="F2323" s="11" t="str">
        <x:v>Office Supplies</x:v>
      </x:c>
      <x:c r="G2323" s="11" t="str">
        <x:v>Notebook pack</x:v>
      </x:c>
      <x:c r="H2323" s="11" t="n">
        <x:v>2</x:v>
      </x:c>
      <x:c r="I2323" s="19" t="n">
        <x:v>0</x:v>
      </x:c>
      <x:c r="J2323" s="11" t="n">
        <x:v>0</x:v>
      </x:c>
      <x:c r="K2323" s="20" t="n">
        <x:v>36</x:v>
      </x:c>
      <x:c r="L2323" s="20" t="n">
        <x:v>0</x:v>
      </x:c>
      <x:c r="M2323" s="20" t="n">
        <x:v>14</x:v>
      </x:c>
      <x:c r="N2323" s="20" t="n">
        <x:f>IF(J2323=1,0,K2323-L2323)</x:f>
        <x:v>36</x:v>
      </x:c>
      <x:c r="O2323" s="20" t="n">
        <x:f>N2323-M2323</x:f>
        <x:v>22</x:v>
      </x:c>
    </x:row>
    <x:row r="2324" ht="22" customHeight="1">
      <x:c r="A2324" s="11" t="n">
        <x:v>2320</x:v>
      </x:c>
      <x:c r="B2324" s="11" t="n">
        <x:v>1171</x:v>
      </x:c>
      <x:c r="C2324" s="18" t="n">
        <x:v>45376</x:v>
      </x:c>
      <x:c r="D2324" s="11" t="str">
        <x:v>2024-03</x:v>
      </x:c>
      <x:c r="E2324" s="11" t="str">
        <x:v>East</x:v>
      </x:c>
      <x:c r="F2324" s="11" t="str">
        <x:v>Furniture</x:v>
      </x:c>
      <x:c r="G2324" s="11" t="str">
        <x:v>Chair</x:v>
      </x:c>
      <x:c r="H2324" s="11" t="n">
        <x:v>2</x:v>
      </x:c>
      <x:c r="I2324" s="19" t="n">
        <x:v>0.15</x:v>
      </x:c>
      <x:c r="J2324" s="11" t="n">
        <x:v>0</x:v>
      </x:c>
      <x:c r="K2324" s="20" t="n">
        <x:v>340</x:v>
      </x:c>
      <x:c r="L2324" s="20" t="n">
        <x:v>51</x:v>
      </x:c>
      <x:c r="M2324" s="20" t="n">
        <x:v>220</x:v>
      </x:c>
      <x:c r="N2324" s="20" t="n">
        <x:f>IF(J2324=1,0,K2324-L2324)</x:f>
        <x:v>289</x:v>
      </x:c>
      <x:c r="O2324" s="20" t="n">
        <x:f>N2324-M2324</x:f>
        <x:v>69</x:v>
      </x:c>
    </x:row>
    <x:row r="2325" ht="22" customHeight="1">
      <x:c r="A2325" s="11" t="n">
        <x:v>2321</x:v>
      </x:c>
      <x:c r="B2325" s="11" t="n">
        <x:v>1172</x:v>
      </x:c>
      <x:c r="C2325" s="18" t="n">
        <x:v>45447</x:v>
      </x:c>
      <x:c r="D2325" s="11" t="str">
        <x:v>2024-06</x:v>
      </x:c>
      <x:c r="E2325" s="11" t="str">
        <x:v>South</x:v>
      </x:c>
      <x:c r="F2325" s="11" t="str">
        <x:v>Technology</x:v>
      </x:c>
      <x:c r="G2325" s="11" t="str">
        <x:v>Monitor</x:v>
      </x:c>
      <x:c r="H2325" s="11" t="n">
        <x:v>5</x:v>
      </x:c>
      <x:c r="I2325" s="19" t="n">
        <x:v>0</x:v>
      </x:c>
      <x:c r="J2325" s="11" t="n">
        <x:v>0</x:v>
      </x:c>
      <x:c r="K2325" s="20" t="n">
        <x:v>1200</x:v>
      </x:c>
      <x:c r="L2325" s="20" t="n">
        <x:v>0</x:v>
      </x:c>
      <x:c r="M2325" s="20" t="n">
        <x:v>800</x:v>
      </x:c>
      <x:c r="N2325" s="20" t="n">
        <x:f>IF(J2325=1,0,K2325-L2325)</x:f>
        <x:v>1200</x:v>
      </x:c>
      <x:c r="O2325" s="20" t="n">
        <x:f>N2325-M2325</x:f>
        <x:v>400</x:v>
      </x:c>
    </x:row>
    <x:row r="2326" ht="22" customHeight="1">
      <x:c r="A2326" s="11" t="n">
        <x:v>2322</x:v>
      </x:c>
      <x:c r="B2326" s="11" t="n">
        <x:v>1172</x:v>
      </x:c>
      <x:c r="C2326" s="18" t="n">
        <x:v>45447</x:v>
      </x:c>
      <x:c r="D2326" s="11" t="str">
        <x:v>2024-06</x:v>
      </x:c>
      <x:c r="E2326" s="11" t="str">
        <x:v>South</x:v>
      </x:c>
      <x:c r="F2326" s="11" t="str">
        <x:v>Office Supplies</x:v>
      </x:c>
      <x:c r="G2326" s="11" t="str">
        <x:v>Notebook pack</x:v>
      </x:c>
      <x:c r="H2326" s="11" t="n">
        <x:v>1</x:v>
      </x:c>
      <x:c r="I2326" s="19" t="n">
        <x:v>0</x:v>
      </x:c>
      <x:c r="J2326" s="11" t="n">
        <x:v>0</x:v>
      </x:c>
      <x:c r="K2326" s="20" t="n">
        <x:v>18</x:v>
      </x:c>
      <x:c r="L2326" s="20" t="n">
        <x:v>0</x:v>
      </x:c>
      <x:c r="M2326" s="20" t="n">
        <x:v>7</x:v>
      </x:c>
      <x:c r="N2326" s="20" t="n">
        <x:f>IF(J2326=1,0,K2326-L2326)</x:f>
        <x:v>18</x:v>
      </x:c>
      <x:c r="O2326" s="20" t="n">
        <x:f>N2326-M2326</x:f>
        <x:v>11</x:v>
      </x:c>
    </x:row>
    <x:row r="2327" ht="22" customHeight="1">
      <x:c r="A2327" s="11" t="n">
        <x:v>2323</x:v>
      </x:c>
      <x:c r="B2327" s="11" t="n">
        <x:v>1172</x:v>
      </x:c>
      <x:c r="C2327" s="18" t="n">
        <x:v>45447</x:v>
      </x:c>
      <x:c r="D2327" s="11" t="str">
        <x:v>2024-06</x:v>
      </x:c>
      <x:c r="E2327" s="11" t="str">
        <x:v>South</x:v>
      </x:c>
      <x:c r="F2327" s="11" t="str">
        <x:v>Furniture</x:v>
      </x:c>
      <x:c r="G2327" s="11" t="str">
        <x:v>Chair</x:v>
      </x:c>
      <x:c r="H2327" s="11" t="n">
        <x:v>5</x:v>
      </x:c>
      <x:c r="I2327" s="19" t="n">
        <x:v>0.05</x:v>
      </x:c>
      <x:c r="J2327" s="11" t="n">
        <x:v>0</x:v>
      </x:c>
      <x:c r="K2327" s="20" t="n">
        <x:v>850</x:v>
      </x:c>
      <x:c r="L2327" s="20" t="n">
        <x:v>42.5</x:v>
      </x:c>
      <x:c r="M2327" s="20" t="n">
        <x:v>550</x:v>
      </x:c>
      <x:c r="N2327" s="20" t="n">
        <x:f>IF(J2327=1,0,K2327-L2327)</x:f>
        <x:v>807.5</x:v>
      </x:c>
      <x:c r="O2327" s="20" t="n">
        <x:f>N2327-M2327</x:f>
        <x:v>257.5</x:v>
      </x:c>
    </x:row>
    <x:row r="2328" ht="22" customHeight="1">
      <x:c r="A2328" s="11" t="n">
        <x:v>2324</x:v>
      </x:c>
      <x:c r="B2328" s="11" t="n">
        <x:v>1173</x:v>
      </x:c>
      <x:c r="C2328" s="18" t="n">
        <x:v>45447</x:v>
      </x:c>
      <x:c r="D2328" s="11" t="str">
        <x:v>2024-06</x:v>
      </x:c>
      <x:c r="E2328" s="11" t="str">
        <x:v>East</x:v>
      </x:c>
      <x:c r="F2328" s="11" t="str">
        <x:v>Technology</x:v>
      </x:c>
      <x:c r="G2328" s="11" t="str">
        <x:v>Monitor</x:v>
      </x:c>
      <x:c r="H2328" s="11" t="n">
        <x:v>1</x:v>
      </x:c>
      <x:c r="I2328" s="19" t="n">
        <x:v>0.1</x:v>
      </x:c>
      <x:c r="J2328" s="11" t="n">
        <x:v>0</x:v>
      </x:c>
      <x:c r="K2328" s="20" t="n">
        <x:v>240</x:v>
      </x:c>
      <x:c r="L2328" s="20" t="n">
        <x:v>24</x:v>
      </x:c>
      <x:c r="M2328" s="20" t="n">
        <x:v>160</x:v>
      </x:c>
      <x:c r="N2328" s="20" t="n">
        <x:f>IF(J2328=1,0,K2328-L2328)</x:f>
        <x:v>216</x:v>
      </x:c>
      <x:c r="O2328" s="20" t="n">
        <x:f>N2328-M2328</x:f>
        <x:v>56</x:v>
      </x:c>
    </x:row>
    <x:row r="2329" ht="22" customHeight="1">
      <x:c r="A2329" s="11" t="n">
        <x:v>2325</x:v>
      </x:c>
      <x:c r="B2329" s="11" t="n">
        <x:v>1174</x:v>
      </x:c>
      <x:c r="C2329" s="18" t="n">
        <x:v>45826</x:v>
      </x:c>
      <x:c r="D2329" s="11" t="str">
        <x:v>2025-06</x:v>
      </x:c>
      <x:c r="E2329" s="11" t="str">
        <x:v>South</x:v>
      </x:c>
      <x:c r="F2329" s="11" t="str">
        <x:v>Technology</x:v>
      </x:c>
      <x:c r="G2329" s="11" t="str">
        <x:v>Monitor</x:v>
      </x:c>
      <x:c r="H2329" s="11" t="n">
        <x:v>3</x:v>
      </x:c>
      <x:c r="I2329" s="19" t="n">
        <x:v>0</x:v>
      </x:c>
      <x:c r="J2329" s="11" t="n">
        <x:v>0</x:v>
      </x:c>
      <x:c r="K2329" s="20" t="n">
        <x:v>720</x:v>
      </x:c>
      <x:c r="L2329" s="20" t="n">
        <x:v>0</x:v>
      </x:c>
      <x:c r="M2329" s="20" t="n">
        <x:v>480</x:v>
      </x:c>
      <x:c r="N2329" s="20" t="n">
        <x:f>IF(J2329=1,0,K2329-L2329)</x:f>
        <x:v>720</x:v>
      </x:c>
      <x:c r="O2329" s="20" t="n">
        <x:f>N2329-M2329</x:f>
        <x:v>240</x:v>
      </x:c>
    </x:row>
    <x:row r="2330" ht="22" customHeight="1">
      <x:c r="A2330" s="11" t="n">
        <x:v>2326</x:v>
      </x:c>
      <x:c r="B2330" s="11" t="n">
        <x:v>1174</x:v>
      </x:c>
      <x:c r="C2330" s="18" t="n">
        <x:v>45826</x:v>
      </x:c>
      <x:c r="D2330" s="11" t="str">
        <x:v>2025-06</x:v>
      </x:c>
      <x:c r="E2330" s="11" t="str">
        <x:v>South</x:v>
      </x:c>
      <x:c r="F2330" s="11" t="str">
        <x:v>Furniture</x:v>
      </x:c>
      <x:c r="G2330" s="11" t="str">
        <x:v>Chair</x:v>
      </x:c>
      <x:c r="H2330" s="11" t="n">
        <x:v>5</x:v>
      </x:c>
      <x:c r="I2330" s="19" t="n">
        <x:v>0.1</x:v>
      </x:c>
      <x:c r="J2330" s="11" t="n">
        <x:v>0</x:v>
      </x:c>
      <x:c r="K2330" s="20" t="n">
        <x:v>850</x:v>
      </x:c>
      <x:c r="L2330" s="20" t="n">
        <x:v>85</x:v>
      </x:c>
      <x:c r="M2330" s="20" t="n">
        <x:v>550</x:v>
      </x:c>
      <x:c r="N2330" s="20" t="n">
        <x:f>IF(J2330=1,0,K2330-L2330)</x:f>
        <x:v>765</x:v>
      </x:c>
      <x:c r="O2330" s="20" t="n">
        <x:f>N2330-M2330</x:f>
        <x:v>215</x:v>
      </x:c>
    </x:row>
    <x:row r="2331" ht="22" customHeight="1">
      <x:c r="A2331" s="11" t="n">
        <x:v>2327</x:v>
      </x:c>
      <x:c r="B2331" s="11" t="n">
        <x:v>1175</x:v>
      </x:c>
      <x:c r="C2331" s="18" t="n">
        <x:v>45919</x:v>
      </x:c>
      <x:c r="D2331" s="11" t="str">
        <x:v>2025-09</x:v>
      </x:c>
      <x:c r="E2331" s="11" t="str">
        <x:v>West</x:v>
      </x:c>
      <x:c r="F2331" s="11" t="str">
        <x:v>Technology</x:v>
      </x:c>
      <x:c r="G2331" s="11" t="str">
        <x:v>Keyboard</x:v>
      </x:c>
      <x:c r="H2331" s="11" t="n">
        <x:v>2</x:v>
      </x:c>
      <x:c r="I2331" s="19" t="n">
        <x:v>0</x:v>
      </x:c>
      <x:c r="J2331" s="11" t="n">
        <x:v>0</x:v>
      </x:c>
      <x:c r="K2331" s="20" t="n">
        <x:v>130</x:v>
      </x:c>
      <x:c r="L2331" s="20" t="n">
        <x:v>0</x:v>
      </x:c>
      <x:c r="M2331" s="20" t="n">
        <x:v>64</x:v>
      </x:c>
      <x:c r="N2331" s="20" t="n">
        <x:f>IF(J2331=1,0,K2331-L2331)</x:f>
        <x:v>130</x:v>
      </x:c>
      <x:c r="O2331" s="20" t="n">
        <x:f>N2331-M2331</x:f>
        <x:v>66</x:v>
      </x:c>
    </x:row>
    <x:row r="2332" ht="22" customHeight="1">
      <x:c r="A2332" s="11" t="n">
        <x:v>2328</x:v>
      </x:c>
      <x:c r="B2332" s="11" t="n">
        <x:v>1176</x:v>
      </x:c>
      <x:c r="C2332" s="18" t="n">
        <x:v>45456</x:v>
      </x:c>
      <x:c r="D2332" s="11" t="str">
        <x:v>2024-06</x:v>
      </x:c>
      <x:c r="E2332" s="11" t="str">
        <x:v>Central</x:v>
      </x:c>
      <x:c r="F2332" s="11" t="str">
        <x:v>Furniture</x:v>
      </x:c>
      <x:c r="G2332" s="11" t="str">
        <x:v>Chair</x:v>
      </x:c>
      <x:c r="H2332" s="11" t="n">
        <x:v>4</x:v>
      </x:c>
      <x:c r="I2332" s="19" t="n">
        <x:v>0.05</x:v>
      </x:c>
      <x:c r="J2332" s="11" t="n">
        <x:v>0</x:v>
      </x:c>
      <x:c r="K2332" s="20" t="n">
        <x:v>680</x:v>
      </x:c>
      <x:c r="L2332" s="20" t="n">
        <x:v>34</x:v>
      </x:c>
      <x:c r="M2332" s="20" t="n">
        <x:v>440</x:v>
      </x:c>
      <x:c r="N2332" s="20" t="n">
        <x:f>IF(J2332=1,0,K2332-L2332)</x:f>
        <x:v>646</x:v>
      </x:c>
      <x:c r="O2332" s="20" t="n">
        <x:f>N2332-M2332</x:f>
        <x:v>206</x:v>
      </x:c>
    </x:row>
    <x:row r="2333" ht="22" customHeight="1">
      <x:c r="A2333" s="11" t="n">
        <x:v>2329</x:v>
      </x:c>
      <x:c r="B2333" s="11" t="n">
        <x:v>1176</x:v>
      </x:c>
      <x:c r="C2333" s="18" t="n">
        <x:v>45456</x:v>
      </x:c>
      <x:c r="D2333" s="11" t="str">
        <x:v>2024-06</x:v>
      </x:c>
      <x:c r="E2333" s="11" t="str">
        <x:v>Central</x:v>
      </x:c>
      <x:c r="F2333" s="11" t="str">
        <x:v>Technology</x:v>
      </x:c>
      <x:c r="G2333" s="11" t="str">
        <x:v>Keyboard</x:v>
      </x:c>
      <x:c r="H2333" s="11" t="n">
        <x:v>3</x:v>
      </x:c>
      <x:c r="I2333" s="19" t="n">
        <x:v>0</x:v>
      </x:c>
      <x:c r="J2333" s="11" t="n">
        <x:v>0</x:v>
      </x:c>
      <x:c r="K2333" s="20" t="n">
        <x:v>195</x:v>
      </x:c>
      <x:c r="L2333" s="20" t="n">
        <x:v>0</x:v>
      </x:c>
      <x:c r="M2333" s="20" t="n">
        <x:v>96</x:v>
      </x:c>
      <x:c r="N2333" s="20" t="n">
        <x:f>IF(J2333=1,0,K2333-L2333)</x:f>
        <x:v>195</x:v>
      </x:c>
      <x:c r="O2333" s="20" t="n">
        <x:f>N2333-M2333</x:f>
        <x:v>99</x:v>
      </x:c>
    </x:row>
    <x:row r="2334" ht="22" customHeight="1">
      <x:c r="A2334" s="11" t="n">
        <x:v>2330</x:v>
      </x:c>
      <x:c r="B2334" s="11" t="n">
        <x:v>1177</x:v>
      </x:c>
      <x:c r="C2334" s="18" t="n">
        <x:v>45574</x:v>
      </x:c>
      <x:c r="D2334" s="11" t="str">
        <x:v>2024-10</x:v>
      </x:c>
      <x:c r="E2334" s="11" t="str">
        <x:v>East</x:v>
      </x:c>
      <x:c r="F2334" s="11" t="str">
        <x:v>Office Supplies</x:v>
      </x:c>
      <x:c r="G2334" s="11" t="str">
        <x:v>Storage box</x:v>
      </x:c>
      <x:c r="H2334" s="11" t="n">
        <x:v>5</x:v>
      </x:c>
      <x:c r="I2334" s="19" t="n">
        <x:v>0</x:v>
      </x:c>
      <x:c r="J2334" s="11" t="n">
        <x:v>0</x:v>
      </x:c>
      <x:c r="K2334" s="20" t="n">
        <x:v>130</x:v>
      </x:c>
      <x:c r="L2334" s="20" t="n">
        <x:v>0</x:v>
      </x:c>
      <x:c r="M2334" s="20" t="n">
        <x:v>60</x:v>
      </x:c>
      <x:c r="N2334" s="20" t="n">
        <x:f>IF(J2334=1,0,K2334-L2334)</x:f>
        <x:v>130</x:v>
      </x:c>
      <x:c r="O2334" s="20" t="n">
        <x:f>N2334-M2334</x:f>
        <x:v>70</x:v>
      </x:c>
    </x:row>
    <x:row r="2335" ht="22" customHeight="1">
      <x:c r="A2335" s="11" t="n">
        <x:v>2331</x:v>
      </x:c>
      <x:c r="B2335" s="11" t="n">
        <x:v>1178</x:v>
      </x:c>
      <x:c r="C2335" s="18" t="n">
        <x:v>45437</x:v>
      </x:c>
      <x:c r="D2335" s="11" t="str">
        <x:v>2024-05</x:v>
      </x:c>
      <x:c r="E2335" s="11" t="str">
        <x:v>Central</x:v>
      </x:c>
      <x:c r="F2335" s="11" t="str">
        <x:v>Furniture</x:v>
      </x:c>
      <x:c r="G2335" s="11" t="str">
        <x:v>Desk</x:v>
      </x:c>
      <x:c r="H2335" s="11" t="n">
        <x:v>5</x:v>
      </x:c>
      <x:c r="I2335" s="19" t="n">
        <x:v>0.1</x:v>
      </x:c>
      <x:c r="J2335" s="11" t="n">
        <x:v>0</x:v>
      </x:c>
      <x:c r="K2335" s="20" t="n">
        <x:v>1400</x:v>
      </x:c>
      <x:c r="L2335" s="20" t="n">
        <x:v>140</x:v>
      </x:c>
      <x:c r="M2335" s="20" t="n">
        <x:v>950</x:v>
      </x:c>
      <x:c r="N2335" s="20" t="n">
        <x:f>IF(J2335=1,0,K2335-L2335)</x:f>
        <x:v>1260</x:v>
      </x:c>
      <x:c r="O2335" s="20" t="n">
        <x:f>N2335-M2335</x:f>
        <x:v>310</x:v>
      </x:c>
    </x:row>
    <x:row r="2336" ht="22" customHeight="1">
      <x:c r="A2336" s="11" t="n">
        <x:v>2332</x:v>
      </x:c>
      <x:c r="B2336" s="11" t="n">
        <x:v>1178</x:v>
      </x:c>
      <x:c r="C2336" s="18" t="n">
        <x:v>45437</x:v>
      </x:c>
      <x:c r="D2336" s="11" t="str">
        <x:v>2024-05</x:v>
      </x:c>
      <x:c r="E2336" s="11" t="str">
        <x:v>Central</x:v>
      </x:c>
      <x:c r="F2336" s="11" t="str">
        <x:v>Office Supplies</x:v>
      </x:c>
      <x:c r="G2336" s="11" t="str">
        <x:v>Storage box</x:v>
      </x:c>
      <x:c r="H2336" s="11" t="n">
        <x:v>5</x:v>
      </x:c>
      <x:c r="I2336" s="19" t="n">
        <x:v>0.1</x:v>
      </x:c>
      <x:c r="J2336" s="11" t="n">
        <x:v>0</x:v>
      </x:c>
      <x:c r="K2336" s="20" t="n">
        <x:v>130</x:v>
      </x:c>
      <x:c r="L2336" s="20" t="n">
        <x:v>13</x:v>
      </x:c>
      <x:c r="M2336" s="20" t="n">
        <x:v>60</x:v>
      </x:c>
      <x:c r="N2336" s="20" t="n">
        <x:f>IF(J2336=1,0,K2336-L2336)</x:f>
        <x:v>117</x:v>
      </x:c>
      <x:c r="O2336" s="20" t="n">
        <x:f>N2336-M2336</x:f>
        <x:v>57</x:v>
      </x:c>
    </x:row>
    <x:row r="2337" ht="22" customHeight="1">
      <x:c r="A2337" s="11" t="n">
        <x:v>2333</x:v>
      </x:c>
      <x:c r="B2337" s="11" t="n">
        <x:v>1179</x:v>
      </x:c>
      <x:c r="C2337" s="18" t="n">
        <x:v>45740</x:v>
      </x:c>
      <x:c r="D2337" s="11" t="str">
        <x:v>2025-03</x:v>
      </x:c>
      <x:c r="E2337" s="11" t="str">
        <x:v>Central</x:v>
      </x:c>
      <x:c r="F2337" s="11" t="str">
        <x:v>Office Supplies</x:v>
      </x:c>
      <x:c r="G2337" s="11" t="str">
        <x:v>Storage box</x:v>
      </x:c>
      <x:c r="H2337" s="11" t="n">
        <x:v>2</x:v>
      </x:c>
      <x:c r="I2337" s="19" t="n">
        <x:v>0</x:v>
      </x:c>
      <x:c r="J2337" s="11" t="n">
        <x:v>0</x:v>
      </x:c>
      <x:c r="K2337" s="20" t="n">
        <x:v>52</x:v>
      </x:c>
      <x:c r="L2337" s="20" t="n">
        <x:v>0</x:v>
      </x:c>
      <x:c r="M2337" s="20" t="n">
        <x:v>24</x:v>
      </x:c>
      <x:c r="N2337" s="20" t="n">
        <x:f>IF(J2337=1,0,K2337-L2337)</x:f>
        <x:v>52</x:v>
      </x:c>
      <x:c r="O2337" s="20" t="n">
        <x:f>N2337-M2337</x:f>
        <x:v>28</x:v>
      </x:c>
    </x:row>
    <x:row r="2338" ht="22" customHeight="1">
      <x:c r="A2338" s="11" t="n">
        <x:v>2334</x:v>
      </x:c>
      <x:c r="B2338" s="11" t="n">
        <x:v>1179</x:v>
      </x:c>
      <x:c r="C2338" s="18" t="n">
        <x:v>45740</x:v>
      </x:c>
      <x:c r="D2338" s="11" t="str">
        <x:v>2025-03</x:v>
      </x:c>
      <x:c r="E2338" s="11" t="str">
        <x:v>Central</x:v>
      </x:c>
      <x:c r="F2338" s="11" t="str">
        <x:v>Office Supplies</x:v>
      </x:c>
      <x:c r="G2338" s="11" t="str">
        <x:v>Notebook pack</x:v>
      </x:c>
      <x:c r="H2338" s="11" t="n">
        <x:v>3</x:v>
      </x:c>
      <x:c r="I2338" s="19" t="n">
        <x:v>0.05</x:v>
      </x:c>
      <x:c r="J2338" s="11" t="n">
        <x:v>0</x:v>
      </x:c>
      <x:c r="K2338" s="20" t="n">
        <x:v>54</x:v>
      </x:c>
      <x:c r="L2338" s="20" t="n">
        <x:v>2.7</x:v>
      </x:c>
      <x:c r="M2338" s="20" t="n">
        <x:v>21</x:v>
      </x:c>
      <x:c r="N2338" s="20" t="n">
        <x:f>IF(J2338=1,0,K2338-L2338)</x:f>
        <x:v>51.3</x:v>
      </x:c>
      <x:c r="O2338" s="20" t="n">
        <x:f>N2338-M2338</x:f>
        <x:v>30.299999999999997</x:v>
      </x:c>
    </x:row>
    <x:row r="2339" ht="22" customHeight="1">
      <x:c r="A2339" s="11" t="n">
        <x:v>2335</x:v>
      </x:c>
      <x:c r="B2339" s="11" t="n">
        <x:v>1179</x:v>
      </x:c>
      <x:c r="C2339" s="18" t="n">
        <x:v>45740</x:v>
      </x:c>
      <x:c r="D2339" s="11" t="str">
        <x:v>2025-03</x:v>
      </x:c>
      <x:c r="E2339" s="11" t="str">
        <x:v>Central</x:v>
      </x:c>
      <x:c r="F2339" s="11" t="str">
        <x:v>Technology</x:v>
      </x:c>
      <x:c r="G2339" s="11" t="str">
        <x:v>Keyboard</x:v>
      </x:c>
      <x:c r="H2339" s="11" t="n">
        <x:v>1</x:v>
      </x:c>
      <x:c r="I2339" s="19" t="n">
        <x:v>0.1</x:v>
      </x:c>
      <x:c r="J2339" s="11" t="n">
        <x:v>0</x:v>
      </x:c>
      <x:c r="K2339" s="20" t="n">
        <x:v>65</x:v>
      </x:c>
      <x:c r="L2339" s="20" t="n">
        <x:v>6.5</x:v>
      </x:c>
      <x:c r="M2339" s="20" t="n">
        <x:v>32</x:v>
      </x:c>
      <x:c r="N2339" s="20" t="n">
        <x:f>IF(J2339=1,0,K2339-L2339)</x:f>
        <x:v>58.5</x:v>
      </x:c>
      <x:c r="O2339" s="20" t="n">
        <x:f>N2339-M2339</x:f>
        <x:v>26.5</x:v>
      </x:c>
    </x:row>
    <x:row r="2340" ht="22" customHeight="1">
      <x:c r="A2340" s="11" t="n">
        <x:v>2336</x:v>
      </x:c>
      <x:c r="B2340" s="11" t="n">
        <x:v>1180</x:v>
      </x:c>
      <x:c r="C2340" s="18" t="n">
        <x:v>45553</x:v>
      </x:c>
      <x:c r="D2340" s="11" t="str">
        <x:v>2024-09</x:v>
      </x:c>
      <x:c r="E2340" s="11" t="str">
        <x:v>Central</x:v>
      </x:c>
      <x:c r="F2340" s="11" t="str">
        <x:v>Office Supplies</x:v>
      </x:c>
      <x:c r="G2340" s="11" t="str">
        <x:v>Notebook pack</x:v>
      </x:c>
      <x:c r="H2340" s="11" t="n">
        <x:v>4</x:v>
      </x:c>
      <x:c r="I2340" s="19" t="n">
        <x:v>0.05</x:v>
      </x:c>
      <x:c r="J2340" s="11" t="n">
        <x:v>0</x:v>
      </x:c>
      <x:c r="K2340" s="20" t="n">
        <x:v>72</x:v>
      </x:c>
      <x:c r="L2340" s="20" t="n">
        <x:v>3.6</x:v>
      </x:c>
      <x:c r="M2340" s="20" t="n">
        <x:v>28</x:v>
      </x:c>
      <x:c r="N2340" s="20" t="n">
        <x:f>IF(J2340=1,0,K2340-L2340)</x:f>
        <x:v>68.4</x:v>
      </x:c>
      <x:c r="O2340" s="20" t="n">
        <x:f>N2340-M2340</x:f>
        <x:v>40.400000000000006</x:v>
      </x:c>
    </x:row>
    <x:row r="2341" ht="22" customHeight="1">
      <x:c r="A2341" s="11" t="n">
        <x:v>2337</x:v>
      </x:c>
      <x:c r="B2341" s="11" t="n">
        <x:v>1180</x:v>
      </x:c>
      <x:c r="C2341" s="18" t="n">
        <x:v>45553</x:v>
      </x:c>
      <x:c r="D2341" s="11" t="str">
        <x:v>2024-09</x:v>
      </x:c>
      <x:c r="E2341" s="11" t="str">
        <x:v>Central</x:v>
      </x:c>
      <x:c r="F2341" s="11" t="str">
        <x:v>Furniture</x:v>
      </x:c>
      <x:c r="G2341" s="11" t="str">
        <x:v>Chair</x:v>
      </x:c>
      <x:c r="H2341" s="11" t="n">
        <x:v>1</x:v>
      </x:c>
      <x:c r="I2341" s="19" t="n">
        <x:v>0</x:v>
      </x:c>
      <x:c r="J2341" s="11" t="n">
        <x:v>0</x:v>
      </x:c>
      <x:c r="K2341" s="20" t="n">
        <x:v>170</x:v>
      </x:c>
      <x:c r="L2341" s="20" t="n">
        <x:v>0</x:v>
      </x:c>
      <x:c r="M2341" s="20" t="n">
        <x:v>110</x:v>
      </x:c>
      <x:c r="N2341" s="20" t="n">
        <x:f>IF(J2341=1,0,K2341-L2341)</x:f>
        <x:v>170</x:v>
      </x:c>
      <x:c r="O2341" s="20" t="n">
        <x:f>N2341-M2341</x:f>
        <x:v>60</x:v>
      </x:c>
    </x:row>
    <x:row r="2342" ht="22" customHeight="1">
      <x:c r="A2342" s="11" t="n">
        <x:v>2338</x:v>
      </x:c>
      <x:c r="B2342" s="11" t="n">
        <x:v>1181</x:v>
      </x:c>
      <x:c r="C2342" s="18" t="n">
        <x:v>45909</x:v>
      </x:c>
      <x:c r="D2342" s="11" t="str">
        <x:v>2025-09</x:v>
      </x:c>
      <x:c r="E2342" s="11" t="str">
        <x:v>West</x:v>
      </x:c>
      <x:c r="F2342" s="11" t="str">
        <x:v>Office Supplies</x:v>
      </x:c>
      <x:c r="G2342" s="11" t="str">
        <x:v>Storage box</x:v>
      </x:c>
      <x:c r="H2342" s="11" t="n">
        <x:v>4</x:v>
      </x:c>
      <x:c r="I2342" s="19" t="n">
        <x:v>0.1</x:v>
      </x:c>
      <x:c r="J2342" s="11" t="n">
        <x:v>0</x:v>
      </x:c>
      <x:c r="K2342" s="20" t="n">
        <x:v>104</x:v>
      </x:c>
      <x:c r="L2342" s="20" t="n">
        <x:v>10.4</x:v>
      </x:c>
      <x:c r="M2342" s="20" t="n">
        <x:v>48</x:v>
      </x:c>
      <x:c r="N2342" s="20" t="n">
        <x:f>IF(J2342=1,0,K2342-L2342)</x:f>
        <x:v>93.6</x:v>
      </x:c>
      <x:c r="O2342" s="20" t="n">
        <x:f>N2342-M2342</x:f>
        <x:v>45.599999999999994</x:v>
      </x:c>
    </x:row>
    <x:row r="2343" ht="22" customHeight="1">
      <x:c r="A2343" s="11" t="n">
        <x:v>2339</x:v>
      </x:c>
      <x:c r="B2343" s="11" t="n">
        <x:v>1182</x:v>
      </x:c>
      <x:c r="C2343" s="18" t="n">
        <x:v>45945</x:v>
      </x:c>
      <x:c r="D2343" s="11" t="str">
        <x:v>2025-10</x:v>
      </x:c>
      <x:c r="E2343" s="11" t="str">
        <x:v>South</x:v>
      </x:c>
      <x:c r="F2343" s="11" t="str">
        <x:v>Office Supplies</x:v>
      </x:c>
      <x:c r="G2343" s="11" t="str">
        <x:v>Storage box</x:v>
      </x:c>
      <x:c r="H2343" s="11" t="n">
        <x:v>5</x:v>
      </x:c>
      <x:c r="I2343" s="19" t="n">
        <x:v>0.05</x:v>
      </x:c>
      <x:c r="J2343" s="11" t="n">
        <x:v>0</x:v>
      </x:c>
      <x:c r="K2343" s="20" t="n">
        <x:v>130</x:v>
      </x:c>
      <x:c r="L2343" s="20" t="n">
        <x:v>6.5</x:v>
      </x:c>
      <x:c r="M2343" s="20" t="n">
        <x:v>60</x:v>
      </x:c>
      <x:c r="N2343" s="20" t="n">
        <x:f>IF(J2343=1,0,K2343-L2343)</x:f>
        <x:v>123.5</x:v>
      </x:c>
      <x:c r="O2343" s="20" t="n">
        <x:f>N2343-M2343</x:f>
        <x:v>63.5</x:v>
      </x:c>
    </x:row>
    <x:row r="2344" ht="22" customHeight="1">
      <x:c r="A2344" s="11" t="n">
        <x:v>2340</x:v>
      </x:c>
      <x:c r="B2344" s="11" t="n">
        <x:v>1182</x:v>
      </x:c>
      <x:c r="C2344" s="18" t="n">
        <x:v>45945</x:v>
      </x:c>
      <x:c r="D2344" s="11" t="str">
        <x:v>2025-10</x:v>
      </x:c>
      <x:c r="E2344" s="11" t="str">
        <x:v>South</x:v>
      </x:c>
      <x:c r="F2344" s="11" t="str">
        <x:v>Technology</x:v>
      </x:c>
      <x:c r="G2344" s="11" t="str">
        <x:v>Monitor</x:v>
      </x:c>
      <x:c r="H2344" s="11" t="n">
        <x:v>3</x:v>
      </x:c>
      <x:c r="I2344" s="19" t="n">
        <x:v>0.05</x:v>
      </x:c>
      <x:c r="J2344" s="11" t="n">
        <x:v>0</x:v>
      </x:c>
      <x:c r="K2344" s="20" t="n">
        <x:v>720</x:v>
      </x:c>
      <x:c r="L2344" s="20" t="n">
        <x:v>36</x:v>
      </x:c>
      <x:c r="M2344" s="20" t="n">
        <x:v>480</x:v>
      </x:c>
      <x:c r="N2344" s="20" t="n">
        <x:f>IF(J2344=1,0,K2344-L2344)</x:f>
        <x:v>684</x:v>
      </x:c>
      <x:c r="O2344" s="20" t="n">
        <x:f>N2344-M2344</x:f>
        <x:v>204</x:v>
      </x:c>
    </x:row>
    <x:row r="2345" ht="22" customHeight="1">
      <x:c r="A2345" s="11" t="n">
        <x:v>2341</x:v>
      </x:c>
      <x:c r="B2345" s="11" t="n">
        <x:v>1182</x:v>
      </x:c>
      <x:c r="C2345" s="18" t="n">
        <x:v>45945</x:v>
      </x:c>
      <x:c r="D2345" s="11" t="str">
        <x:v>2025-10</x:v>
      </x:c>
      <x:c r="E2345" s="11" t="str">
        <x:v>South</x:v>
      </x:c>
      <x:c r="F2345" s="11" t="str">
        <x:v>Office Supplies</x:v>
      </x:c>
      <x:c r="G2345" s="11" t="str">
        <x:v>Notebook pack</x:v>
      </x:c>
      <x:c r="H2345" s="11" t="n">
        <x:v>1</x:v>
      </x:c>
      <x:c r="I2345" s="19" t="n">
        <x:v>0.1</x:v>
      </x:c>
      <x:c r="J2345" s="11" t="n">
        <x:v>0</x:v>
      </x:c>
      <x:c r="K2345" s="20" t="n">
        <x:v>18</x:v>
      </x:c>
      <x:c r="L2345" s="20" t="n">
        <x:v>1.8</x:v>
      </x:c>
      <x:c r="M2345" s="20" t="n">
        <x:v>7</x:v>
      </x:c>
      <x:c r="N2345" s="20" t="n">
        <x:f>IF(J2345=1,0,K2345-L2345)</x:f>
        <x:v>16.2</x:v>
      </x:c>
      <x:c r="O2345" s="20" t="n">
        <x:f>N2345-M2345</x:f>
        <x:v>9.2</x:v>
      </x:c>
    </x:row>
    <x:row r="2346" ht="22" customHeight="1">
      <x:c r="A2346" s="11" t="n">
        <x:v>2342</x:v>
      </x:c>
      <x:c r="B2346" s="11" t="n">
        <x:v>1183</x:v>
      </x:c>
      <x:c r="C2346" s="18" t="n">
        <x:v>45798</x:v>
      </x:c>
      <x:c r="D2346" s="11" t="str">
        <x:v>2025-05</x:v>
      </x:c>
      <x:c r="E2346" s="11" t="str">
        <x:v>East</x:v>
      </x:c>
      <x:c r="F2346" s="11" t="str">
        <x:v>Technology</x:v>
      </x:c>
      <x:c r="G2346" s="11" t="str">
        <x:v>Monitor</x:v>
      </x:c>
      <x:c r="H2346" s="11" t="n">
        <x:v>5</x:v>
      </x:c>
      <x:c r="I2346" s="19" t="n">
        <x:v>0.15</x:v>
      </x:c>
      <x:c r="J2346" s="11" t="n">
        <x:v>0</x:v>
      </x:c>
      <x:c r="K2346" s="20" t="n">
        <x:v>1200</x:v>
      </x:c>
      <x:c r="L2346" s="20" t="n">
        <x:v>180</x:v>
      </x:c>
      <x:c r="M2346" s="20" t="n">
        <x:v>800</x:v>
      </x:c>
      <x:c r="N2346" s="20" t="n">
        <x:f>IF(J2346=1,0,K2346-L2346)</x:f>
        <x:v>1020</x:v>
      </x:c>
      <x:c r="O2346" s="20" t="n">
        <x:f>N2346-M2346</x:f>
        <x:v>220</x:v>
      </x:c>
    </x:row>
    <x:row r="2347" ht="22" customHeight="1">
      <x:c r="A2347" s="11" t="n">
        <x:v>2343</x:v>
      </x:c>
      <x:c r="B2347" s="11" t="n">
        <x:v>1183</x:v>
      </x:c>
      <x:c r="C2347" s="18" t="n">
        <x:v>45798</x:v>
      </x:c>
      <x:c r="D2347" s="11" t="str">
        <x:v>2025-05</x:v>
      </x:c>
      <x:c r="E2347" s="11" t="str">
        <x:v>East</x:v>
      </x:c>
      <x:c r="F2347" s="11" t="str">
        <x:v>Furniture</x:v>
      </x:c>
      <x:c r="G2347" s="11" t="str">
        <x:v>Desk</x:v>
      </x:c>
      <x:c r="H2347" s="11" t="n">
        <x:v>4</x:v>
      </x:c>
      <x:c r="I2347" s="19" t="n">
        <x:v>0.25</x:v>
      </x:c>
      <x:c r="J2347" s="11" t="n">
        <x:v>1</x:v>
      </x:c>
      <x:c r="K2347" s="20" t="n">
        <x:v>1120</x:v>
      </x:c>
      <x:c r="L2347" s="20" t="n">
        <x:v>280</x:v>
      </x:c>
      <x:c r="M2347" s="20" t="n">
        <x:v>0</x:v>
      </x:c>
      <x:c r="N2347" s="20" t="n">
        <x:f>IF(J2347=1,0,K2347-L2347)</x:f>
        <x:v>0</x:v>
      </x:c>
      <x:c r="O2347" s="20" t="n">
        <x:f>N2347-M2347</x:f>
        <x:v>0</x:v>
      </x:c>
    </x:row>
    <x:row r="2348" ht="22" customHeight="1">
      <x:c r="A2348" s="11" t="n">
        <x:v>2344</x:v>
      </x:c>
      <x:c r="B2348" s="11" t="n">
        <x:v>1183</x:v>
      </x:c>
      <x:c r="C2348" s="18" t="n">
        <x:v>45798</x:v>
      </x:c>
      <x:c r="D2348" s="11" t="str">
        <x:v>2025-05</x:v>
      </x:c>
      <x:c r="E2348" s="11" t="str">
        <x:v>East</x:v>
      </x:c>
      <x:c r="F2348" s="11" t="str">
        <x:v>Technology</x:v>
      </x:c>
      <x:c r="G2348" s="11" t="str">
        <x:v>Keyboard</x:v>
      </x:c>
      <x:c r="H2348" s="11" t="n">
        <x:v>1</x:v>
      </x:c>
      <x:c r="I2348" s="19" t="n">
        <x:v>0.15</x:v>
      </x:c>
      <x:c r="J2348" s="11" t="n">
        <x:v>0</x:v>
      </x:c>
      <x:c r="K2348" s="20" t="n">
        <x:v>65</x:v>
      </x:c>
      <x:c r="L2348" s="20" t="n">
        <x:v>9.75</x:v>
      </x:c>
      <x:c r="M2348" s="20" t="n">
        <x:v>32</x:v>
      </x:c>
      <x:c r="N2348" s="20" t="n">
        <x:f>IF(J2348=1,0,K2348-L2348)</x:f>
        <x:v>55.25</x:v>
      </x:c>
      <x:c r="O2348" s="20" t="n">
        <x:f>N2348-M2348</x:f>
        <x:v>23.25</x:v>
      </x:c>
    </x:row>
    <x:row r="2349" ht="22" customHeight="1">
      <x:c r="A2349" s="11" t="n">
        <x:v>2345</x:v>
      </x:c>
      <x:c r="B2349" s="11" t="n">
        <x:v>1184</x:v>
      </x:c>
      <x:c r="C2349" s="18" t="n">
        <x:v>45950</x:v>
      </x:c>
      <x:c r="D2349" s="11" t="str">
        <x:v>2025-10</x:v>
      </x:c>
      <x:c r="E2349" s="11" t="str">
        <x:v>South</x:v>
      </x:c>
      <x:c r="F2349" s="11" t="str">
        <x:v>Furniture</x:v>
      </x:c>
      <x:c r="G2349" s="11" t="str">
        <x:v>Chair</x:v>
      </x:c>
      <x:c r="H2349" s="11" t="n">
        <x:v>3</x:v>
      </x:c>
      <x:c r="I2349" s="19" t="n">
        <x:v>0.25</x:v>
      </x:c>
      <x:c r="J2349" s="11" t="n">
        <x:v>0</x:v>
      </x:c>
      <x:c r="K2349" s="20" t="n">
        <x:v>510</x:v>
      </x:c>
      <x:c r="L2349" s="20" t="n">
        <x:v>127.5</x:v>
      </x:c>
      <x:c r="M2349" s="20" t="n">
        <x:v>330</x:v>
      </x:c>
      <x:c r="N2349" s="20" t="n">
        <x:f>IF(J2349=1,0,K2349-L2349)</x:f>
        <x:v>382.5</x:v>
      </x:c>
      <x:c r="O2349" s="20" t="n">
        <x:f>N2349-M2349</x:f>
        <x:v>52.5</x:v>
      </x:c>
    </x:row>
    <x:row r="2350" ht="22" customHeight="1">
      <x:c r="A2350" s="11" t="n">
        <x:v>2346</x:v>
      </x:c>
      <x:c r="B2350" s="11" t="n">
        <x:v>1185</x:v>
      </x:c>
      <x:c r="C2350" s="18" t="n">
        <x:v>45332</x:v>
      </x:c>
      <x:c r="D2350" s="11" t="str">
        <x:v>2024-02</x:v>
      </x:c>
      <x:c r="E2350" s="11" t="str">
        <x:v>South</x:v>
      </x:c>
      <x:c r="F2350" s="11" t="str">
        <x:v>Office Supplies</x:v>
      </x:c>
      <x:c r="G2350" s="11" t="str">
        <x:v>Notebook pack</x:v>
      </x:c>
      <x:c r="H2350" s="11" t="n">
        <x:v>1</x:v>
      </x:c>
      <x:c r="I2350" s="19" t="n">
        <x:v>0.1</x:v>
      </x:c>
      <x:c r="J2350" s="11" t="n">
        <x:v>0</x:v>
      </x:c>
      <x:c r="K2350" s="20" t="n">
        <x:v>18</x:v>
      </x:c>
      <x:c r="L2350" s="20" t="n">
        <x:v>1.8</x:v>
      </x:c>
      <x:c r="M2350" s="20" t="n">
        <x:v>7</x:v>
      </x:c>
      <x:c r="N2350" s="20" t="n">
        <x:f>IF(J2350=1,0,K2350-L2350)</x:f>
        <x:v>16.2</x:v>
      </x:c>
      <x:c r="O2350" s="20" t="n">
        <x:f>N2350-M2350</x:f>
        <x:v>9.2</x:v>
      </x:c>
    </x:row>
    <x:row r="2351" ht="22" customHeight="1">
      <x:c r="A2351" s="11" t="n">
        <x:v>2347</x:v>
      </x:c>
      <x:c r="B2351" s="11" t="n">
        <x:v>1185</x:v>
      </x:c>
      <x:c r="C2351" s="18" t="n">
        <x:v>45332</x:v>
      </x:c>
      <x:c r="D2351" s="11" t="str">
        <x:v>2024-02</x:v>
      </x:c>
      <x:c r="E2351" s="11" t="str">
        <x:v>South</x:v>
      </x:c>
      <x:c r="F2351" s="11" t="str">
        <x:v>Office Supplies</x:v>
      </x:c>
      <x:c r="G2351" s="11" t="str">
        <x:v>Storage box</x:v>
      </x:c>
      <x:c r="H2351" s="11" t="n">
        <x:v>4</x:v>
      </x:c>
      <x:c r="I2351" s="19" t="n">
        <x:v>0</x:v>
      </x:c>
      <x:c r="J2351" s="11" t="n">
        <x:v>0</x:v>
      </x:c>
      <x:c r="K2351" s="20" t="n">
        <x:v>104</x:v>
      </x:c>
      <x:c r="L2351" s="20" t="n">
        <x:v>0</x:v>
      </x:c>
      <x:c r="M2351" s="20" t="n">
        <x:v>48</x:v>
      </x:c>
      <x:c r="N2351" s="20" t="n">
        <x:f>IF(J2351=1,0,K2351-L2351)</x:f>
        <x:v>104</x:v>
      </x:c>
      <x:c r="O2351" s="20" t="n">
        <x:f>N2351-M2351</x:f>
        <x:v>56</x:v>
      </x:c>
    </x:row>
    <x:row r="2352" ht="22" customHeight="1">
      <x:c r="A2352" s="11" t="n">
        <x:v>2348</x:v>
      </x:c>
      <x:c r="B2352" s="11" t="n">
        <x:v>1186</x:v>
      </x:c>
      <x:c r="C2352" s="18" t="n">
        <x:v>45477</x:v>
      </x:c>
      <x:c r="D2352" s="11" t="str">
        <x:v>2024-07</x:v>
      </x:c>
      <x:c r="E2352" s="11" t="str">
        <x:v>West</x:v>
      </x:c>
      <x:c r="F2352" s="11" t="str">
        <x:v>Technology</x:v>
      </x:c>
      <x:c r="G2352" s="11" t="str">
        <x:v>Monitor</x:v>
      </x:c>
      <x:c r="H2352" s="11" t="n">
        <x:v>4</x:v>
      </x:c>
      <x:c r="I2352" s="19" t="n">
        <x:v>0</x:v>
      </x:c>
      <x:c r="J2352" s="11" t="n">
        <x:v>0</x:v>
      </x:c>
      <x:c r="K2352" s="20" t="n">
        <x:v>960</x:v>
      </x:c>
      <x:c r="L2352" s="20" t="n">
        <x:v>0</x:v>
      </x:c>
      <x:c r="M2352" s="20" t="n">
        <x:v>640</x:v>
      </x:c>
      <x:c r="N2352" s="20" t="n">
        <x:f>IF(J2352=1,0,K2352-L2352)</x:f>
        <x:v>960</x:v>
      </x:c>
      <x:c r="O2352" s="20" t="n">
        <x:f>N2352-M2352</x:f>
        <x:v>320</x:v>
      </x:c>
    </x:row>
    <x:row r="2353" ht="22" customHeight="1">
      <x:c r="A2353" s="11" t="n">
        <x:v>2349</x:v>
      </x:c>
      <x:c r="B2353" s="11" t="n">
        <x:v>1187</x:v>
      </x:c>
      <x:c r="C2353" s="18" t="n">
        <x:v>45551</x:v>
      </x:c>
      <x:c r="D2353" s="11" t="str">
        <x:v>2024-09</x:v>
      </x:c>
      <x:c r="E2353" s="11" t="str">
        <x:v>East</x:v>
      </x:c>
      <x:c r="F2353" s="11" t="str">
        <x:v>Furniture</x:v>
      </x:c>
      <x:c r="G2353" s="11" t="str">
        <x:v>Chair</x:v>
      </x:c>
      <x:c r="H2353" s="11" t="n">
        <x:v>4</x:v>
      </x:c>
      <x:c r="I2353" s="19" t="n">
        <x:v>0</x:v>
      </x:c>
      <x:c r="J2353" s="11" t="n">
        <x:v>0</x:v>
      </x:c>
      <x:c r="K2353" s="20" t="n">
        <x:v>680</x:v>
      </x:c>
      <x:c r="L2353" s="20" t="n">
        <x:v>0</x:v>
      </x:c>
      <x:c r="M2353" s="20" t="n">
        <x:v>440</x:v>
      </x:c>
      <x:c r="N2353" s="20" t="n">
        <x:f>IF(J2353=1,0,K2353-L2353)</x:f>
        <x:v>680</x:v>
      </x:c>
      <x:c r="O2353" s="20" t="n">
        <x:f>N2353-M2353</x:f>
        <x:v>240</x:v>
      </x:c>
    </x:row>
    <x:row r="2354" ht="22" customHeight="1">
      <x:c r="A2354" s="11" t="n">
        <x:v>2350</x:v>
      </x:c>
      <x:c r="B2354" s="11" t="n">
        <x:v>1187</x:v>
      </x:c>
      <x:c r="C2354" s="18" t="n">
        <x:v>45551</x:v>
      </x:c>
      <x:c r="D2354" s="11" t="str">
        <x:v>2024-09</x:v>
      </x:c>
      <x:c r="E2354" s="11" t="str">
        <x:v>East</x:v>
      </x:c>
      <x:c r="F2354" s="11" t="str">
        <x:v>Technology</x:v>
      </x:c>
      <x:c r="G2354" s="11" t="str">
        <x:v>Monitor</x:v>
      </x:c>
      <x:c r="H2354" s="11" t="n">
        <x:v>3</x:v>
      </x:c>
      <x:c r="I2354" s="19" t="n">
        <x:v>0</x:v>
      </x:c>
      <x:c r="J2354" s="11" t="n">
        <x:v>0</x:v>
      </x:c>
      <x:c r="K2354" s="20" t="n">
        <x:v>720</x:v>
      </x:c>
      <x:c r="L2354" s="20" t="n">
        <x:v>0</x:v>
      </x:c>
      <x:c r="M2354" s="20" t="n">
        <x:v>480</x:v>
      </x:c>
      <x:c r="N2354" s="20" t="n">
        <x:f>IF(J2354=1,0,K2354-L2354)</x:f>
        <x:v>720</x:v>
      </x:c>
      <x:c r="O2354" s="20" t="n">
        <x:f>N2354-M2354</x:f>
        <x:v>240</x:v>
      </x:c>
    </x:row>
    <x:row r="2355" ht="22" customHeight="1">
      <x:c r="A2355" s="11" t="n">
        <x:v>2351</x:v>
      </x:c>
      <x:c r="B2355" s="11" t="n">
        <x:v>1188</x:v>
      </x:c>
      <x:c r="C2355" s="18" t="n">
        <x:v>45852</x:v>
      </x:c>
      <x:c r="D2355" s="11" t="str">
        <x:v>2025-07</x:v>
      </x:c>
      <x:c r="E2355" s="11" t="str">
        <x:v>South</x:v>
      </x:c>
      <x:c r="F2355" s="11" t="str">
        <x:v>Technology</x:v>
      </x:c>
      <x:c r="G2355" s="11" t="str">
        <x:v>Keyboard</x:v>
      </x:c>
      <x:c r="H2355" s="11" t="n">
        <x:v>4</x:v>
      </x:c>
      <x:c r="I2355" s="19" t="n">
        <x:v>0</x:v>
      </x:c>
      <x:c r="J2355" s="11" t="n">
        <x:v>0</x:v>
      </x:c>
      <x:c r="K2355" s="20" t="n">
        <x:v>260</x:v>
      </x:c>
      <x:c r="L2355" s="20" t="n">
        <x:v>0</x:v>
      </x:c>
      <x:c r="M2355" s="20" t="n">
        <x:v>128</x:v>
      </x:c>
      <x:c r="N2355" s="20" t="n">
        <x:f>IF(J2355=1,0,K2355-L2355)</x:f>
        <x:v>260</x:v>
      </x:c>
      <x:c r="O2355" s="20" t="n">
        <x:f>N2355-M2355</x:f>
        <x:v>132</x:v>
      </x:c>
    </x:row>
    <x:row r="2356" ht="22" customHeight="1">
      <x:c r="A2356" s="11" t="n">
        <x:v>2352</x:v>
      </x:c>
      <x:c r="B2356" s="11" t="n">
        <x:v>1188</x:v>
      </x:c>
      <x:c r="C2356" s="18" t="n">
        <x:v>45852</x:v>
      </x:c>
      <x:c r="D2356" s="11" t="str">
        <x:v>2025-07</x:v>
      </x:c>
      <x:c r="E2356" s="11" t="str">
        <x:v>South</x:v>
      </x:c>
      <x:c r="F2356" s="11" t="str">
        <x:v>Technology</x:v>
      </x:c>
      <x:c r="G2356" s="11" t="str">
        <x:v>Monitor</x:v>
      </x:c>
      <x:c r="H2356" s="11" t="n">
        <x:v>5</x:v>
      </x:c>
      <x:c r="I2356" s="19" t="n">
        <x:v>0.15</x:v>
      </x:c>
      <x:c r="J2356" s="11" t="n">
        <x:v>0</x:v>
      </x:c>
      <x:c r="K2356" s="20" t="n">
        <x:v>1200</x:v>
      </x:c>
      <x:c r="L2356" s="20" t="n">
        <x:v>180</x:v>
      </x:c>
      <x:c r="M2356" s="20" t="n">
        <x:v>800</x:v>
      </x:c>
      <x:c r="N2356" s="20" t="n">
        <x:f>IF(J2356=1,0,K2356-L2356)</x:f>
        <x:v>1020</x:v>
      </x:c>
      <x:c r="O2356" s="20" t="n">
        <x:f>N2356-M2356</x:f>
        <x:v>220</x:v>
      </x:c>
    </x:row>
    <x:row r="2357" ht="22" customHeight="1">
      <x:c r="A2357" s="11" t="n">
        <x:v>2353</x:v>
      </x:c>
      <x:c r="B2357" s="11" t="n">
        <x:v>1188</x:v>
      </x:c>
      <x:c r="C2357" s="18" t="n">
        <x:v>45852</x:v>
      </x:c>
      <x:c r="D2357" s="11" t="str">
        <x:v>2025-07</x:v>
      </x:c>
      <x:c r="E2357" s="11" t="str">
        <x:v>South</x:v>
      </x:c>
      <x:c r="F2357" s="11" t="str">
        <x:v>Furniture</x:v>
      </x:c>
      <x:c r="G2357" s="11" t="str">
        <x:v>Chair</x:v>
      </x:c>
      <x:c r="H2357" s="11" t="n">
        <x:v>2</x:v>
      </x:c>
      <x:c r="I2357" s="19" t="n">
        <x:v>0.15</x:v>
      </x:c>
      <x:c r="J2357" s="11" t="n">
        <x:v>0</x:v>
      </x:c>
      <x:c r="K2357" s="20" t="n">
        <x:v>340</x:v>
      </x:c>
      <x:c r="L2357" s="20" t="n">
        <x:v>51</x:v>
      </x:c>
      <x:c r="M2357" s="20" t="n">
        <x:v>220</x:v>
      </x:c>
      <x:c r="N2357" s="20" t="n">
        <x:f>IF(J2357=1,0,K2357-L2357)</x:f>
        <x:v>289</x:v>
      </x:c>
      <x:c r="O2357" s="20" t="n">
        <x:f>N2357-M2357</x:f>
        <x:v>69</x:v>
      </x:c>
    </x:row>
    <x:row r="2358" ht="22" customHeight="1">
      <x:c r="A2358" s="11" t="n">
        <x:v>2354</x:v>
      </x:c>
      <x:c r="B2358" s="11" t="n">
        <x:v>1189</x:v>
      </x:c>
      <x:c r="C2358" s="18" t="n">
        <x:v>45395</x:v>
      </x:c>
      <x:c r="D2358" s="11" t="str">
        <x:v>2024-04</x:v>
      </x:c>
      <x:c r="E2358" s="11" t="str">
        <x:v>West</x:v>
      </x:c>
      <x:c r="F2358" s="11" t="str">
        <x:v>Technology</x:v>
      </x:c>
      <x:c r="G2358" s="11" t="str">
        <x:v>Keyboard</x:v>
      </x:c>
      <x:c r="H2358" s="11" t="n">
        <x:v>2</x:v>
      </x:c>
      <x:c r="I2358" s="19" t="n">
        <x:v>0.1</x:v>
      </x:c>
      <x:c r="J2358" s="11" t="n">
        <x:v>0</x:v>
      </x:c>
      <x:c r="K2358" s="20" t="n">
        <x:v>130</x:v>
      </x:c>
      <x:c r="L2358" s="20" t="n">
        <x:v>13</x:v>
      </x:c>
      <x:c r="M2358" s="20" t="n">
        <x:v>64</x:v>
      </x:c>
      <x:c r="N2358" s="20" t="n">
        <x:f>IF(J2358=1,0,K2358-L2358)</x:f>
        <x:v>117</x:v>
      </x:c>
      <x:c r="O2358" s="20" t="n">
        <x:f>N2358-M2358</x:f>
        <x:v>53</x:v>
      </x:c>
    </x:row>
    <x:row r="2359" ht="22" customHeight="1">
      <x:c r="A2359" s="11" t="n">
        <x:v>2355</x:v>
      </x:c>
      <x:c r="B2359" s="11" t="n">
        <x:v>1189</x:v>
      </x:c>
      <x:c r="C2359" s="18" t="n">
        <x:v>45395</x:v>
      </x:c>
      <x:c r="D2359" s="11" t="str">
        <x:v>2024-04</x:v>
      </x:c>
      <x:c r="E2359" s="11" t="str">
        <x:v>West</x:v>
      </x:c>
      <x:c r="F2359" s="11" t="str">
        <x:v>Technology</x:v>
      </x:c>
      <x:c r="G2359" s="11" t="str">
        <x:v>Monitor</x:v>
      </x:c>
      <x:c r="H2359" s="11" t="n">
        <x:v>4</x:v>
      </x:c>
      <x:c r="I2359" s="19" t="n">
        <x:v>0.05</x:v>
      </x:c>
      <x:c r="J2359" s="11" t="n">
        <x:v>0</x:v>
      </x:c>
      <x:c r="K2359" s="20" t="n">
        <x:v>960</x:v>
      </x:c>
      <x:c r="L2359" s="20" t="n">
        <x:v>48</x:v>
      </x:c>
      <x:c r="M2359" s="20" t="n">
        <x:v>640</x:v>
      </x:c>
      <x:c r="N2359" s="20" t="n">
        <x:f>IF(J2359=1,0,K2359-L2359)</x:f>
        <x:v>912</x:v>
      </x:c>
      <x:c r="O2359" s="20" t="n">
        <x:f>N2359-M2359</x:f>
        <x:v>272</x:v>
      </x:c>
    </x:row>
    <x:row r="2360" ht="22" customHeight="1">
      <x:c r="A2360" s="11" t="n">
        <x:v>2356</x:v>
      </x:c>
      <x:c r="B2360" s="11" t="n">
        <x:v>1189</x:v>
      </x:c>
      <x:c r="C2360" s="18" t="n">
        <x:v>45395</x:v>
      </x:c>
      <x:c r="D2360" s="11" t="str">
        <x:v>2024-04</x:v>
      </x:c>
      <x:c r="E2360" s="11" t="str">
        <x:v>West</x:v>
      </x:c>
      <x:c r="F2360" s="11" t="str">
        <x:v>Office Supplies</x:v>
      </x:c>
      <x:c r="G2360" s="11" t="str">
        <x:v>Storage box</x:v>
      </x:c>
      <x:c r="H2360" s="11" t="n">
        <x:v>4</x:v>
      </x:c>
      <x:c r="I2360" s="19" t="n">
        <x:v>0.05</x:v>
      </x:c>
      <x:c r="J2360" s="11" t="n">
        <x:v>0</x:v>
      </x:c>
      <x:c r="K2360" s="20" t="n">
        <x:v>104</x:v>
      </x:c>
      <x:c r="L2360" s="20" t="n">
        <x:v>5.2</x:v>
      </x:c>
      <x:c r="M2360" s="20" t="n">
        <x:v>48</x:v>
      </x:c>
      <x:c r="N2360" s="20" t="n">
        <x:f>IF(J2360=1,0,K2360-L2360)</x:f>
        <x:v>98.8</x:v>
      </x:c>
      <x:c r="O2360" s="20" t="n">
        <x:f>N2360-M2360</x:f>
        <x:v>50.8</x:v>
      </x:c>
    </x:row>
    <x:row r="2361" ht="22" customHeight="1">
      <x:c r="A2361" s="11" t="n">
        <x:v>2357</x:v>
      </x:c>
      <x:c r="B2361" s="11" t="n">
        <x:v>1190</x:v>
      </x:c>
      <x:c r="C2361" s="18" t="n">
        <x:v>45464</x:v>
      </x:c>
      <x:c r="D2361" s="11" t="str">
        <x:v>2024-06</x:v>
      </x:c>
      <x:c r="E2361" s="11" t="str">
        <x:v>West</x:v>
      </x:c>
      <x:c r="F2361" s="11" t="str">
        <x:v>Furniture</x:v>
      </x:c>
      <x:c r="G2361" s="11" t="str">
        <x:v>Chair</x:v>
      </x:c>
      <x:c r="H2361" s="11" t="n">
        <x:v>5</x:v>
      </x:c>
      <x:c r="I2361" s="19" t="n">
        <x:v>0.1</x:v>
      </x:c>
      <x:c r="J2361" s="11" t="n">
        <x:v>0</x:v>
      </x:c>
      <x:c r="K2361" s="20" t="n">
        <x:v>850</x:v>
      </x:c>
      <x:c r="L2361" s="20" t="n">
        <x:v>85</x:v>
      </x:c>
      <x:c r="M2361" s="20" t="n">
        <x:v>550</x:v>
      </x:c>
      <x:c r="N2361" s="20" t="n">
        <x:f>IF(J2361=1,0,K2361-L2361)</x:f>
        <x:v>765</x:v>
      </x:c>
      <x:c r="O2361" s="20" t="n">
        <x:f>N2361-M2361</x:f>
        <x:v>215</x:v>
      </x:c>
    </x:row>
    <x:row r="2362" ht="22" customHeight="1">
      <x:c r="A2362" s="11" t="n">
        <x:v>2358</x:v>
      </x:c>
      <x:c r="B2362" s="11" t="n">
        <x:v>1191</x:v>
      </x:c>
      <x:c r="C2362" s="18" t="n">
        <x:v>46009</x:v>
      </x:c>
      <x:c r="D2362" s="11" t="str">
        <x:v>2025-12</x:v>
      </x:c>
      <x:c r="E2362" s="11" t="str">
        <x:v>West</x:v>
      </x:c>
      <x:c r="F2362" s="11" t="str">
        <x:v>Office Supplies</x:v>
      </x:c>
      <x:c r="G2362" s="11" t="str">
        <x:v>Notebook pack</x:v>
      </x:c>
      <x:c r="H2362" s="11" t="n">
        <x:v>5</x:v>
      </x:c>
      <x:c r="I2362" s="19" t="n">
        <x:v>0</x:v>
      </x:c>
      <x:c r="J2362" s="11" t="n">
        <x:v>0</x:v>
      </x:c>
      <x:c r="K2362" s="20" t="n">
        <x:v>90</x:v>
      </x:c>
      <x:c r="L2362" s="20" t="n">
        <x:v>0</x:v>
      </x:c>
      <x:c r="M2362" s="20" t="n">
        <x:v>35</x:v>
      </x:c>
      <x:c r="N2362" s="20" t="n">
        <x:f>IF(J2362=1,0,K2362-L2362)</x:f>
        <x:v>90</x:v>
      </x:c>
      <x:c r="O2362" s="20" t="n">
        <x:f>N2362-M2362</x:f>
        <x:v>55</x:v>
      </x:c>
    </x:row>
    <x:row r="2363" ht="22" customHeight="1">
      <x:c r="A2363" s="11" t="n">
        <x:v>2359</x:v>
      </x:c>
      <x:c r="B2363" s="11" t="n">
        <x:v>1191</x:v>
      </x:c>
      <x:c r="C2363" s="18" t="n">
        <x:v>46009</x:v>
      </x:c>
      <x:c r="D2363" s="11" t="str">
        <x:v>2025-12</x:v>
      </x:c>
      <x:c r="E2363" s="11" t="str">
        <x:v>West</x:v>
      </x:c>
      <x:c r="F2363" s="11" t="str">
        <x:v>Furniture</x:v>
      </x:c>
      <x:c r="G2363" s="11" t="str">
        <x:v>Chair</x:v>
      </x:c>
      <x:c r="H2363" s="11" t="n">
        <x:v>1</x:v>
      </x:c>
      <x:c r="I2363" s="19" t="n">
        <x:v>0.25</x:v>
      </x:c>
      <x:c r="J2363" s="11" t="n">
        <x:v>0</x:v>
      </x:c>
      <x:c r="K2363" s="20" t="n">
        <x:v>170</x:v>
      </x:c>
      <x:c r="L2363" s="20" t="n">
        <x:v>42.5</x:v>
      </x:c>
      <x:c r="M2363" s="20" t="n">
        <x:v>110</x:v>
      </x:c>
      <x:c r="N2363" s="20" t="n">
        <x:f>IF(J2363=1,0,K2363-L2363)</x:f>
        <x:v>127.5</x:v>
      </x:c>
      <x:c r="O2363" s="20" t="n">
        <x:f>N2363-M2363</x:f>
        <x:v>17.5</x:v>
      </x:c>
    </x:row>
    <x:row r="2364" ht="22" customHeight="1">
      <x:c r="A2364" s="11" t="n">
        <x:v>2360</x:v>
      </x:c>
      <x:c r="B2364" s="11" t="n">
        <x:v>1191</x:v>
      </x:c>
      <x:c r="C2364" s="18" t="n">
        <x:v>46009</x:v>
      </x:c>
      <x:c r="D2364" s="11" t="str">
        <x:v>2025-12</x:v>
      </x:c>
      <x:c r="E2364" s="11" t="str">
        <x:v>West</x:v>
      </x:c>
      <x:c r="F2364" s="11" t="str">
        <x:v>Technology</x:v>
      </x:c>
      <x:c r="G2364" s="11" t="str">
        <x:v>Keyboard</x:v>
      </x:c>
      <x:c r="H2364" s="11" t="n">
        <x:v>2</x:v>
      </x:c>
      <x:c r="I2364" s="19" t="n">
        <x:v>0.05</x:v>
      </x:c>
      <x:c r="J2364" s="11" t="n">
        <x:v>0</x:v>
      </x:c>
      <x:c r="K2364" s="20" t="n">
        <x:v>130</x:v>
      </x:c>
      <x:c r="L2364" s="20" t="n">
        <x:v>6.5</x:v>
      </x:c>
      <x:c r="M2364" s="20" t="n">
        <x:v>64</x:v>
      </x:c>
      <x:c r="N2364" s="20" t="n">
        <x:f>IF(J2364=1,0,K2364-L2364)</x:f>
        <x:v>123.5</x:v>
      </x:c>
      <x:c r="O2364" s="20" t="n">
        <x:f>N2364-M2364</x:f>
        <x:v>59.5</x:v>
      </x:c>
    </x:row>
    <x:row r="2365" ht="22" customHeight="1">
      <x:c r="A2365" s="11" t="n">
        <x:v>2361</x:v>
      </x:c>
      <x:c r="B2365" s="11" t="n">
        <x:v>1192</x:v>
      </x:c>
      <x:c r="C2365" s="18" t="n">
        <x:v>45698</x:v>
      </x:c>
      <x:c r="D2365" s="11" t="str">
        <x:v>2025-02</x:v>
      </x:c>
      <x:c r="E2365" s="11" t="str">
        <x:v>East</x:v>
      </x:c>
      <x:c r="F2365" s="11" t="str">
        <x:v>Office Supplies</x:v>
      </x:c>
      <x:c r="G2365" s="11" t="str">
        <x:v>Storage box</x:v>
      </x:c>
      <x:c r="H2365" s="11" t="n">
        <x:v>3</x:v>
      </x:c>
      <x:c r="I2365" s="19" t="n">
        <x:v>0.15</x:v>
      </x:c>
      <x:c r="J2365" s="11" t="n">
        <x:v>0</x:v>
      </x:c>
      <x:c r="K2365" s="20" t="n">
        <x:v>78</x:v>
      </x:c>
      <x:c r="L2365" s="20" t="n">
        <x:v>11.7</x:v>
      </x:c>
      <x:c r="M2365" s="20" t="n">
        <x:v>36</x:v>
      </x:c>
      <x:c r="N2365" s="20" t="n">
        <x:f>IF(J2365=1,0,K2365-L2365)</x:f>
        <x:v>66.3</x:v>
      </x:c>
      <x:c r="O2365" s="20" t="n">
        <x:f>N2365-M2365</x:f>
        <x:v>30.299999999999997</x:v>
      </x:c>
    </x:row>
    <x:row r="2366" ht="22" customHeight="1">
      <x:c r="A2366" s="11" t="n">
        <x:v>2362</x:v>
      </x:c>
      <x:c r="B2366" s="11" t="n">
        <x:v>1193</x:v>
      </x:c>
      <x:c r="C2366" s="18" t="n">
        <x:v>45376</x:v>
      </x:c>
      <x:c r="D2366" s="11" t="str">
        <x:v>2024-03</x:v>
      </x:c>
      <x:c r="E2366" s="11" t="str">
        <x:v>West</x:v>
      </x:c>
      <x:c r="F2366" s="11" t="str">
        <x:v>Furniture</x:v>
      </x:c>
      <x:c r="G2366" s="11" t="str">
        <x:v>Desk</x:v>
      </x:c>
      <x:c r="H2366" s="11" t="n">
        <x:v>5</x:v>
      </x:c>
      <x:c r="I2366" s="19" t="n">
        <x:v>0</x:v>
      </x:c>
      <x:c r="J2366" s="11" t="n">
        <x:v>0</x:v>
      </x:c>
      <x:c r="K2366" s="20" t="n">
        <x:v>1400</x:v>
      </x:c>
      <x:c r="L2366" s="20" t="n">
        <x:v>0</x:v>
      </x:c>
      <x:c r="M2366" s="20" t="n">
        <x:v>950</x:v>
      </x:c>
      <x:c r="N2366" s="20" t="n">
        <x:f>IF(J2366=1,0,K2366-L2366)</x:f>
        <x:v>1400</x:v>
      </x:c>
      <x:c r="O2366" s="20" t="n">
        <x:f>N2366-M2366</x:f>
        <x:v>450</x:v>
      </x:c>
    </x:row>
    <x:row r="2367" ht="22" customHeight="1">
      <x:c r="A2367" s="11" t="n">
        <x:v>2363</x:v>
      </x:c>
      <x:c r="B2367" s="11" t="n">
        <x:v>1193</x:v>
      </x:c>
      <x:c r="C2367" s="18" t="n">
        <x:v>45376</x:v>
      </x:c>
      <x:c r="D2367" s="11" t="str">
        <x:v>2024-03</x:v>
      </x:c>
      <x:c r="E2367" s="11" t="str">
        <x:v>West</x:v>
      </x:c>
      <x:c r="F2367" s="11" t="str">
        <x:v>Furniture</x:v>
      </x:c>
      <x:c r="G2367" s="11" t="str">
        <x:v>Chair</x:v>
      </x:c>
      <x:c r="H2367" s="11" t="n">
        <x:v>3</x:v>
      </x:c>
      <x:c r="I2367" s="19" t="n">
        <x:v>0</x:v>
      </x:c>
      <x:c r="J2367" s="11" t="n">
        <x:v>0</x:v>
      </x:c>
      <x:c r="K2367" s="20" t="n">
        <x:v>510</x:v>
      </x:c>
      <x:c r="L2367" s="20" t="n">
        <x:v>0</x:v>
      </x:c>
      <x:c r="M2367" s="20" t="n">
        <x:v>330</x:v>
      </x:c>
      <x:c r="N2367" s="20" t="n">
        <x:f>IF(J2367=1,0,K2367-L2367)</x:f>
        <x:v>510</x:v>
      </x:c>
      <x:c r="O2367" s="20" t="n">
        <x:f>N2367-M2367</x:f>
        <x:v>180</x:v>
      </x:c>
    </x:row>
    <x:row r="2368" ht="22" customHeight="1">
      <x:c r="A2368" s="11" t="n">
        <x:v>2364</x:v>
      </x:c>
      <x:c r="B2368" s="11" t="n">
        <x:v>1194</x:v>
      </x:c>
      <x:c r="C2368" s="18" t="n">
        <x:v>46003</x:v>
      </x:c>
      <x:c r="D2368" s="11" t="str">
        <x:v>2025-12</x:v>
      </x:c>
      <x:c r="E2368" s="11" t="str">
        <x:v>East</x:v>
      </x:c>
      <x:c r="F2368" s="11" t="str">
        <x:v>Technology</x:v>
      </x:c>
      <x:c r="G2368" s="11" t="str">
        <x:v>Keyboard</x:v>
      </x:c>
      <x:c r="H2368" s="11" t="n">
        <x:v>2</x:v>
      </x:c>
      <x:c r="I2368" s="19" t="n">
        <x:v>0</x:v>
      </x:c>
      <x:c r="J2368" s="11" t="n">
        <x:v>1</x:v>
      </x:c>
      <x:c r="K2368" s="20" t="n">
        <x:v>130</x:v>
      </x:c>
      <x:c r="L2368" s="20" t="n">
        <x:v>0</x:v>
      </x:c>
      <x:c r="M2368" s="20" t="n">
        <x:v>0</x:v>
      </x:c>
      <x:c r="N2368" s="20" t="n">
        <x:f>IF(J2368=1,0,K2368-L2368)</x:f>
        <x:v>0</x:v>
      </x:c>
      <x:c r="O2368" s="20" t="n">
        <x:f>N2368-M2368</x:f>
        <x:v>0</x:v>
      </x:c>
    </x:row>
    <x:row r="2369" ht="22" customHeight="1">
      <x:c r="A2369" s="11" t="n">
        <x:v>2365</x:v>
      </x:c>
      <x:c r="B2369" s="11" t="n">
        <x:v>1195</x:v>
      </x:c>
      <x:c r="C2369" s="18" t="n">
        <x:v>45541</x:v>
      </x:c>
      <x:c r="D2369" s="11" t="str">
        <x:v>2024-09</x:v>
      </x:c>
      <x:c r="E2369" s="11" t="str">
        <x:v>East</x:v>
      </x:c>
      <x:c r="F2369" s="11" t="str">
        <x:v>Technology</x:v>
      </x:c>
      <x:c r="G2369" s="11" t="str">
        <x:v>Keyboard</x:v>
      </x:c>
      <x:c r="H2369" s="11" t="n">
        <x:v>5</x:v>
      </x:c>
      <x:c r="I2369" s="19" t="n">
        <x:v>0.15</x:v>
      </x:c>
      <x:c r="J2369" s="11" t="n">
        <x:v>0</x:v>
      </x:c>
      <x:c r="K2369" s="20" t="n">
        <x:v>325</x:v>
      </x:c>
      <x:c r="L2369" s="20" t="n">
        <x:v>48.75</x:v>
      </x:c>
      <x:c r="M2369" s="20" t="n">
        <x:v>160</x:v>
      </x:c>
      <x:c r="N2369" s="20" t="n">
        <x:f>IF(J2369=1,0,K2369-L2369)</x:f>
        <x:v>276.25</x:v>
      </x:c>
      <x:c r="O2369" s="20" t="n">
        <x:f>N2369-M2369</x:f>
        <x:v>116.25</x:v>
      </x:c>
    </x:row>
    <x:row r="2370" ht="22" customHeight="1">
      <x:c r="A2370" s="11" t="n">
        <x:v>2366</x:v>
      </x:c>
      <x:c r="B2370" s="11" t="n">
        <x:v>1195</x:v>
      </x:c>
      <x:c r="C2370" s="18" t="n">
        <x:v>45541</x:v>
      </x:c>
      <x:c r="D2370" s="11" t="str">
        <x:v>2024-09</x:v>
      </x:c>
      <x:c r="E2370" s="11" t="str">
        <x:v>East</x:v>
      </x:c>
      <x:c r="F2370" s="11" t="str">
        <x:v>Office Supplies</x:v>
      </x:c>
      <x:c r="G2370" s="11" t="str">
        <x:v>Notebook pack</x:v>
      </x:c>
      <x:c r="H2370" s="11" t="n">
        <x:v>2</x:v>
      </x:c>
      <x:c r="I2370" s="19" t="n">
        <x:v>0.15</x:v>
      </x:c>
      <x:c r="J2370" s="11" t="n">
        <x:v>0</x:v>
      </x:c>
      <x:c r="K2370" s="20" t="n">
        <x:v>36</x:v>
      </x:c>
      <x:c r="L2370" s="20" t="n">
        <x:v>5.4</x:v>
      </x:c>
      <x:c r="M2370" s="20" t="n">
        <x:v>14</x:v>
      </x:c>
      <x:c r="N2370" s="20" t="n">
        <x:f>IF(J2370=1,0,K2370-L2370)</x:f>
        <x:v>30.6</x:v>
      </x:c>
      <x:c r="O2370" s="20" t="n">
        <x:f>N2370-M2370</x:f>
        <x:v>16.6</x:v>
      </x:c>
    </x:row>
    <x:row r="2371" ht="22" customHeight="1">
      <x:c r="A2371" s="11" t="n">
        <x:v>2367</x:v>
      </x:c>
      <x:c r="B2371" s="11" t="n">
        <x:v>1196</x:v>
      </x:c>
      <x:c r="C2371" s="18" t="n">
        <x:v>45934</x:v>
      </x:c>
      <x:c r="D2371" s="11" t="str">
        <x:v>2025-10</x:v>
      </x:c>
      <x:c r="E2371" s="11" t="str">
        <x:v>Central</x:v>
      </x:c>
      <x:c r="F2371" s="11" t="str">
        <x:v>Technology</x:v>
      </x:c>
      <x:c r="G2371" s="11" t="str">
        <x:v>Monitor</x:v>
      </x:c>
      <x:c r="H2371" s="11" t="n">
        <x:v>4</x:v>
      </x:c>
      <x:c r="I2371" s="19" t="n">
        <x:v>0.05</x:v>
      </x:c>
      <x:c r="J2371" s="11" t="n">
        <x:v>0</x:v>
      </x:c>
      <x:c r="K2371" s="20" t="n">
        <x:v>960</x:v>
      </x:c>
      <x:c r="L2371" s="20" t="n">
        <x:v>48</x:v>
      </x:c>
      <x:c r="M2371" s="20" t="n">
        <x:v>640</x:v>
      </x:c>
      <x:c r="N2371" s="20" t="n">
        <x:f>IF(J2371=1,0,K2371-L2371)</x:f>
        <x:v>912</x:v>
      </x:c>
      <x:c r="O2371" s="20" t="n">
        <x:f>N2371-M2371</x:f>
        <x:v>272</x:v>
      </x:c>
    </x:row>
    <x:row r="2372" ht="22" customHeight="1">
      <x:c r="A2372" s="11" t="n">
        <x:v>2368</x:v>
      </x:c>
      <x:c r="B2372" s="11" t="n">
        <x:v>1196</x:v>
      </x:c>
      <x:c r="C2372" s="18" t="n">
        <x:v>45934</x:v>
      </x:c>
      <x:c r="D2372" s="11" t="str">
        <x:v>2025-10</x:v>
      </x:c>
      <x:c r="E2372" s="11" t="str">
        <x:v>Central</x:v>
      </x:c>
      <x:c r="F2372" s="11" t="str">
        <x:v>Office Supplies</x:v>
      </x:c>
      <x:c r="G2372" s="11" t="str">
        <x:v>Storage box</x:v>
      </x:c>
      <x:c r="H2372" s="11" t="n">
        <x:v>2</x:v>
      </x:c>
      <x:c r="I2372" s="19" t="n">
        <x:v>0.05</x:v>
      </x:c>
      <x:c r="J2372" s="11" t="n">
        <x:v>0</x:v>
      </x:c>
      <x:c r="K2372" s="20" t="n">
        <x:v>52</x:v>
      </x:c>
      <x:c r="L2372" s="20" t="n">
        <x:v>2.6</x:v>
      </x:c>
      <x:c r="M2372" s="20" t="n">
        <x:v>24</x:v>
      </x:c>
      <x:c r="N2372" s="20" t="n">
        <x:f>IF(J2372=1,0,K2372-L2372)</x:f>
        <x:v>49.4</x:v>
      </x:c>
      <x:c r="O2372" s="20" t="n">
        <x:f>N2372-M2372</x:f>
        <x:v>25.4</x:v>
      </x:c>
    </x:row>
    <x:row r="2373" ht="22" customHeight="1">
      <x:c r="A2373" s="11" t="n">
        <x:v>2369</x:v>
      </x:c>
      <x:c r="B2373" s="11" t="n">
        <x:v>1196</x:v>
      </x:c>
      <x:c r="C2373" s="18" t="n">
        <x:v>45934</x:v>
      </x:c>
      <x:c r="D2373" s="11" t="str">
        <x:v>2025-10</x:v>
      </x:c>
      <x:c r="E2373" s="11" t="str">
        <x:v>Central</x:v>
      </x:c>
      <x:c r="F2373" s="11" t="str">
        <x:v>Office Supplies</x:v>
      </x:c>
      <x:c r="G2373" s="11" t="str">
        <x:v>Notebook pack</x:v>
      </x:c>
      <x:c r="H2373" s="11" t="n">
        <x:v>1</x:v>
      </x:c>
      <x:c r="I2373" s="19" t="n">
        <x:v>0</x:v>
      </x:c>
      <x:c r="J2373" s="11" t="n">
        <x:v>0</x:v>
      </x:c>
      <x:c r="K2373" s="20" t="n">
        <x:v>18</x:v>
      </x:c>
      <x:c r="L2373" s="20" t="n">
        <x:v>0</x:v>
      </x:c>
      <x:c r="M2373" s="20" t="n">
        <x:v>7</x:v>
      </x:c>
      <x:c r="N2373" s="20" t="n">
        <x:f>IF(J2373=1,0,K2373-L2373)</x:f>
        <x:v>18</x:v>
      </x:c>
      <x:c r="O2373" s="20" t="n">
        <x:f>N2373-M2373</x:f>
        <x:v>11</x:v>
      </x:c>
    </x:row>
    <x:row r="2374" ht="22" customHeight="1">
      <x:c r="A2374" s="11" t="n">
        <x:v>2370</x:v>
      </x:c>
      <x:c r="B2374" s="11" t="n">
        <x:v>1197</x:v>
      </x:c>
      <x:c r="C2374" s="18" t="n">
        <x:v>46011</x:v>
      </x:c>
      <x:c r="D2374" s="11" t="str">
        <x:v>2025-12</x:v>
      </x:c>
      <x:c r="E2374" s="11" t="str">
        <x:v>Central</x:v>
      </x:c>
      <x:c r="F2374" s="11" t="str">
        <x:v>Office Supplies</x:v>
      </x:c>
      <x:c r="G2374" s="11" t="str">
        <x:v>Notebook pack</x:v>
      </x:c>
      <x:c r="H2374" s="11" t="n">
        <x:v>4</x:v>
      </x:c>
      <x:c r="I2374" s="19" t="n">
        <x:v>0.15</x:v>
      </x:c>
      <x:c r="J2374" s="11" t="n">
        <x:v>0</x:v>
      </x:c>
      <x:c r="K2374" s="20" t="n">
        <x:v>72</x:v>
      </x:c>
      <x:c r="L2374" s="20" t="n">
        <x:v>10.8</x:v>
      </x:c>
      <x:c r="M2374" s="20" t="n">
        <x:v>28</x:v>
      </x:c>
      <x:c r="N2374" s="20" t="n">
        <x:f>IF(J2374=1,0,K2374-L2374)</x:f>
        <x:v>61.2</x:v>
      </x:c>
      <x:c r="O2374" s="20" t="n">
        <x:f>N2374-M2374</x:f>
        <x:v>33.2</x:v>
      </x:c>
    </x:row>
    <x:row r="2375" ht="22" customHeight="1">
      <x:c r="A2375" s="11" t="n">
        <x:v>2371</x:v>
      </x:c>
      <x:c r="B2375" s="11" t="n">
        <x:v>1198</x:v>
      </x:c>
      <x:c r="C2375" s="18" t="n">
        <x:v>45910</x:v>
      </x:c>
      <x:c r="D2375" s="11" t="str">
        <x:v>2025-09</x:v>
      </x:c>
      <x:c r="E2375" s="11" t="str">
        <x:v>Central</x:v>
      </x:c>
      <x:c r="F2375" s="11" t="str">
        <x:v>Office Supplies</x:v>
      </x:c>
      <x:c r="G2375" s="11" t="str">
        <x:v>Storage box</x:v>
      </x:c>
      <x:c r="H2375" s="11" t="n">
        <x:v>4</x:v>
      </x:c>
      <x:c r="I2375" s="19" t="n">
        <x:v>0.05</x:v>
      </x:c>
      <x:c r="J2375" s="11" t="n">
        <x:v>0</x:v>
      </x:c>
      <x:c r="K2375" s="20" t="n">
        <x:v>104</x:v>
      </x:c>
      <x:c r="L2375" s="20" t="n">
        <x:v>5.2</x:v>
      </x:c>
      <x:c r="M2375" s="20" t="n">
        <x:v>48</x:v>
      </x:c>
      <x:c r="N2375" s="20" t="n">
        <x:f>IF(J2375=1,0,K2375-L2375)</x:f>
        <x:v>98.8</x:v>
      </x:c>
      <x:c r="O2375" s="20" t="n">
        <x:f>N2375-M2375</x:f>
        <x:v>50.8</x:v>
      </x:c>
    </x:row>
    <x:row r="2376" ht="22" customHeight="1">
      <x:c r="A2376" s="11" t="n">
        <x:v>2372</x:v>
      </x:c>
      <x:c r="B2376" s="11" t="n">
        <x:v>1198</x:v>
      </x:c>
      <x:c r="C2376" s="18" t="n">
        <x:v>45910</x:v>
      </x:c>
      <x:c r="D2376" s="11" t="str">
        <x:v>2025-09</x:v>
      </x:c>
      <x:c r="E2376" s="11" t="str">
        <x:v>Central</x:v>
      </x:c>
      <x:c r="F2376" s="11" t="str">
        <x:v>Office Supplies</x:v>
      </x:c>
      <x:c r="G2376" s="11" t="str">
        <x:v>Notebook pack</x:v>
      </x:c>
      <x:c r="H2376" s="11" t="n">
        <x:v>1</x:v>
      </x:c>
      <x:c r="I2376" s="19" t="n">
        <x:v>0.1</x:v>
      </x:c>
      <x:c r="J2376" s="11" t="n">
        <x:v>0</x:v>
      </x:c>
      <x:c r="K2376" s="20" t="n">
        <x:v>18</x:v>
      </x:c>
      <x:c r="L2376" s="20" t="n">
        <x:v>1.8</x:v>
      </x:c>
      <x:c r="M2376" s="20" t="n">
        <x:v>7</x:v>
      </x:c>
      <x:c r="N2376" s="20" t="n">
        <x:f>IF(J2376=1,0,K2376-L2376)</x:f>
        <x:v>16.2</x:v>
      </x:c>
      <x:c r="O2376" s="20" t="n">
        <x:f>N2376-M2376</x:f>
        <x:v>9.2</x:v>
      </x:c>
    </x:row>
    <x:row r="2377" ht="22" customHeight="1">
      <x:c r="A2377" s="11" t="n">
        <x:v>2373</x:v>
      </x:c>
      <x:c r="B2377" s="11" t="n">
        <x:v>1198</x:v>
      </x:c>
      <x:c r="C2377" s="18" t="n">
        <x:v>45910</x:v>
      </x:c>
      <x:c r="D2377" s="11" t="str">
        <x:v>2025-09</x:v>
      </x:c>
      <x:c r="E2377" s="11" t="str">
        <x:v>Central</x:v>
      </x:c>
      <x:c r="F2377" s="11" t="str">
        <x:v>Furniture</x:v>
      </x:c>
      <x:c r="G2377" s="11" t="str">
        <x:v>Chair</x:v>
      </x:c>
      <x:c r="H2377" s="11" t="n">
        <x:v>4</x:v>
      </x:c>
      <x:c r="I2377" s="19" t="n">
        <x:v>0.25</x:v>
      </x:c>
      <x:c r="J2377" s="11" t="n">
        <x:v>0</x:v>
      </x:c>
      <x:c r="K2377" s="20" t="n">
        <x:v>680</x:v>
      </x:c>
      <x:c r="L2377" s="20" t="n">
        <x:v>170</x:v>
      </x:c>
      <x:c r="M2377" s="20" t="n">
        <x:v>440</x:v>
      </x:c>
      <x:c r="N2377" s="20" t="n">
        <x:f>IF(J2377=1,0,K2377-L2377)</x:f>
        <x:v>510</x:v>
      </x:c>
      <x:c r="O2377" s="20" t="n">
        <x:f>N2377-M2377</x:f>
        <x:v>70</x:v>
      </x:c>
    </x:row>
    <x:row r="2378" ht="22" customHeight="1">
      <x:c r="A2378" s="11" t="n">
        <x:v>2374</x:v>
      </x:c>
      <x:c r="B2378" s="11" t="n">
        <x:v>1199</x:v>
      </x:c>
      <x:c r="C2378" s="18" t="n">
        <x:v>45467</x:v>
      </x:c>
      <x:c r="D2378" s="11" t="str">
        <x:v>2024-06</x:v>
      </x:c>
      <x:c r="E2378" s="11" t="str">
        <x:v>East</x:v>
      </x:c>
      <x:c r="F2378" s="11" t="str">
        <x:v>Office Supplies</x:v>
      </x:c>
      <x:c r="G2378" s="11" t="str">
        <x:v>Storage box</x:v>
      </x:c>
      <x:c r="H2378" s="11" t="n">
        <x:v>4</x:v>
      </x:c>
      <x:c r="I2378" s="19" t="n">
        <x:v>0</x:v>
      </x:c>
      <x:c r="J2378" s="11" t="n">
        <x:v>0</x:v>
      </x:c>
      <x:c r="K2378" s="20" t="n">
        <x:v>104</x:v>
      </x:c>
      <x:c r="L2378" s="20" t="n">
        <x:v>0</x:v>
      </x:c>
      <x:c r="M2378" s="20" t="n">
        <x:v>48</x:v>
      </x:c>
      <x:c r="N2378" s="20" t="n">
        <x:f>IF(J2378=1,0,K2378-L2378)</x:f>
        <x:v>104</x:v>
      </x:c>
      <x:c r="O2378" s="20" t="n">
        <x:f>N2378-M2378</x:f>
        <x:v>56</x:v>
      </x:c>
    </x:row>
    <x:row r="2379" ht="22" customHeight="1">
      <x:c r="A2379" s="11" t="n">
        <x:v>2375</x:v>
      </x:c>
      <x:c r="B2379" s="11" t="n">
        <x:v>1199</x:v>
      </x:c>
      <x:c r="C2379" s="18" t="n">
        <x:v>45467</x:v>
      </x:c>
      <x:c r="D2379" s="11" t="str">
        <x:v>2024-06</x:v>
      </x:c>
      <x:c r="E2379" s="11" t="str">
        <x:v>East</x:v>
      </x:c>
      <x:c r="F2379" s="11" t="str">
        <x:v>Furniture</x:v>
      </x:c>
      <x:c r="G2379" s="11" t="str">
        <x:v>Desk</x:v>
      </x:c>
      <x:c r="H2379" s="11" t="n">
        <x:v>3</x:v>
      </x:c>
      <x:c r="I2379" s="19" t="n">
        <x:v>0</x:v>
      </x:c>
      <x:c r="J2379" s="11" t="n">
        <x:v>0</x:v>
      </x:c>
      <x:c r="K2379" s="20" t="n">
        <x:v>840</x:v>
      </x:c>
      <x:c r="L2379" s="20" t="n">
        <x:v>0</x:v>
      </x:c>
      <x:c r="M2379" s="20" t="n">
        <x:v>570</x:v>
      </x:c>
      <x:c r="N2379" s="20" t="n">
        <x:f>IF(J2379=1,0,K2379-L2379)</x:f>
        <x:v>840</x:v>
      </x:c>
      <x:c r="O2379" s="20" t="n">
        <x:f>N2379-M2379</x:f>
        <x:v>270</x:v>
      </x:c>
    </x:row>
    <x:row r="2380" ht="22" customHeight="1">
      <x:c r="A2380" s="11" t="n">
        <x:v>2376</x:v>
      </x:c>
      <x:c r="B2380" s="11" t="n">
        <x:v>1199</x:v>
      </x:c>
      <x:c r="C2380" s="18" t="n">
        <x:v>45467</x:v>
      </x:c>
      <x:c r="D2380" s="11" t="str">
        <x:v>2024-06</x:v>
      </x:c>
      <x:c r="E2380" s="11" t="str">
        <x:v>East</x:v>
      </x:c>
      <x:c r="F2380" s="11" t="str">
        <x:v>Technology</x:v>
      </x:c>
      <x:c r="G2380" s="11" t="str">
        <x:v>Monitor</x:v>
      </x:c>
      <x:c r="H2380" s="11" t="n">
        <x:v>3</x:v>
      </x:c>
      <x:c r="I2380" s="19" t="n">
        <x:v>0.15</x:v>
      </x:c>
      <x:c r="J2380" s="11" t="n">
        <x:v>0</x:v>
      </x:c>
      <x:c r="K2380" s="20" t="n">
        <x:v>720</x:v>
      </x:c>
      <x:c r="L2380" s="20" t="n">
        <x:v>108</x:v>
      </x:c>
      <x:c r="M2380" s="20" t="n">
        <x:v>480</x:v>
      </x:c>
      <x:c r="N2380" s="20" t="n">
        <x:f>IF(J2380=1,0,K2380-L2380)</x:f>
        <x:v>612</x:v>
      </x:c>
      <x:c r="O2380" s="20" t="n">
        <x:f>N2380-M2380</x:f>
        <x:v>132</x:v>
      </x:c>
    </x:row>
    <x:row r="2381" ht="22" customHeight="1">
      <x:c r="A2381" s="11" t="n">
        <x:v>2377</x:v>
      </x:c>
      <x:c r="B2381" s="11" t="n">
        <x:v>1200</x:v>
      </x:c>
      <x:c r="C2381" s="18" t="n">
        <x:v>45320</x:v>
      </x:c>
      <x:c r="D2381" s="11" t="str">
        <x:v>2024-01</x:v>
      </x:c>
      <x:c r="E2381" s="11" t="str">
        <x:v>Central</x:v>
      </x:c>
      <x:c r="F2381" s="11" t="str">
        <x:v>Office Supplies</x:v>
      </x:c>
      <x:c r="G2381" s="11" t="str">
        <x:v>Storage box</x:v>
      </x:c>
      <x:c r="H2381" s="11" t="n">
        <x:v>4</x:v>
      </x:c>
      <x:c r="I2381" s="19" t="n">
        <x:v>0</x:v>
      </x:c>
      <x:c r="J2381" s="11" t="n">
        <x:v>0</x:v>
      </x:c>
      <x:c r="K2381" s="20" t="n">
        <x:v>104</x:v>
      </x:c>
      <x:c r="L2381" s="20" t="n">
        <x:v>0</x:v>
      </x:c>
      <x:c r="M2381" s="20" t="n">
        <x:v>48</x:v>
      </x:c>
      <x:c r="N2381" s="20" t="n">
        <x:f>IF(J2381=1,0,K2381-L2381)</x:f>
        <x:v>104</x:v>
      </x:c>
      <x:c r="O2381" s="20" t="n">
        <x:f>N2381-M2381</x:f>
        <x:v>56</x:v>
      </x:c>
    </x:row>
    <x:row r="2382" ht="22" customHeight="1">
      <x:c r="A2382" s="11" t="n">
        <x:v>2378</x:v>
      </x:c>
      <x:c r="B2382" s="11" t="n">
        <x:v>1200</x:v>
      </x:c>
      <x:c r="C2382" s="18" t="n">
        <x:v>45320</x:v>
      </x:c>
      <x:c r="D2382" s="11" t="str">
        <x:v>2024-01</x:v>
      </x:c>
      <x:c r="E2382" s="11" t="str">
        <x:v>Central</x:v>
      </x:c>
      <x:c r="F2382" s="11" t="str">
        <x:v>Furniture</x:v>
      </x:c>
      <x:c r="G2382" s="11" t="str">
        <x:v>Chair</x:v>
      </x:c>
      <x:c r="H2382" s="11" t="n">
        <x:v>3</x:v>
      </x:c>
      <x:c r="I2382" s="19" t="n">
        <x:v>0.1</x:v>
      </x:c>
      <x:c r="J2382" s="11" t="n">
        <x:v>0</x:v>
      </x:c>
      <x:c r="K2382" s="20" t="n">
        <x:v>510</x:v>
      </x:c>
      <x:c r="L2382" s="20" t="n">
        <x:v>51</x:v>
      </x:c>
      <x:c r="M2382" s="20" t="n">
        <x:v>330</x:v>
      </x:c>
      <x:c r="N2382" s="20" t="n">
        <x:f>IF(J2382=1,0,K2382-L2382)</x:f>
        <x:v>459</x:v>
      </x:c>
      <x:c r="O2382" s="20" t="n">
        <x:f>N2382-M2382</x:f>
        <x:v>129</x:v>
      </x:c>
    </x:row>
    <x:row r="2383" ht="22" customHeight="1">
      <x:c r="A2383" s="11" t="n">
        <x:v>2379</x:v>
      </x:c>
      <x:c r="B2383" s="11" t="n">
        <x:v>1201</x:v>
      </x:c>
      <x:c r="C2383" s="18" t="n">
        <x:v>45875</x:v>
      </x:c>
      <x:c r="D2383" s="11" t="str">
        <x:v>2025-08</x:v>
      </x:c>
      <x:c r="E2383" s="11" t="str">
        <x:v>Central</x:v>
      </x:c>
      <x:c r="F2383" s="11" t="str">
        <x:v>Office Supplies</x:v>
      </x:c>
      <x:c r="G2383" s="11" t="str">
        <x:v>Notebook pack</x:v>
      </x:c>
      <x:c r="H2383" s="11" t="n">
        <x:v>5</x:v>
      </x:c>
      <x:c r="I2383" s="19" t="n">
        <x:v>0.05</x:v>
      </x:c>
      <x:c r="J2383" s="11" t="n">
        <x:v>0</x:v>
      </x:c>
      <x:c r="K2383" s="20" t="n">
        <x:v>90</x:v>
      </x:c>
      <x:c r="L2383" s="20" t="n">
        <x:v>4.5</x:v>
      </x:c>
      <x:c r="M2383" s="20" t="n">
        <x:v>35</x:v>
      </x:c>
      <x:c r="N2383" s="20" t="n">
        <x:f>IF(J2383=1,0,K2383-L2383)</x:f>
        <x:v>85.5</x:v>
      </x:c>
      <x:c r="O2383" s="20" t="n">
        <x:f>N2383-M2383</x:f>
        <x:v>50.5</x:v>
      </x:c>
    </x:row>
    <x:row r="2384" ht="22" customHeight="1">
      <x:c r="A2384" s="11" t="n">
        <x:v>2380</x:v>
      </x:c>
      <x:c r="B2384" s="11" t="n">
        <x:v>1202</x:v>
      </x:c>
      <x:c r="C2384" s="18" t="n">
        <x:v>45916</x:v>
      </x:c>
      <x:c r="D2384" s="11" t="str">
        <x:v>2025-09</x:v>
      </x:c>
      <x:c r="E2384" s="11" t="str">
        <x:v>West</x:v>
      </x:c>
      <x:c r="F2384" s="11" t="str">
        <x:v>Furniture</x:v>
      </x:c>
      <x:c r="G2384" s="11" t="str">
        <x:v>Desk</x:v>
      </x:c>
      <x:c r="H2384" s="11" t="n">
        <x:v>5</x:v>
      </x:c>
      <x:c r="I2384" s="19" t="n">
        <x:v>0.25</x:v>
      </x:c>
      <x:c r="J2384" s="11" t="n">
        <x:v>0</x:v>
      </x:c>
      <x:c r="K2384" s="20" t="n">
        <x:v>1400</x:v>
      </x:c>
      <x:c r="L2384" s="20" t="n">
        <x:v>350</x:v>
      </x:c>
      <x:c r="M2384" s="20" t="n">
        <x:v>950</x:v>
      </x:c>
      <x:c r="N2384" s="20" t="n">
        <x:f>IF(J2384=1,0,K2384-L2384)</x:f>
        <x:v>1050</x:v>
      </x:c>
      <x:c r="O2384" s="20" t="n">
        <x:f>N2384-M2384</x:f>
        <x:v>100</x:v>
      </x:c>
    </x:row>
    <x:row r="2385" ht="22" customHeight="1">
      <x:c r="A2385" s="11" t="n">
        <x:v>2381</x:v>
      </x:c>
      <x:c r="B2385" s="11" t="n">
        <x:v>1202</x:v>
      </x:c>
      <x:c r="C2385" s="18" t="n">
        <x:v>45916</x:v>
      </x:c>
      <x:c r="D2385" s="11" t="str">
        <x:v>2025-09</x:v>
      </x:c>
      <x:c r="E2385" s="11" t="str">
        <x:v>West</x:v>
      </x:c>
      <x:c r="F2385" s="11" t="str">
        <x:v>Office Supplies</x:v>
      </x:c>
      <x:c r="G2385" s="11" t="str">
        <x:v>Storage box</x:v>
      </x:c>
      <x:c r="H2385" s="11" t="n">
        <x:v>2</x:v>
      </x:c>
      <x:c r="I2385" s="19" t="n">
        <x:v>0</x:v>
      </x:c>
      <x:c r="J2385" s="11" t="n">
        <x:v>0</x:v>
      </x:c>
      <x:c r="K2385" s="20" t="n">
        <x:v>52</x:v>
      </x:c>
      <x:c r="L2385" s="20" t="n">
        <x:v>0</x:v>
      </x:c>
      <x:c r="M2385" s="20" t="n">
        <x:v>24</x:v>
      </x:c>
      <x:c r="N2385" s="20" t="n">
        <x:f>IF(J2385=1,0,K2385-L2385)</x:f>
        <x:v>52</x:v>
      </x:c>
      <x:c r="O2385" s="20" t="n">
        <x:f>N2385-M2385</x:f>
        <x:v>28</x:v>
      </x:c>
    </x:row>
    <x:row r="2386" ht="22" customHeight="1">
      <x:c r="A2386" s="11" t="n">
        <x:v>2382</x:v>
      </x:c>
      <x:c r="B2386" s="11" t="n">
        <x:v>1202</x:v>
      </x:c>
      <x:c r="C2386" s="18" t="n">
        <x:v>45916</x:v>
      </x:c>
      <x:c r="D2386" s="11" t="str">
        <x:v>2025-09</x:v>
      </x:c>
      <x:c r="E2386" s="11" t="str">
        <x:v>West</x:v>
      </x:c>
      <x:c r="F2386" s="11" t="str">
        <x:v>Office Supplies</x:v>
      </x:c>
      <x:c r="G2386" s="11" t="str">
        <x:v>Notebook pack</x:v>
      </x:c>
      <x:c r="H2386" s="11" t="n">
        <x:v>2</x:v>
      </x:c>
      <x:c r="I2386" s="19" t="n">
        <x:v>0</x:v>
      </x:c>
      <x:c r="J2386" s="11" t="n">
        <x:v>1</x:v>
      </x:c>
      <x:c r="K2386" s="20" t="n">
        <x:v>36</x:v>
      </x:c>
      <x:c r="L2386" s="20" t="n">
        <x:v>0</x:v>
      </x:c>
      <x:c r="M2386" s="20" t="n">
        <x:v>0</x:v>
      </x:c>
      <x:c r="N2386" s="20" t="n">
        <x:f>IF(J2386=1,0,K2386-L2386)</x:f>
        <x:v>0</x:v>
      </x:c>
      <x:c r="O2386" s="20" t="n">
        <x:f>N2386-M2386</x:f>
        <x:v>0</x:v>
      </x:c>
    </x:row>
    <x:row r="2387" ht="22" customHeight="1">
      <x:c r="A2387" s="11" t="n">
        <x:v>2383</x:v>
      </x:c>
      <x:c r="B2387" s="11" t="n">
        <x:v>1203</x:v>
      </x:c>
      <x:c r="C2387" s="18" t="n">
        <x:v>45798</x:v>
      </x:c>
      <x:c r="D2387" s="11" t="str">
        <x:v>2025-05</x:v>
      </x:c>
      <x:c r="E2387" s="11" t="str">
        <x:v>Central</x:v>
      </x:c>
      <x:c r="F2387" s="11" t="str">
        <x:v>Furniture</x:v>
      </x:c>
      <x:c r="G2387" s="11" t="str">
        <x:v>Desk</x:v>
      </x:c>
      <x:c r="H2387" s="11" t="n">
        <x:v>4</x:v>
      </x:c>
      <x:c r="I2387" s="19" t="n">
        <x:v>0.25</x:v>
      </x:c>
      <x:c r="J2387" s="11" t="n">
        <x:v>0</x:v>
      </x:c>
      <x:c r="K2387" s="20" t="n">
        <x:v>1120</x:v>
      </x:c>
      <x:c r="L2387" s="20" t="n">
        <x:v>280</x:v>
      </x:c>
      <x:c r="M2387" s="20" t="n">
        <x:v>760</x:v>
      </x:c>
      <x:c r="N2387" s="20" t="n">
        <x:f>IF(J2387=1,0,K2387-L2387)</x:f>
        <x:v>840</x:v>
      </x:c>
      <x:c r="O2387" s="20" t="n">
        <x:f>N2387-M2387</x:f>
        <x:v>80</x:v>
      </x:c>
    </x:row>
    <x:row r="2388" ht="22" customHeight="1">
      <x:c r="A2388" s="11" t="n">
        <x:v>2384</x:v>
      </x:c>
      <x:c r="B2388" s="11" t="n">
        <x:v>1203</x:v>
      </x:c>
      <x:c r="C2388" s="18" t="n">
        <x:v>45798</x:v>
      </x:c>
      <x:c r="D2388" s="11" t="str">
        <x:v>2025-05</x:v>
      </x:c>
      <x:c r="E2388" s="11" t="str">
        <x:v>Central</x:v>
      </x:c>
      <x:c r="F2388" s="11" t="str">
        <x:v>Office Supplies</x:v>
      </x:c>
      <x:c r="G2388" s="11" t="str">
        <x:v>Storage box</x:v>
      </x:c>
      <x:c r="H2388" s="11" t="n">
        <x:v>4</x:v>
      </x:c>
      <x:c r="I2388" s="19" t="n">
        <x:v>0.1</x:v>
      </x:c>
      <x:c r="J2388" s="11" t="n">
        <x:v>0</x:v>
      </x:c>
      <x:c r="K2388" s="20" t="n">
        <x:v>104</x:v>
      </x:c>
      <x:c r="L2388" s="20" t="n">
        <x:v>10.4</x:v>
      </x:c>
      <x:c r="M2388" s="20" t="n">
        <x:v>48</x:v>
      </x:c>
      <x:c r="N2388" s="20" t="n">
        <x:f>IF(J2388=1,0,K2388-L2388)</x:f>
        <x:v>93.6</x:v>
      </x:c>
      <x:c r="O2388" s="20" t="n">
        <x:f>N2388-M2388</x:f>
        <x:v>45.599999999999994</x:v>
      </x:c>
    </x:row>
    <x:row r="2389" ht="22" customHeight="1">
      <x:c r="A2389" s="11" t="n">
        <x:v>2385</x:v>
      </x:c>
      <x:c r="B2389" s="11" t="n">
        <x:v>1204</x:v>
      </x:c>
      <x:c r="C2389" s="18" t="n">
        <x:v>45643</x:v>
      </x:c>
      <x:c r="D2389" s="11" t="str">
        <x:v>2024-12</x:v>
      </x:c>
      <x:c r="E2389" s="11" t="str">
        <x:v>East</x:v>
      </x:c>
      <x:c r="F2389" s="11" t="str">
        <x:v>Technology</x:v>
      </x:c>
      <x:c r="G2389" s="11" t="str">
        <x:v>Monitor</x:v>
      </x:c>
      <x:c r="H2389" s="11" t="n">
        <x:v>4</x:v>
      </x:c>
      <x:c r="I2389" s="19" t="n">
        <x:v>0.05</x:v>
      </x:c>
      <x:c r="J2389" s="11" t="n">
        <x:v>0</x:v>
      </x:c>
      <x:c r="K2389" s="20" t="n">
        <x:v>960</x:v>
      </x:c>
      <x:c r="L2389" s="20" t="n">
        <x:v>48</x:v>
      </x:c>
      <x:c r="M2389" s="20" t="n">
        <x:v>640</x:v>
      </x:c>
      <x:c r="N2389" s="20" t="n">
        <x:f>IF(J2389=1,0,K2389-L2389)</x:f>
        <x:v>912</x:v>
      </x:c>
      <x:c r="O2389" s="20" t="n">
        <x:f>N2389-M2389</x:f>
        <x:v>272</x:v>
      </x:c>
    </x:row>
    <x:row r="2390" ht="22" customHeight="1">
      <x:c r="A2390" s="11" t="n">
        <x:v>2386</x:v>
      </x:c>
      <x:c r="B2390" s="11" t="n">
        <x:v>1204</x:v>
      </x:c>
      <x:c r="C2390" s="18" t="n">
        <x:v>45643</x:v>
      </x:c>
      <x:c r="D2390" s="11" t="str">
        <x:v>2024-12</x:v>
      </x:c>
      <x:c r="E2390" s="11" t="str">
        <x:v>East</x:v>
      </x:c>
      <x:c r="F2390" s="11" t="str">
        <x:v>Furniture</x:v>
      </x:c>
      <x:c r="G2390" s="11" t="str">
        <x:v>Chair</x:v>
      </x:c>
      <x:c r="H2390" s="11" t="n">
        <x:v>2</x:v>
      </x:c>
      <x:c r="I2390" s="19" t="n">
        <x:v>0.1</x:v>
      </x:c>
      <x:c r="J2390" s="11" t="n">
        <x:v>0</x:v>
      </x:c>
      <x:c r="K2390" s="20" t="n">
        <x:v>340</x:v>
      </x:c>
      <x:c r="L2390" s="20" t="n">
        <x:v>34</x:v>
      </x:c>
      <x:c r="M2390" s="20" t="n">
        <x:v>220</x:v>
      </x:c>
      <x:c r="N2390" s="20" t="n">
        <x:f>IF(J2390=1,0,K2390-L2390)</x:f>
        <x:v>306</x:v>
      </x:c>
      <x:c r="O2390" s="20" t="n">
        <x:f>N2390-M2390</x:f>
        <x:v>86</x:v>
      </x:c>
    </x:row>
    <x:row r="2391" ht="22" customHeight="1">
      <x:c r="A2391" s="11" t="n">
        <x:v>2387</x:v>
      </x:c>
      <x:c r="B2391" s="11" t="n">
        <x:v>1205</x:v>
      </x:c>
      <x:c r="C2391" s="18" t="n">
        <x:v>45524</x:v>
      </x:c>
      <x:c r="D2391" s="11" t="str">
        <x:v>2024-08</x:v>
      </x:c>
      <x:c r="E2391" s="11" t="str">
        <x:v>South</x:v>
      </x:c>
      <x:c r="F2391" s="11" t="str">
        <x:v>Technology</x:v>
      </x:c>
      <x:c r="G2391" s="11" t="str">
        <x:v>Keyboard</x:v>
      </x:c>
      <x:c r="H2391" s="11" t="n">
        <x:v>5</x:v>
      </x:c>
      <x:c r="I2391" s="19" t="n">
        <x:v>0.05</x:v>
      </x:c>
      <x:c r="J2391" s="11" t="n">
        <x:v>1</x:v>
      </x:c>
      <x:c r="K2391" s="20" t="n">
        <x:v>325</x:v>
      </x:c>
      <x:c r="L2391" s="20" t="n">
        <x:v>16.25</x:v>
      </x:c>
      <x:c r="M2391" s="20" t="n">
        <x:v>0</x:v>
      </x:c>
      <x:c r="N2391" s="20" t="n">
        <x:f>IF(J2391=1,0,K2391-L2391)</x:f>
        <x:v>0</x:v>
      </x:c>
      <x:c r="O2391" s="20" t="n">
        <x:f>N2391-M2391</x:f>
        <x:v>0</x:v>
      </x:c>
    </x:row>
    <x:row r="2392" ht="22" customHeight="1">
      <x:c r="A2392" s="11" t="n">
        <x:v>2388</x:v>
      </x:c>
      <x:c r="B2392" s="11" t="n">
        <x:v>1205</x:v>
      </x:c>
      <x:c r="C2392" s="18" t="n">
        <x:v>45524</x:v>
      </x:c>
      <x:c r="D2392" s="11" t="str">
        <x:v>2024-08</x:v>
      </x:c>
      <x:c r="E2392" s="11" t="str">
        <x:v>South</x:v>
      </x:c>
      <x:c r="F2392" s="11" t="str">
        <x:v>Furniture</x:v>
      </x:c>
      <x:c r="G2392" s="11" t="str">
        <x:v>Desk</x:v>
      </x:c>
      <x:c r="H2392" s="11" t="n">
        <x:v>5</x:v>
      </x:c>
      <x:c r="I2392" s="19" t="n">
        <x:v>0</x:v>
      </x:c>
      <x:c r="J2392" s="11" t="n">
        <x:v>0</x:v>
      </x:c>
      <x:c r="K2392" s="20" t="n">
        <x:v>1400</x:v>
      </x:c>
      <x:c r="L2392" s="20" t="n">
        <x:v>0</x:v>
      </x:c>
      <x:c r="M2392" s="20" t="n">
        <x:v>950</x:v>
      </x:c>
      <x:c r="N2392" s="20" t="n">
        <x:f>IF(J2392=1,0,K2392-L2392)</x:f>
        <x:v>1400</x:v>
      </x:c>
      <x:c r="O2392" s="20" t="n">
        <x:f>N2392-M2392</x:f>
        <x:v>450</x:v>
      </x:c>
    </x:row>
    <x:row r="2393" ht="22" customHeight="1">
      <x:c r="A2393" s="11" t="n">
        <x:v>2389</x:v>
      </x:c>
      <x:c r="B2393" s="11" t="n">
        <x:v>1206</x:v>
      </x:c>
      <x:c r="C2393" s="18" t="n">
        <x:v>45352</x:v>
      </x:c>
      <x:c r="D2393" s="11" t="str">
        <x:v>2024-03</x:v>
      </x:c>
      <x:c r="E2393" s="11" t="str">
        <x:v>South</x:v>
      </x:c>
      <x:c r="F2393" s="11" t="str">
        <x:v>Furniture</x:v>
      </x:c>
      <x:c r="G2393" s="11" t="str">
        <x:v>Chair</x:v>
      </x:c>
      <x:c r="H2393" s="11" t="n">
        <x:v>1</x:v>
      </x:c>
      <x:c r="I2393" s="19" t="n">
        <x:v>0</x:v>
      </x:c>
      <x:c r="J2393" s="11" t="n">
        <x:v>1</x:v>
      </x:c>
      <x:c r="K2393" s="20" t="n">
        <x:v>170</x:v>
      </x:c>
      <x:c r="L2393" s="20" t="n">
        <x:v>0</x:v>
      </x:c>
      <x:c r="M2393" s="20" t="n">
        <x:v>0</x:v>
      </x:c>
      <x:c r="N2393" s="20" t="n">
        <x:f>IF(J2393=1,0,K2393-L2393)</x:f>
        <x:v>0</x:v>
      </x:c>
      <x:c r="O2393" s="20" t="n">
        <x:f>N2393-M2393</x:f>
        <x:v>0</x:v>
      </x:c>
    </x:row>
    <x:row r="2394" ht="22" customHeight="1">
      <x:c r="A2394" s="11" t="n">
        <x:v>2390</x:v>
      </x:c>
      <x:c r="B2394" s="11" t="n">
        <x:v>1207</x:v>
      </x:c>
      <x:c r="C2394" s="18" t="n">
        <x:v>45685</x:v>
      </x:c>
      <x:c r="D2394" s="11" t="str">
        <x:v>2025-01</x:v>
      </x:c>
      <x:c r="E2394" s="11" t="str">
        <x:v>East</x:v>
      </x:c>
      <x:c r="F2394" s="11" t="str">
        <x:v>Office Supplies</x:v>
      </x:c>
      <x:c r="G2394" s="11" t="str">
        <x:v>Notebook pack</x:v>
      </x:c>
      <x:c r="H2394" s="11" t="n">
        <x:v>2</x:v>
      </x:c>
      <x:c r="I2394" s="19" t="n">
        <x:v>0</x:v>
      </x:c>
      <x:c r="J2394" s="11" t="n">
        <x:v>0</x:v>
      </x:c>
      <x:c r="K2394" s="20" t="n">
        <x:v>36</x:v>
      </x:c>
      <x:c r="L2394" s="20" t="n">
        <x:v>0</x:v>
      </x:c>
      <x:c r="M2394" s="20" t="n">
        <x:v>14</x:v>
      </x:c>
      <x:c r="N2394" s="20" t="n">
        <x:f>IF(J2394=1,0,K2394-L2394)</x:f>
        <x:v>36</x:v>
      </x:c>
      <x:c r="O2394" s="20" t="n">
        <x:f>N2394-M2394</x:f>
        <x:v>22</x:v>
      </x:c>
    </x:row>
    <x:row r="2395" ht="22" customHeight="1">
      <x:c r="A2395" s="11" t="n">
        <x:v>2391</x:v>
      </x:c>
      <x:c r="B2395" s="11" t="n">
        <x:v>1207</x:v>
      </x:c>
      <x:c r="C2395" s="18" t="n">
        <x:v>45685</x:v>
      </x:c>
      <x:c r="D2395" s="11" t="str">
        <x:v>2025-01</x:v>
      </x:c>
      <x:c r="E2395" s="11" t="str">
        <x:v>East</x:v>
      </x:c>
      <x:c r="F2395" s="11" t="str">
        <x:v>Technology</x:v>
      </x:c>
      <x:c r="G2395" s="11" t="str">
        <x:v>Monitor</x:v>
      </x:c>
      <x:c r="H2395" s="11" t="n">
        <x:v>4</x:v>
      </x:c>
      <x:c r="I2395" s="19" t="n">
        <x:v>0</x:v>
      </x:c>
      <x:c r="J2395" s="11" t="n">
        <x:v>0</x:v>
      </x:c>
      <x:c r="K2395" s="20" t="n">
        <x:v>960</x:v>
      </x:c>
      <x:c r="L2395" s="20" t="n">
        <x:v>0</x:v>
      </x:c>
      <x:c r="M2395" s="20" t="n">
        <x:v>640</x:v>
      </x:c>
      <x:c r="N2395" s="20" t="n">
        <x:f>IF(J2395=1,0,K2395-L2395)</x:f>
        <x:v>960</x:v>
      </x:c>
      <x:c r="O2395" s="20" t="n">
        <x:f>N2395-M2395</x:f>
        <x:v>320</x:v>
      </x:c>
    </x:row>
    <x:row r="2396" ht="22" customHeight="1">
      <x:c r="A2396" s="11" t="n">
        <x:v>2392</x:v>
      </x:c>
      <x:c r="B2396" s="11" t="n">
        <x:v>1207</x:v>
      </x:c>
      <x:c r="C2396" s="18" t="n">
        <x:v>45685</x:v>
      </x:c>
      <x:c r="D2396" s="11" t="str">
        <x:v>2025-01</x:v>
      </x:c>
      <x:c r="E2396" s="11" t="str">
        <x:v>East</x:v>
      </x:c>
      <x:c r="F2396" s="11" t="str">
        <x:v>Furniture</x:v>
      </x:c>
      <x:c r="G2396" s="11" t="str">
        <x:v>Desk</x:v>
      </x:c>
      <x:c r="H2396" s="11" t="n">
        <x:v>3</x:v>
      </x:c>
      <x:c r="I2396" s="19" t="n">
        <x:v>0</x:v>
      </x:c>
      <x:c r="J2396" s="11" t="n">
        <x:v>0</x:v>
      </x:c>
      <x:c r="K2396" s="20" t="n">
        <x:v>840</x:v>
      </x:c>
      <x:c r="L2396" s="20" t="n">
        <x:v>0</x:v>
      </x:c>
      <x:c r="M2396" s="20" t="n">
        <x:v>570</x:v>
      </x:c>
      <x:c r="N2396" s="20" t="n">
        <x:f>IF(J2396=1,0,K2396-L2396)</x:f>
        <x:v>840</x:v>
      </x:c>
      <x:c r="O2396" s="20" t="n">
        <x:f>N2396-M2396</x:f>
        <x:v>270</x:v>
      </x:c>
    </x:row>
    <x:row r="2397" ht="22" customHeight="1">
      <x:c r="A2397" s="11" t="n">
        <x:v>2393</x:v>
      </x:c>
      <x:c r="B2397" s="11" t="n">
        <x:v>1208</x:v>
      </x:c>
      <x:c r="C2397" s="18" t="n">
        <x:v>45450</x:v>
      </x:c>
      <x:c r="D2397" s="11" t="str">
        <x:v>2024-06</x:v>
      </x:c>
      <x:c r="E2397" s="11" t="str">
        <x:v>West</x:v>
      </x:c>
      <x:c r="F2397" s="11" t="str">
        <x:v>Furniture</x:v>
      </x:c>
      <x:c r="G2397" s="11" t="str">
        <x:v>Chair</x:v>
      </x:c>
      <x:c r="H2397" s="11" t="n">
        <x:v>5</x:v>
      </x:c>
      <x:c r="I2397" s="19" t="n">
        <x:v>0</x:v>
      </x:c>
      <x:c r="J2397" s="11" t="n">
        <x:v>0</x:v>
      </x:c>
      <x:c r="K2397" s="20" t="n">
        <x:v>850</x:v>
      </x:c>
      <x:c r="L2397" s="20" t="n">
        <x:v>0</x:v>
      </x:c>
      <x:c r="M2397" s="20" t="n">
        <x:v>550</x:v>
      </x:c>
      <x:c r="N2397" s="20" t="n">
        <x:f>IF(J2397=1,0,K2397-L2397)</x:f>
        <x:v>850</x:v>
      </x:c>
      <x:c r="O2397" s="20" t="n">
        <x:f>N2397-M2397</x:f>
        <x:v>300</x:v>
      </x:c>
    </x:row>
    <x:row r="2398" ht="22" customHeight="1">
      <x:c r="A2398" s="11" t="n">
        <x:v>2394</x:v>
      </x:c>
      <x:c r="B2398" s="11" t="n">
        <x:v>1208</x:v>
      </x:c>
      <x:c r="C2398" s="18" t="n">
        <x:v>45450</x:v>
      </x:c>
      <x:c r="D2398" s="11" t="str">
        <x:v>2024-06</x:v>
      </x:c>
      <x:c r="E2398" s="11" t="str">
        <x:v>West</x:v>
      </x:c>
      <x:c r="F2398" s="11" t="str">
        <x:v>Technology</x:v>
      </x:c>
      <x:c r="G2398" s="11" t="str">
        <x:v>Keyboard</x:v>
      </x:c>
      <x:c r="H2398" s="11" t="n">
        <x:v>4</x:v>
      </x:c>
      <x:c r="I2398" s="19" t="n">
        <x:v>0</x:v>
      </x:c>
      <x:c r="J2398" s="11" t="n">
        <x:v>0</x:v>
      </x:c>
      <x:c r="K2398" s="20" t="n">
        <x:v>260</x:v>
      </x:c>
      <x:c r="L2398" s="20" t="n">
        <x:v>0</x:v>
      </x:c>
      <x:c r="M2398" s="20" t="n">
        <x:v>128</x:v>
      </x:c>
      <x:c r="N2398" s="20" t="n">
        <x:f>IF(J2398=1,0,K2398-L2398)</x:f>
        <x:v>260</x:v>
      </x:c>
      <x:c r="O2398" s="20" t="n">
        <x:f>N2398-M2398</x:f>
        <x:v>132</x:v>
      </x:c>
    </x:row>
    <x:row r="2399" ht="22" customHeight="1">
      <x:c r="A2399" s="11" t="n">
        <x:v>2395</x:v>
      </x:c>
      <x:c r="B2399" s="11" t="n">
        <x:v>1208</x:v>
      </x:c>
      <x:c r="C2399" s="18" t="n">
        <x:v>45450</x:v>
      </x:c>
      <x:c r="D2399" s="11" t="str">
        <x:v>2024-06</x:v>
      </x:c>
      <x:c r="E2399" s="11" t="str">
        <x:v>West</x:v>
      </x:c>
      <x:c r="F2399" s="11" t="str">
        <x:v>Office Supplies</x:v>
      </x:c>
      <x:c r="G2399" s="11" t="str">
        <x:v>Storage box</x:v>
      </x:c>
      <x:c r="H2399" s="11" t="n">
        <x:v>5</x:v>
      </x:c>
      <x:c r="I2399" s="19" t="n">
        <x:v>0</x:v>
      </x:c>
      <x:c r="J2399" s="11" t="n">
        <x:v>0</x:v>
      </x:c>
      <x:c r="K2399" s="20" t="n">
        <x:v>130</x:v>
      </x:c>
      <x:c r="L2399" s="20" t="n">
        <x:v>0</x:v>
      </x:c>
      <x:c r="M2399" s="20" t="n">
        <x:v>60</x:v>
      </x:c>
      <x:c r="N2399" s="20" t="n">
        <x:f>IF(J2399=1,0,K2399-L2399)</x:f>
        <x:v>130</x:v>
      </x:c>
      <x:c r="O2399" s="20" t="n">
        <x:f>N2399-M2399</x:f>
        <x:v>70</x:v>
      </x:c>
    </x:row>
    <x:row r="2400" ht="22" customHeight="1">
      <x:c r="A2400" s="11" t="n">
        <x:v>2396</x:v>
      </x:c>
      <x:c r="B2400" s="11" t="n">
        <x:v>1209</x:v>
      </x:c>
      <x:c r="C2400" s="18" t="n">
        <x:v>45611</x:v>
      </x:c>
      <x:c r="D2400" s="11" t="str">
        <x:v>2024-11</x:v>
      </x:c>
      <x:c r="E2400" s="11" t="str">
        <x:v>East</x:v>
      </x:c>
      <x:c r="F2400" s="11" t="str">
        <x:v>Office Supplies</x:v>
      </x:c>
      <x:c r="G2400" s="11" t="str">
        <x:v>Storage box</x:v>
      </x:c>
      <x:c r="H2400" s="11" t="n">
        <x:v>5</x:v>
      </x:c>
      <x:c r="I2400" s="19" t="n">
        <x:v>0.15</x:v>
      </x:c>
      <x:c r="J2400" s="11" t="n">
        <x:v>0</x:v>
      </x:c>
      <x:c r="K2400" s="20" t="n">
        <x:v>130</x:v>
      </x:c>
      <x:c r="L2400" s="20" t="n">
        <x:v>19.5</x:v>
      </x:c>
      <x:c r="M2400" s="20" t="n">
        <x:v>60</x:v>
      </x:c>
      <x:c r="N2400" s="20" t="n">
        <x:f>IF(J2400=1,0,K2400-L2400)</x:f>
        <x:v>110.5</x:v>
      </x:c>
      <x:c r="O2400" s="20" t="n">
        <x:f>N2400-M2400</x:f>
        <x:v>50.5</x:v>
      </x:c>
    </x:row>
    <x:row r="2401" ht="22" customHeight="1">
      <x:c r="A2401" s="11" t="n">
        <x:v>2397</x:v>
      </x:c>
      <x:c r="B2401" s="11" t="n">
        <x:v>1209</x:v>
      </x:c>
      <x:c r="C2401" s="18" t="n">
        <x:v>45611</x:v>
      </x:c>
      <x:c r="D2401" s="11" t="str">
        <x:v>2024-11</x:v>
      </x:c>
      <x:c r="E2401" s="11" t="str">
        <x:v>East</x:v>
      </x:c>
      <x:c r="F2401" s="11" t="str">
        <x:v>Furniture</x:v>
      </x:c>
      <x:c r="G2401" s="11" t="str">
        <x:v>Chair</x:v>
      </x:c>
      <x:c r="H2401" s="11" t="n">
        <x:v>1</x:v>
      </x:c>
      <x:c r="I2401" s="19" t="n">
        <x:v>0.35</x:v>
      </x:c>
      <x:c r="J2401" s="11" t="n">
        <x:v>0</x:v>
      </x:c>
      <x:c r="K2401" s="20" t="n">
        <x:v>170</x:v>
      </x:c>
      <x:c r="L2401" s="20" t="n">
        <x:v>59.5</x:v>
      </x:c>
      <x:c r="M2401" s="20" t="n">
        <x:v>110</x:v>
      </x:c>
      <x:c r="N2401" s="20" t="n">
        <x:f>IF(J2401=1,0,K2401-L2401)</x:f>
        <x:v>110.5</x:v>
      </x:c>
      <x:c r="O2401" s="20" t="n">
        <x:f>N2401-M2401</x:f>
        <x:v>0.5</x:v>
      </x:c>
    </x:row>
    <x:row r="2402" ht="22" customHeight="1">
      <x:c r="A2402" s="11" t="n">
        <x:v>2398</x:v>
      </x:c>
      <x:c r="B2402" s="11" t="n">
        <x:v>1210</x:v>
      </x:c>
      <x:c r="C2402" s="18" t="n">
        <x:v>45450</x:v>
      </x:c>
      <x:c r="D2402" s="11" t="str">
        <x:v>2024-06</x:v>
      </x:c>
      <x:c r="E2402" s="11" t="str">
        <x:v>West</x:v>
      </x:c>
      <x:c r="F2402" s="11" t="str">
        <x:v>Office Supplies</x:v>
      </x:c>
      <x:c r="G2402" s="11" t="str">
        <x:v>Storage box</x:v>
      </x:c>
      <x:c r="H2402" s="11" t="n">
        <x:v>4</x:v>
      </x:c>
      <x:c r="I2402" s="19" t="n">
        <x:v>0.1</x:v>
      </x:c>
      <x:c r="J2402" s="11" t="n">
        <x:v>0</x:v>
      </x:c>
      <x:c r="K2402" s="20" t="n">
        <x:v>104</x:v>
      </x:c>
      <x:c r="L2402" s="20" t="n">
        <x:v>10.4</x:v>
      </x:c>
      <x:c r="M2402" s="20" t="n">
        <x:v>48</x:v>
      </x:c>
      <x:c r="N2402" s="20" t="n">
        <x:f>IF(J2402=1,0,K2402-L2402)</x:f>
        <x:v>93.6</x:v>
      </x:c>
      <x:c r="O2402" s="20" t="n">
        <x:f>N2402-M2402</x:f>
        <x:v>45.599999999999994</x:v>
      </x:c>
    </x:row>
    <x:row r="2403" ht="22" customHeight="1">
      <x:c r="A2403" s="11" t="n">
        <x:v>2399</x:v>
      </x:c>
      <x:c r="B2403" s="11" t="n">
        <x:v>1210</x:v>
      </x:c>
      <x:c r="C2403" s="18" t="n">
        <x:v>45450</x:v>
      </x:c>
      <x:c r="D2403" s="11" t="str">
        <x:v>2024-06</x:v>
      </x:c>
      <x:c r="E2403" s="11" t="str">
        <x:v>West</x:v>
      </x:c>
      <x:c r="F2403" s="11" t="str">
        <x:v>Office Supplies</x:v>
      </x:c>
      <x:c r="G2403" s="11" t="str">
        <x:v>Notebook pack</x:v>
      </x:c>
      <x:c r="H2403" s="11" t="n">
        <x:v>5</x:v>
      </x:c>
      <x:c r="I2403" s="19" t="n">
        <x:v>0</x:v>
      </x:c>
      <x:c r="J2403" s="11" t="n">
        <x:v>0</x:v>
      </x:c>
      <x:c r="K2403" s="20" t="n">
        <x:v>90</x:v>
      </x:c>
      <x:c r="L2403" s="20" t="n">
        <x:v>0</x:v>
      </x:c>
      <x:c r="M2403" s="20" t="n">
        <x:v>35</x:v>
      </x:c>
      <x:c r="N2403" s="20" t="n">
        <x:f>IF(J2403=1,0,K2403-L2403)</x:f>
        <x:v>90</x:v>
      </x:c>
      <x:c r="O2403" s="20" t="n">
        <x:f>N2403-M2403</x:f>
        <x:v>55</x:v>
      </x:c>
    </x:row>
    <x:row r="2404" ht="22" customHeight="1">
      <x:c r="A2404" s="11" t="n">
        <x:v>2400</x:v>
      </x:c>
      <x:c r="B2404" s="11" t="n">
        <x:v>1211</x:v>
      </x:c>
      <x:c r="C2404" s="18" t="n">
        <x:v>45666</x:v>
      </x:c>
      <x:c r="D2404" s="11" t="str">
        <x:v>2025-01</x:v>
      </x:c>
      <x:c r="E2404" s="11" t="str">
        <x:v>South</x:v>
      </x:c>
      <x:c r="F2404" s="11" t="str">
        <x:v>Furniture</x:v>
      </x:c>
      <x:c r="G2404" s="11" t="str">
        <x:v>Chair</x:v>
      </x:c>
      <x:c r="H2404" s="11" t="n">
        <x:v>1</x:v>
      </x:c>
      <x:c r="I2404" s="19" t="n">
        <x:v>0.15</x:v>
      </x:c>
      <x:c r="J2404" s="11" t="n">
        <x:v>1</x:v>
      </x:c>
      <x:c r="K2404" s="20" t="n">
        <x:v>170</x:v>
      </x:c>
      <x:c r="L2404" s="20" t="n">
        <x:v>25.5</x:v>
      </x:c>
      <x:c r="M2404" s="20" t="n">
        <x:v>0</x:v>
      </x:c>
      <x:c r="N2404" s="20" t="n">
        <x:f>IF(J2404=1,0,K2404-L2404)</x:f>
        <x:v>0</x:v>
      </x:c>
      <x:c r="O2404" s="20" t="n">
        <x:f>N2404-M2404</x:f>
        <x:v>0</x:v>
      </x:c>
    </x:row>
    <x:row r="2405" ht="22" customHeight="1">
      <x:c r="A2405" s="11" t="n">
        <x:v>2401</x:v>
      </x:c>
      <x:c r="B2405" s="11" t="n">
        <x:v>1211</x:v>
      </x:c>
      <x:c r="C2405" s="18" t="n">
        <x:v>45666</x:v>
      </x:c>
      <x:c r="D2405" s="11" t="str">
        <x:v>2025-01</x:v>
      </x:c>
      <x:c r="E2405" s="11" t="str">
        <x:v>South</x:v>
      </x:c>
      <x:c r="F2405" s="11" t="str">
        <x:v>Technology</x:v>
      </x:c>
      <x:c r="G2405" s="11" t="str">
        <x:v>Keyboard</x:v>
      </x:c>
      <x:c r="H2405" s="11" t="n">
        <x:v>4</x:v>
      </x:c>
      <x:c r="I2405" s="19" t="n">
        <x:v>0.15</x:v>
      </x:c>
      <x:c r="J2405" s="11" t="n">
        <x:v>0</x:v>
      </x:c>
      <x:c r="K2405" s="20" t="n">
        <x:v>260</x:v>
      </x:c>
      <x:c r="L2405" s="20" t="n">
        <x:v>39</x:v>
      </x:c>
      <x:c r="M2405" s="20" t="n">
        <x:v>128</x:v>
      </x:c>
      <x:c r="N2405" s="20" t="n">
        <x:f>IF(J2405=1,0,K2405-L2405)</x:f>
        <x:v>221</x:v>
      </x:c>
      <x:c r="O2405" s="20" t="n">
        <x:f>N2405-M2405</x:f>
        <x:v>93</x:v>
      </x:c>
    </x:row>
    <x:row r="2406" ht="22" customHeight="1">
      <x:c r="A2406" s="11" t="n">
        <x:v>2402</x:v>
      </x:c>
      <x:c r="B2406" s="11" t="n">
        <x:v>1212</x:v>
      </x:c>
      <x:c r="C2406" s="18" t="n">
        <x:v>45824</x:v>
      </x:c>
      <x:c r="D2406" s="11" t="str">
        <x:v>2025-06</x:v>
      </x:c>
      <x:c r="E2406" s="11" t="str">
        <x:v>Central</x:v>
      </x:c>
      <x:c r="F2406" s="11" t="str">
        <x:v>Office Supplies</x:v>
      </x:c>
      <x:c r="G2406" s="11" t="str">
        <x:v>Notebook pack</x:v>
      </x:c>
      <x:c r="H2406" s="11" t="n">
        <x:v>5</x:v>
      </x:c>
      <x:c r="I2406" s="19" t="n">
        <x:v>0</x:v>
      </x:c>
      <x:c r="J2406" s="11" t="n">
        <x:v>0</x:v>
      </x:c>
      <x:c r="K2406" s="20" t="n">
        <x:v>90</x:v>
      </x:c>
      <x:c r="L2406" s="20" t="n">
        <x:v>0</x:v>
      </x:c>
      <x:c r="M2406" s="20" t="n">
        <x:v>35</x:v>
      </x:c>
      <x:c r="N2406" s="20" t="n">
        <x:f>IF(J2406=1,0,K2406-L2406)</x:f>
        <x:v>90</x:v>
      </x:c>
      <x:c r="O2406" s="20" t="n">
        <x:f>N2406-M2406</x:f>
        <x:v>55</x:v>
      </x:c>
    </x:row>
    <x:row r="2407" ht="22" customHeight="1">
      <x:c r="A2407" s="11" t="n">
        <x:v>2403</x:v>
      </x:c>
      <x:c r="B2407" s="11" t="n">
        <x:v>1212</x:v>
      </x:c>
      <x:c r="C2407" s="18" t="n">
        <x:v>45824</x:v>
      </x:c>
      <x:c r="D2407" s="11" t="str">
        <x:v>2025-06</x:v>
      </x:c>
      <x:c r="E2407" s="11" t="str">
        <x:v>Central</x:v>
      </x:c>
      <x:c r="F2407" s="11" t="str">
        <x:v>Office Supplies</x:v>
      </x:c>
      <x:c r="G2407" s="11" t="str">
        <x:v>Storage box</x:v>
      </x:c>
      <x:c r="H2407" s="11" t="n">
        <x:v>2</x:v>
      </x:c>
      <x:c r="I2407" s="19" t="n">
        <x:v>0.1</x:v>
      </x:c>
      <x:c r="J2407" s="11" t="n">
        <x:v>0</x:v>
      </x:c>
      <x:c r="K2407" s="20" t="n">
        <x:v>52</x:v>
      </x:c>
      <x:c r="L2407" s="20" t="n">
        <x:v>5.2</x:v>
      </x:c>
      <x:c r="M2407" s="20" t="n">
        <x:v>24</x:v>
      </x:c>
      <x:c r="N2407" s="20" t="n">
        <x:f>IF(J2407=1,0,K2407-L2407)</x:f>
        <x:v>46.8</x:v>
      </x:c>
      <x:c r="O2407" s="20" t="n">
        <x:f>N2407-M2407</x:f>
        <x:v>22.799999999999997</x:v>
      </x:c>
    </x:row>
    <x:row r="2408" ht="22" customHeight="1">
      <x:c r="A2408" s="11" t="n">
        <x:v>2404</x:v>
      </x:c>
      <x:c r="B2408" s="11" t="n">
        <x:v>1212</x:v>
      </x:c>
      <x:c r="C2408" s="18" t="n">
        <x:v>45824</x:v>
      </x:c>
      <x:c r="D2408" s="11" t="str">
        <x:v>2025-06</x:v>
      </x:c>
      <x:c r="E2408" s="11" t="str">
        <x:v>Central</x:v>
      </x:c>
      <x:c r="F2408" s="11" t="str">
        <x:v>Technology</x:v>
      </x:c>
      <x:c r="G2408" s="11" t="str">
        <x:v>Keyboard</x:v>
      </x:c>
      <x:c r="H2408" s="11" t="n">
        <x:v>3</x:v>
      </x:c>
      <x:c r="I2408" s="19" t="n">
        <x:v>0.1</x:v>
      </x:c>
      <x:c r="J2408" s="11" t="n">
        <x:v>0</x:v>
      </x:c>
      <x:c r="K2408" s="20" t="n">
        <x:v>195</x:v>
      </x:c>
      <x:c r="L2408" s="20" t="n">
        <x:v>19.5</x:v>
      </x:c>
      <x:c r="M2408" s="20" t="n">
        <x:v>96</x:v>
      </x:c>
      <x:c r="N2408" s="20" t="n">
        <x:f>IF(J2408=1,0,K2408-L2408)</x:f>
        <x:v>175.5</x:v>
      </x:c>
      <x:c r="O2408" s="20" t="n">
        <x:f>N2408-M2408</x:f>
        <x:v>79.5</x:v>
      </x:c>
    </x:row>
    <x:row r="2409" ht="22" customHeight="1">
      <x:c r="A2409" s="11" t="n">
        <x:v>2405</x:v>
      </x:c>
      <x:c r="B2409" s="11" t="n">
        <x:v>1213</x:v>
      </x:c>
      <x:c r="C2409" s="18" t="n">
        <x:v>45678</x:v>
      </x:c>
      <x:c r="D2409" s="11" t="str">
        <x:v>2025-01</x:v>
      </x:c>
      <x:c r="E2409" s="11" t="str">
        <x:v>West</x:v>
      </x:c>
      <x:c r="F2409" s="11" t="str">
        <x:v>Technology</x:v>
      </x:c>
      <x:c r="G2409" s="11" t="str">
        <x:v>Keyboard</x:v>
      </x:c>
      <x:c r="H2409" s="11" t="n">
        <x:v>1</x:v>
      </x:c>
      <x:c r="I2409" s="19" t="n">
        <x:v>0.05</x:v>
      </x:c>
      <x:c r="J2409" s="11" t="n">
        <x:v>0</x:v>
      </x:c>
      <x:c r="K2409" s="20" t="n">
        <x:v>65</x:v>
      </x:c>
      <x:c r="L2409" s="20" t="n">
        <x:v>3.25</x:v>
      </x:c>
      <x:c r="M2409" s="20" t="n">
        <x:v>32</x:v>
      </x:c>
      <x:c r="N2409" s="20" t="n">
        <x:f>IF(J2409=1,0,K2409-L2409)</x:f>
        <x:v>61.75</x:v>
      </x:c>
      <x:c r="O2409" s="20" t="n">
        <x:f>N2409-M2409</x:f>
        <x:v>29.75</x:v>
      </x:c>
    </x:row>
    <x:row r="2410" ht="22" customHeight="1">
      <x:c r="A2410" s="11" t="n">
        <x:v>2406</x:v>
      </x:c>
      <x:c r="B2410" s="11" t="n">
        <x:v>1214</x:v>
      </x:c>
      <x:c r="C2410" s="18" t="n">
        <x:v>45916</x:v>
      </x:c>
      <x:c r="D2410" s="11" t="str">
        <x:v>2025-09</x:v>
      </x:c>
      <x:c r="E2410" s="11" t="str">
        <x:v>South</x:v>
      </x:c>
      <x:c r="F2410" s="11" t="str">
        <x:v>Technology</x:v>
      </x:c>
      <x:c r="G2410" s="11" t="str">
        <x:v>Monitor</x:v>
      </x:c>
      <x:c r="H2410" s="11" t="n">
        <x:v>5</x:v>
      </x:c>
      <x:c r="I2410" s="19" t="n">
        <x:v>0</x:v>
      </x:c>
      <x:c r="J2410" s="11" t="n">
        <x:v>0</x:v>
      </x:c>
      <x:c r="K2410" s="20" t="n">
        <x:v>1200</x:v>
      </x:c>
      <x:c r="L2410" s="20" t="n">
        <x:v>0</x:v>
      </x:c>
      <x:c r="M2410" s="20" t="n">
        <x:v>800</x:v>
      </x:c>
      <x:c r="N2410" s="20" t="n">
        <x:f>IF(J2410=1,0,K2410-L2410)</x:f>
        <x:v>1200</x:v>
      </x:c>
      <x:c r="O2410" s="20" t="n">
        <x:f>N2410-M2410</x:f>
        <x:v>400</x:v>
      </x:c>
    </x:row>
    <x:row r="2411" ht="22" customHeight="1">
      <x:c r="A2411" s="11" t="n">
        <x:v>2407</x:v>
      </x:c>
      <x:c r="B2411" s="11" t="n">
        <x:v>1214</x:v>
      </x:c>
      <x:c r="C2411" s="18" t="n">
        <x:v>45916</x:v>
      </x:c>
      <x:c r="D2411" s="11" t="str">
        <x:v>2025-09</x:v>
      </x:c>
      <x:c r="E2411" s="11" t="str">
        <x:v>South</x:v>
      </x:c>
      <x:c r="F2411" s="11" t="str">
        <x:v>Furniture</x:v>
      </x:c>
      <x:c r="G2411" s="11" t="str">
        <x:v>Desk</x:v>
      </x:c>
      <x:c r="H2411" s="11" t="n">
        <x:v>1</x:v>
      </x:c>
      <x:c r="I2411" s="19" t="n">
        <x:v>0.1</x:v>
      </x:c>
      <x:c r="J2411" s="11" t="n">
        <x:v>0</x:v>
      </x:c>
      <x:c r="K2411" s="20" t="n">
        <x:v>280</x:v>
      </x:c>
      <x:c r="L2411" s="20" t="n">
        <x:v>28</x:v>
      </x:c>
      <x:c r="M2411" s="20" t="n">
        <x:v>190</x:v>
      </x:c>
      <x:c r="N2411" s="20" t="n">
        <x:f>IF(J2411=1,0,K2411-L2411)</x:f>
        <x:v>252</x:v>
      </x:c>
      <x:c r="O2411" s="20" t="n">
        <x:f>N2411-M2411</x:f>
        <x:v>62</x:v>
      </x:c>
    </x:row>
    <x:row r="2412" ht="22" customHeight="1">
      <x:c r="A2412" s="11" t="n">
        <x:v>2408</x:v>
      </x:c>
      <x:c r="B2412" s="11" t="n">
        <x:v>1215</x:v>
      </x:c>
      <x:c r="C2412" s="18" t="n">
        <x:v>45876</x:v>
      </x:c>
      <x:c r="D2412" s="11" t="str">
        <x:v>2025-08</x:v>
      </x:c>
      <x:c r="E2412" s="11" t="str">
        <x:v>East</x:v>
      </x:c>
      <x:c r="F2412" s="11" t="str">
        <x:v>Technology</x:v>
      </x:c>
      <x:c r="G2412" s="11" t="str">
        <x:v>Monitor</x:v>
      </x:c>
      <x:c r="H2412" s="11" t="n">
        <x:v>1</x:v>
      </x:c>
      <x:c r="I2412" s="19" t="n">
        <x:v>0.05</x:v>
      </x:c>
      <x:c r="J2412" s="11" t="n">
        <x:v>0</x:v>
      </x:c>
      <x:c r="K2412" s="20" t="n">
        <x:v>240</x:v>
      </x:c>
      <x:c r="L2412" s="20" t="n">
        <x:v>12</x:v>
      </x:c>
      <x:c r="M2412" s="20" t="n">
        <x:v>160</x:v>
      </x:c>
      <x:c r="N2412" s="20" t="n">
        <x:f>IF(J2412=1,0,K2412-L2412)</x:f>
        <x:v>228</x:v>
      </x:c>
      <x:c r="O2412" s="20" t="n">
        <x:f>N2412-M2412</x:f>
        <x:v>68</x:v>
      </x:c>
    </x:row>
    <x:row r="2413" ht="22" customHeight="1">
      <x:c r="A2413" s="11" t="n">
        <x:v>2409</x:v>
      </x:c>
      <x:c r="B2413" s="11" t="n">
        <x:v>1215</x:v>
      </x:c>
      <x:c r="C2413" s="18" t="n">
        <x:v>45876</x:v>
      </x:c>
      <x:c r="D2413" s="11" t="str">
        <x:v>2025-08</x:v>
      </x:c>
      <x:c r="E2413" s="11" t="str">
        <x:v>East</x:v>
      </x:c>
      <x:c r="F2413" s="11" t="str">
        <x:v>Furniture</x:v>
      </x:c>
      <x:c r="G2413" s="11" t="str">
        <x:v>Desk</x:v>
      </x:c>
      <x:c r="H2413" s="11" t="n">
        <x:v>3</x:v>
      </x:c>
      <x:c r="I2413" s="19" t="n">
        <x:v>0</x:v>
      </x:c>
      <x:c r="J2413" s="11" t="n">
        <x:v>0</x:v>
      </x:c>
      <x:c r="K2413" s="20" t="n">
        <x:v>840</x:v>
      </x:c>
      <x:c r="L2413" s="20" t="n">
        <x:v>0</x:v>
      </x:c>
      <x:c r="M2413" s="20" t="n">
        <x:v>570</x:v>
      </x:c>
      <x:c r="N2413" s="20" t="n">
        <x:f>IF(J2413=1,0,K2413-L2413)</x:f>
        <x:v>840</x:v>
      </x:c>
      <x:c r="O2413" s="20" t="n">
        <x:f>N2413-M2413</x:f>
        <x:v>270</x:v>
      </x:c>
    </x:row>
    <x:row r="2414" ht="22" customHeight="1">
      <x:c r="A2414" s="11" t="n">
        <x:v>2410</x:v>
      </x:c>
      <x:c r="B2414" s="11" t="n">
        <x:v>1215</x:v>
      </x:c>
      <x:c r="C2414" s="18" t="n">
        <x:v>45876</x:v>
      </x:c>
      <x:c r="D2414" s="11" t="str">
        <x:v>2025-08</x:v>
      </x:c>
      <x:c r="E2414" s="11" t="str">
        <x:v>East</x:v>
      </x:c>
      <x:c r="F2414" s="11" t="str">
        <x:v>Office Supplies</x:v>
      </x:c>
      <x:c r="G2414" s="11" t="str">
        <x:v>Notebook pack</x:v>
      </x:c>
      <x:c r="H2414" s="11" t="n">
        <x:v>4</x:v>
      </x:c>
      <x:c r="I2414" s="19" t="n">
        <x:v>0.15</x:v>
      </x:c>
      <x:c r="J2414" s="11" t="n">
        <x:v>0</x:v>
      </x:c>
      <x:c r="K2414" s="20" t="n">
        <x:v>72</x:v>
      </x:c>
      <x:c r="L2414" s="20" t="n">
        <x:v>10.8</x:v>
      </x:c>
      <x:c r="M2414" s="20" t="n">
        <x:v>28</x:v>
      </x:c>
      <x:c r="N2414" s="20" t="n">
        <x:f>IF(J2414=1,0,K2414-L2414)</x:f>
        <x:v>61.2</x:v>
      </x:c>
      <x:c r="O2414" s="20" t="n">
        <x:f>N2414-M2414</x:f>
        <x:v>33.2</x:v>
      </x:c>
    </x:row>
    <x:row r="2415" ht="22" customHeight="1">
      <x:c r="A2415" s="11" t="n">
        <x:v>2411</x:v>
      </x:c>
      <x:c r="B2415" s="11" t="n">
        <x:v>1216</x:v>
      </x:c>
      <x:c r="C2415" s="18" t="n">
        <x:v>45474</x:v>
      </x:c>
      <x:c r="D2415" s="11" t="str">
        <x:v>2024-07</x:v>
      </x:c>
      <x:c r="E2415" s="11" t="str">
        <x:v>Central</x:v>
      </x:c>
      <x:c r="F2415" s="11" t="str">
        <x:v>Office Supplies</x:v>
      </x:c>
      <x:c r="G2415" s="11" t="str">
        <x:v>Storage box</x:v>
      </x:c>
      <x:c r="H2415" s="11" t="n">
        <x:v>1</x:v>
      </x:c>
      <x:c r="I2415" s="19" t="n">
        <x:v>0.1</x:v>
      </x:c>
      <x:c r="J2415" s="11" t="n">
        <x:v>0</x:v>
      </x:c>
      <x:c r="K2415" s="20" t="n">
        <x:v>26</x:v>
      </x:c>
      <x:c r="L2415" s="20" t="n">
        <x:v>2.6</x:v>
      </x:c>
      <x:c r="M2415" s="20" t="n">
        <x:v>12</x:v>
      </x:c>
      <x:c r="N2415" s="20" t="n">
        <x:f>IF(J2415=1,0,K2415-L2415)</x:f>
        <x:v>23.4</x:v>
      </x:c>
      <x:c r="O2415" s="20" t="n">
        <x:f>N2415-M2415</x:f>
        <x:v>11.399999999999999</x:v>
      </x:c>
    </x:row>
    <x:row r="2416" ht="22" customHeight="1">
      <x:c r="A2416" s="11" t="n">
        <x:v>2412</x:v>
      </x:c>
      <x:c r="B2416" s="11" t="n">
        <x:v>1216</x:v>
      </x:c>
      <x:c r="C2416" s="18" t="n">
        <x:v>45474</x:v>
      </x:c>
      <x:c r="D2416" s="11" t="str">
        <x:v>2024-07</x:v>
      </x:c>
      <x:c r="E2416" s="11" t="str">
        <x:v>Central</x:v>
      </x:c>
      <x:c r="F2416" s="11" t="str">
        <x:v>Furniture</x:v>
      </x:c>
      <x:c r="G2416" s="11" t="str">
        <x:v>Desk</x:v>
      </x:c>
      <x:c r="H2416" s="11" t="n">
        <x:v>2</x:v>
      </x:c>
      <x:c r="I2416" s="19" t="n">
        <x:v>0.15</x:v>
      </x:c>
      <x:c r="J2416" s="11" t="n">
        <x:v>0</x:v>
      </x:c>
      <x:c r="K2416" s="20" t="n">
        <x:v>560</x:v>
      </x:c>
      <x:c r="L2416" s="20" t="n">
        <x:v>84</x:v>
      </x:c>
      <x:c r="M2416" s="20" t="n">
        <x:v>380</x:v>
      </x:c>
      <x:c r="N2416" s="20" t="n">
        <x:f>IF(J2416=1,0,K2416-L2416)</x:f>
        <x:v>476</x:v>
      </x:c>
      <x:c r="O2416" s="20" t="n">
        <x:f>N2416-M2416</x:f>
        <x:v>96</x:v>
      </x:c>
    </x:row>
    <x:row r="2417" ht="22" customHeight="1">
      <x:c r="A2417" s="11" t="n">
        <x:v>2413</x:v>
      </x:c>
      <x:c r="B2417" s="11" t="n">
        <x:v>1216</x:v>
      </x:c>
      <x:c r="C2417" s="18" t="n">
        <x:v>45474</x:v>
      </x:c>
      <x:c r="D2417" s="11" t="str">
        <x:v>2024-07</x:v>
      </x:c>
      <x:c r="E2417" s="11" t="str">
        <x:v>Central</x:v>
      </x:c>
      <x:c r="F2417" s="11" t="str">
        <x:v>Furniture</x:v>
      </x:c>
      <x:c r="G2417" s="11" t="str">
        <x:v>Chair</x:v>
      </x:c>
      <x:c r="H2417" s="11" t="n">
        <x:v>2</x:v>
      </x:c>
      <x:c r="I2417" s="19" t="n">
        <x:v>0.35</x:v>
      </x:c>
      <x:c r="J2417" s="11" t="n">
        <x:v>0</x:v>
      </x:c>
      <x:c r="K2417" s="20" t="n">
        <x:v>340</x:v>
      </x:c>
      <x:c r="L2417" s="20" t="n">
        <x:v>119</x:v>
      </x:c>
      <x:c r="M2417" s="20" t="n">
        <x:v>220</x:v>
      </x:c>
      <x:c r="N2417" s="20" t="n">
        <x:f>IF(J2417=1,0,K2417-L2417)</x:f>
        <x:v>221</x:v>
      </x:c>
      <x:c r="O2417" s="20" t="n">
        <x:f>N2417-M2417</x:f>
        <x:v>1</x:v>
      </x:c>
    </x:row>
    <x:row r="2418" ht="22" customHeight="1">
      <x:c r="A2418" s="11" t="n">
        <x:v>2414</x:v>
      </x:c>
      <x:c r="B2418" s="11" t="n">
        <x:v>1217</x:v>
      </x:c>
      <x:c r="C2418" s="18" t="n">
        <x:v>45947</x:v>
      </x:c>
      <x:c r="D2418" s="11" t="str">
        <x:v>2025-10</x:v>
      </x:c>
      <x:c r="E2418" s="11" t="str">
        <x:v>West</x:v>
      </x:c>
      <x:c r="F2418" s="11" t="str">
        <x:v>Technology</x:v>
      </x:c>
      <x:c r="G2418" s="11" t="str">
        <x:v>Keyboard</x:v>
      </x:c>
      <x:c r="H2418" s="11" t="n">
        <x:v>2</x:v>
      </x:c>
      <x:c r="I2418" s="19" t="n">
        <x:v>0</x:v>
      </x:c>
      <x:c r="J2418" s="11" t="n">
        <x:v>0</x:v>
      </x:c>
      <x:c r="K2418" s="20" t="n">
        <x:v>130</x:v>
      </x:c>
      <x:c r="L2418" s="20" t="n">
        <x:v>0</x:v>
      </x:c>
      <x:c r="M2418" s="20" t="n">
        <x:v>64</x:v>
      </x:c>
      <x:c r="N2418" s="20" t="n">
        <x:f>IF(J2418=1,0,K2418-L2418)</x:f>
        <x:v>130</x:v>
      </x:c>
      <x:c r="O2418" s="20" t="n">
        <x:f>N2418-M2418</x:f>
        <x:v>66</x:v>
      </x:c>
    </x:row>
    <x:row r="2419" ht="22" customHeight="1">
      <x:c r="A2419" s="11" t="n">
        <x:v>2415</x:v>
      </x:c>
      <x:c r="B2419" s="11" t="n">
        <x:v>1218</x:v>
      </x:c>
      <x:c r="C2419" s="18" t="n">
        <x:v>45296</x:v>
      </x:c>
      <x:c r="D2419" s="11" t="str">
        <x:v>2024-01</x:v>
      </x:c>
      <x:c r="E2419" s="11" t="str">
        <x:v>Central</x:v>
      </x:c>
      <x:c r="F2419" s="11" t="str">
        <x:v>Technology</x:v>
      </x:c>
      <x:c r="G2419" s="11" t="str">
        <x:v>Keyboard</x:v>
      </x:c>
      <x:c r="H2419" s="11" t="n">
        <x:v>2</x:v>
      </x:c>
      <x:c r="I2419" s="19" t="n">
        <x:v>0.05</x:v>
      </x:c>
      <x:c r="J2419" s="11" t="n">
        <x:v>0</x:v>
      </x:c>
      <x:c r="K2419" s="20" t="n">
        <x:v>130</x:v>
      </x:c>
      <x:c r="L2419" s="20" t="n">
        <x:v>6.5</x:v>
      </x:c>
      <x:c r="M2419" s="20" t="n">
        <x:v>64</x:v>
      </x:c>
      <x:c r="N2419" s="20" t="n">
        <x:f>IF(J2419=1,0,K2419-L2419)</x:f>
        <x:v>123.5</x:v>
      </x:c>
      <x:c r="O2419" s="20" t="n">
        <x:f>N2419-M2419</x:f>
        <x:v>59.5</x:v>
      </x:c>
    </x:row>
    <x:row r="2420" ht="22" customHeight="1">
      <x:c r="A2420" s="11" t="n">
        <x:v>2416</x:v>
      </x:c>
      <x:c r="B2420" s="11" t="n">
        <x:v>1219</x:v>
      </x:c>
      <x:c r="C2420" s="18" t="n">
        <x:v>45703</x:v>
      </x:c>
      <x:c r="D2420" s="11" t="str">
        <x:v>2025-02</x:v>
      </x:c>
      <x:c r="E2420" s="11" t="str">
        <x:v>South</x:v>
      </x:c>
      <x:c r="F2420" s="11" t="str">
        <x:v>Office Supplies</x:v>
      </x:c>
      <x:c r="G2420" s="11" t="str">
        <x:v>Notebook pack</x:v>
      </x:c>
      <x:c r="H2420" s="11" t="n">
        <x:v>2</x:v>
      </x:c>
      <x:c r="I2420" s="19" t="n">
        <x:v>0.15</x:v>
      </x:c>
      <x:c r="J2420" s="11" t="n">
        <x:v>0</x:v>
      </x:c>
      <x:c r="K2420" s="20" t="n">
        <x:v>36</x:v>
      </x:c>
      <x:c r="L2420" s="20" t="n">
        <x:v>5.4</x:v>
      </x:c>
      <x:c r="M2420" s="20" t="n">
        <x:v>14</x:v>
      </x:c>
      <x:c r="N2420" s="20" t="n">
        <x:f>IF(J2420=1,0,K2420-L2420)</x:f>
        <x:v>30.6</x:v>
      </x:c>
      <x:c r="O2420" s="20" t="n">
        <x:f>N2420-M2420</x:f>
        <x:v>16.6</x:v>
      </x:c>
    </x:row>
    <x:row r="2421" ht="22" customHeight="1">
      <x:c r="A2421" s="11" t="n">
        <x:v>2417</x:v>
      </x:c>
      <x:c r="B2421" s="11" t="n">
        <x:v>1220</x:v>
      </x:c>
      <x:c r="C2421" s="18" t="n">
        <x:v>45724</x:v>
      </x:c>
      <x:c r="D2421" s="11" t="str">
        <x:v>2025-03</x:v>
      </x:c>
      <x:c r="E2421" s="11" t="str">
        <x:v>South</x:v>
      </x:c>
      <x:c r="F2421" s="11" t="str">
        <x:v>Office Supplies</x:v>
      </x:c>
      <x:c r="G2421" s="11" t="str">
        <x:v>Storage box</x:v>
      </x:c>
      <x:c r="H2421" s="11" t="n">
        <x:v>3</x:v>
      </x:c>
      <x:c r="I2421" s="19" t="n">
        <x:v>0.1</x:v>
      </x:c>
      <x:c r="J2421" s="11" t="n">
        <x:v>0</x:v>
      </x:c>
      <x:c r="K2421" s="20" t="n">
        <x:v>78</x:v>
      </x:c>
      <x:c r="L2421" s="20" t="n">
        <x:v>7.8</x:v>
      </x:c>
      <x:c r="M2421" s="20" t="n">
        <x:v>36</x:v>
      </x:c>
      <x:c r="N2421" s="20" t="n">
        <x:f>IF(J2421=1,0,K2421-L2421)</x:f>
        <x:v>70.2</x:v>
      </x:c>
      <x:c r="O2421" s="20" t="n">
        <x:f>N2421-M2421</x:f>
        <x:v>34.2</x:v>
      </x:c>
    </x:row>
    <x:row r="2422" ht="22" customHeight="1">
      <x:c r="A2422" s="11" t="n">
        <x:v>2418</x:v>
      </x:c>
      <x:c r="B2422" s="11" t="n">
        <x:v>1221</x:v>
      </x:c>
      <x:c r="C2422" s="18" t="n">
        <x:v>45717</x:v>
      </x:c>
      <x:c r="D2422" s="11" t="str">
        <x:v>2025-03</x:v>
      </x:c>
      <x:c r="E2422" s="11" t="str">
        <x:v>East</x:v>
      </x:c>
      <x:c r="F2422" s="11" t="str">
        <x:v>Furniture</x:v>
      </x:c>
      <x:c r="G2422" s="11" t="str">
        <x:v>Chair</x:v>
      </x:c>
      <x:c r="H2422" s="11" t="n">
        <x:v>3</x:v>
      </x:c>
      <x:c r="I2422" s="19" t="n">
        <x:v>0</x:v>
      </x:c>
      <x:c r="J2422" s="11" t="n">
        <x:v>0</x:v>
      </x:c>
      <x:c r="K2422" s="20" t="n">
        <x:v>510</x:v>
      </x:c>
      <x:c r="L2422" s="20" t="n">
        <x:v>0</x:v>
      </x:c>
      <x:c r="M2422" s="20" t="n">
        <x:v>330</x:v>
      </x:c>
      <x:c r="N2422" s="20" t="n">
        <x:f>IF(J2422=1,0,K2422-L2422)</x:f>
        <x:v>510</x:v>
      </x:c>
      <x:c r="O2422" s="20" t="n">
        <x:f>N2422-M2422</x:f>
        <x:v>180</x:v>
      </x:c>
    </x:row>
    <x:row r="2423" ht="22" customHeight="1">
      <x:c r="A2423" s="11" t="n">
        <x:v>2419</x:v>
      </x:c>
      <x:c r="B2423" s="11" t="n">
        <x:v>1221</x:v>
      </x:c>
      <x:c r="C2423" s="18" t="n">
        <x:v>45717</x:v>
      </x:c>
      <x:c r="D2423" s="11" t="str">
        <x:v>2025-03</x:v>
      </x:c>
      <x:c r="E2423" s="11" t="str">
        <x:v>East</x:v>
      </x:c>
      <x:c r="F2423" s="11" t="str">
        <x:v>Technology</x:v>
      </x:c>
      <x:c r="G2423" s="11" t="str">
        <x:v>Keyboard</x:v>
      </x:c>
      <x:c r="H2423" s="11" t="n">
        <x:v>4</x:v>
      </x:c>
      <x:c r="I2423" s="19" t="n">
        <x:v>0</x:v>
      </x:c>
      <x:c r="J2423" s="11" t="n">
        <x:v>0</x:v>
      </x:c>
      <x:c r="K2423" s="20" t="n">
        <x:v>260</x:v>
      </x:c>
      <x:c r="L2423" s="20" t="n">
        <x:v>0</x:v>
      </x:c>
      <x:c r="M2423" s="20" t="n">
        <x:v>128</x:v>
      </x:c>
      <x:c r="N2423" s="20" t="n">
        <x:f>IF(J2423=1,0,K2423-L2423)</x:f>
        <x:v>260</x:v>
      </x:c>
      <x:c r="O2423" s="20" t="n">
        <x:f>N2423-M2423</x:f>
        <x:v>132</x:v>
      </x:c>
    </x:row>
    <x:row r="2424" ht="22" customHeight="1">
      <x:c r="A2424" s="11" t="n">
        <x:v>2420</x:v>
      </x:c>
      <x:c r="B2424" s="11" t="n">
        <x:v>1222</x:v>
      </x:c>
      <x:c r="C2424" s="18" t="n">
        <x:v>45751</x:v>
      </x:c>
      <x:c r="D2424" s="11" t="str">
        <x:v>2025-04</x:v>
      </x:c>
      <x:c r="E2424" s="11" t="str">
        <x:v>South</x:v>
      </x:c>
      <x:c r="F2424" s="11" t="str">
        <x:v>Office Supplies</x:v>
      </x:c>
      <x:c r="G2424" s="11" t="str">
        <x:v>Storage box</x:v>
      </x:c>
      <x:c r="H2424" s="11" t="n">
        <x:v>1</x:v>
      </x:c>
      <x:c r="I2424" s="19" t="n">
        <x:v>0</x:v>
      </x:c>
      <x:c r="J2424" s="11" t="n">
        <x:v>0</x:v>
      </x:c>
      <x:c r="K2424" s="20" t="n">
        <x:v>26</x:v>
      </x:c>
      <x:c r="L2424" s="20" t="n">
        <x:v>0</x:v>
      </x:c>
      <x:c r="M2424" s="20" t="n">
        <x:v>12</x:v>
      </x:c>
      <x:c r="N2424" s="20" t="n">
        <x:f>IF(J2424=1,0,K2424-L2424)</x:f>
        <x:v>26</x:v>
      </x:c>
      <x:c r="O2424" s="20" t="n">
        <x:f>N2424-M2424</x:f>
        <x:v>14</x:v>
      </x:c>
    </x:row>
    <x:row r="2425" ht="22" customHeight="1">
      <x:c r="A2425" s="11" t="n">
        <x:v>2421</x:v>
      </x:c>
      <x:c r="B2425" s="11" t="n">
        <x:v>1223</x:v>
      </x:c>
      <x:c r="C2425" s="18" t="n">
        <x:v>45792</x:v>
      </x:c>
      <x:c r="D2425" s="11" t="str">
        <x:v>2025-05</x:v>
      </x:c>
      <x:c r="E2425" s="11" t="str">
        <x:v>Central</x:v>
      </x:c>
      <x:c r="F2425" s="11" t="str">
        <x:v>Technology</x:v>
      </x:c>
      <x:c r="G2425" s="11" t="str">
        <x:v>Monitor</x:v>
      </x:c>
      <x:c r="H2425" s="11" t="n">
        <x:v>4</x:v>
      </x:c>
      <x:c r="I2425" s="19" t="n">
        <x:v>0.05</x:v>
      </x:c>
      <x:c r="J2425" s="11" t="n">
        <x:v>0</x:v>
      </x:c>
      <x:c r="K2425" s="20" t="n">
        <x:v>960</x:v>
      </x:c>
      <x:c r="L2425" s="20" t="n">
        <x:v>48</x:v>
      </x:c>
      <x:c r="M2425" s="20" t="n">
        <x:v>640</x:v>
      </x:c>
      <x:c r="N2425" s="20" t="n">
        <x:f>IF(J2425=1,0,K2425-L2425)</x:f>
        <x:v>912</x:v>
      </x:c>
      <x:c r="O2425" s="20" t="n">
        <x:f>N2425-M2425</x:f>
        <x:v>272</x:v>
      </x:c>
    </x:row>
    <x:row r="2426" ht="22" customHeight="1">
      <x:c r="A2426" s="11" t="n">
        <x:v>2422</x:v>
      </x:c>
      <x:c r="B2426" s="11" t="n">
        <x:v>1223</x:v>
      </x:c>
      <x:c r="C2426" s="18" t="n">
        <x:v>45792</x:v>
      </x:c>
      <x:c r="D2426" s="11" t="str">
        <x:v>2025-05</x:v>
      </x:c>
      <x:c r="E2426" s="11" t="str">
        <x:v>Central</x:v>
      </x:c>
      <x:c r="F2426" s="11" t="str">
        <x:v>Furniture</x:v>
      </x:c>
      <x:c r="G2426" s="11" t="str">
        <x:v>Chair</x:v>
      </x:c>
      <x:c r="H2426" s="11" t="n">
        <x:v>3</x:v>
      </x:c>
      <x:c r="I2426" s="19" t="n">
        <x:v>0.1</x:v>
      </x:c>
      <x:c r="J2426" s="11" t="n">
        <x:v>0</x:v>
      </x:c>
      <x:c r="K2426" s="20" t="n">
        <x:v>510</x:v>
      </x:c>
      <x:c r="L2426" s="20" t="n">
        <x:v>51</x:v>
      </x:c>
      <x:c r="M2426" s="20" t="n">
        <x:v>330</x:v>
      </x:c>
      <x:c r="N2426" s="20" t="n">
        <x:f>IF(J2426=1,0,K2426-L2426)</x:f>
        <x:v>459</x:v>
      </x:c>
      <x:c r="O2426" s="20" t="n">
        <x:f>N2426-M2426</x:f>
        <x:v>129</x:v>
      </x:c>
    </x:row>
    <x:row r="2427" ht="22" customHeight="1">
      <x:c r="A2427" s="11" t="n">
        <x:v>2423</x:v>
      </x:c>
      <x:c r="B2427" s="11" t="n">
        <x:v>1223</x:v>
      </x:c>
      <x:c r="C2427" s="18" t="n">
        <x:v>45792</x:v>
      </x:c>
      <x:c r="D2427" s="11" t="str">
        <x:v>2025-05</x:v>
      </x:c>
      <x:c r="E2427" s="11" t="str">
        <x:v>Central</x:v>
      </x:c>
      <x:c r="F2427" s="11" t="str">
        <x:v>Office Supplies</x:v>
      </x:c>
      <x:c r="G2427" s="11" t="str">
        <x:v>Storage box</x:v>
      </x:c>
      <x:c r="H2427" s="11" t="n">
        <x:v>1</x:v>
      </x:c>
      <x:c r="I2427" s="19" t="n">
        <x:v>0.1</x:v>
      </x:c>
      <x:c r="J2427" s="11" t="n">
        <x:v>0</x:v>
      </x:c>
      <x:c r="K2427" s="20" t="n">
        <x:v>26</x:v>
      </x:c>
      <x:c r="L2427" s="20" t="n">
        <x:v>2.6</x:v>
      </x:c>
      <x:c r="M2427" s="20" t="n">
        <x:v>12</x:v>
      </x:c>
      <x:c r="N2427" s="20" t="n">
        <x:f>IF(J2427=1,0,K2427-L2427)</x:f>
        <x:v>23.4</x:v>
      </x:c>
      <x:c r="O2427" s="20" t="n">
        <x:f>N2427-M2427</x:f>
        <x:v>11.399999999999999</x:v>
      </x:c>
    </x:row>
    <x:row r="2428" ht="22" customHeight="1">
      <x:c r="A2428" s="11" t="n">
        <x:v>2424</x:v>
      </x:c>
      <x:c r="B2428" s="11" t="n">
        <x:v>1224</x:v>
      </x:c>
      <x:c r="C2428" s="18" t="n">
        <x:v>45498</x:v>
      </x:c>
      <x:c r="D2428" s="11" t="str">
        <x:v>2024-07</x:v>
      </x:c>
      <x:c r="E2428" s="11" t="str">
        <x:v>East</x:v>
      </x:c>
      <x:c r="F2428" s="11" t="str">
        <x:v>Furniture</x:v>
      </x:c>
      <x:c r="G2428" s="11" t="str">
        <x:v>Chair</x:v>
      </x:c>
      <x:c r="H2428" s="11" t="n">
        <x:v>5</x:v>
      </x:c>
      <x:c r="I2428" s="19" t="n">
        <x:v>0</x:v>
      </x:c>
      <x:c r="J2428" s="11" t="n">
        <x:v>0</x:v>
      </x:c>
      <x:c r="K2428" s="20" t="n">
        <x:v>850</x:v>
      </x:c>
      <x:c r="L2428" s="20" t="n">
        <x:v>0</x:v>
      </x:c>
      <x:c r="M2428" s="20" t="n">
        <x:v>550</x:v>
      </x:c>
      <x:c r="N2428" s="20" t="n">
        <x:f>IF(J2428=1,0,K2428-L2428)</x:f>
        <x:v>850</x:v>
      </x:c>
      <x:c r="O2428" s="20" t="n">
        <x:f>N2428-M2428</x:f>
        <x:v>300</x:v>
      </x:c>
    </x:row>
    <x:row r="2429" ht="22" customHeight="1">
      <x:c r="A2429" s="11" t="n">
        <x:v>2425</x:v>
      </x:c>
      <x:c r="B2429" s="11" t="n">
        <x:v>1225</x:v>
      </x:c>
      <x:c r="C2429" s="18" t="n">
        <x:v>45403</x:v>
      </x:c>
      <x:c r="D2429" s="11" t="str">
        <x:v>2024-04</x:v>
      </x:c>
      <x:c r="E2429" s="11" t="str">
        <x:v>Central</x:v>
      </x:c>
      <x:c r="F2429" s="11" t="str">
        <x:v>Technology</x:v>
      </x:c>
      <x:c r="G2429" s="11" t="str">
        <x:v>Keyboard</x:v>
      </x:c>
      <x:c r="H2429" s="11" t="n">
        <x:v>2</x:v>
      </x:c>
      <x:c r="I2429" s="19" t="n">
        <x:v>0</x:v>
      </x:c>
      <x:c r="J2429" s="11" t="n">
        <x:v>0</x:v>
      </x:c>
      <x:c r="K2429" s="20" t="n">
        <x:v>130</x:v>
      </x:c>
      <x:c r="L2429" s="20" t="n">
        <x:v>0</x:v>
      </x:c>
      <x:c r="M2429" s="20" t="n">
        <x:v>64</x:v>
      </x:c>
      <x:c r="N2429" s="20" t="n">
        <x:f>IF(J2429=1,0,K2429-L2429)</x:f>
        <x:v>130</x:v>
      </x:c>
      <x:c r="O2429" s="20" t="n">
        <x:f>N2429-M2429</x:f>
        <x:v>66</x:v>
      </x:c>
    </x:row>
    <x:row r="2430" ht="22" customHeight="1">
      <x:c r="A2430" s="11" t="n">
        <x:v>2426</x:v>
      </x:c>
      <x:c r="B2430" s="11" t="n">
        <x:v>1226</x:v>
      </x:c>
      <x:c r="C2430" s="18" t="n">
        <x:v>45361</x:v>
      </x:c>
      <x:c r="D2430" s="11" t="str">
        <x:v>2024-03</x:v>
      </x:c>
      <x:c r="E2430" s="11" t="str">
        <x:v>Central</x:v>
      </x:c>
      <x:c r="F2430" s="11" t="str">
        <x:v>Technology</x:v>
      </x:c>
      <x:c r="G2430" s="11" t="str">
        <x:v>Monitor</x:v>
      </x:c>
      <x:c r="H2430" s="11" t="n">
        <x:v>4</x:v>
      </x:c>
      <x:c r="I2430" s="19" t="n">
        <x:v>0.15</x:v>
      </x:c>
      <x:c r="J2430" s="11" t="n">
        <x:v>0</x:v>
      </x:c>
      <x:c r="K2430" s="20" t="n">
        <x:v>960</x:v>
      </x:c>
      <x:c r="L2430" s="20" t="n">
        <x:v>144</x:v>
      </x:c>
      <x:c r="M2430" s="20" t="n">
        <x:v>640</x:v>
      </x:c>
      <x:c r="N2430" s="20" t="n">
        <x:f>IF(J2430=1,0,K2430-L2430)</x:f>
        <x:v>816</x:v>
      </x:c>
      <x:c r="O2430" s="20" t="n">
        <x:f>N2430-M2430</x:f>
        <x:v>176</x:v>
      </x:c>
    </x:row>
    <x:row r="2431" ht="22" customHeight="1">
      <x:c r="A2431" s="11" t="n">
        <x:v>2427</x:v>
      </x:c>
      <x:c r="B2431" s="11" t="n">
        <x:v>1226</x:v>
      </x:c>
      <x:c r="C2431" s="18" t="n">
        <x:v>45361</x:v>
      </x:c>
      <x:c r="D2431" s="11" t="str">
        <x:v>2024-03</x:v>
      </x:c>
      <x:c r="E2431" s="11" t="str">
        <x:v>Central</x:v>
      </x:c>
      <x:c r="F2431" s="11" t="str">
        <x:v>Technology</x:v>
      </x:c>
      <x:c r="G2431" s="11" t="str">
        <x:v>Keyboard</x:v>
      </x:c>
      <x:c r="H2431" s="11" t="n">
        <x:v>5</x:v>
      </x:c>
      <x:c r="I2431" s="19" t="n">
        <x:v>0</x:v>
      </x:c>
      <x:c r="J2431" s="11" t="n">
        <x:v>0</x:v>
      </x:c>
      <x:c r="K2431" s="20" t="n">
        <x:v>325</x:v>
      </x:c>
      <x:c r="L2431" s="20" t="n">
        <x:v>0</x:v>
      </x:c>
      <x:c r="M2431" s="20" t="n">
        <x:v>160</x:v>
      </x:c>
      <x:c r="N2431" s="20" t="n">
        <x:f>IF(J2431=1,0,K2431-L2431)</x:f>
        <x:v>325</x:v>
      </x:c>
      <x:c r="O2431" s="20" t="n">
        <x:f>N2431-M2431</x:f>
        <x:v>165</x:v>
      </x:c>
    </x:row>
    <x:row r="2432" ht="22" customHeight="1">
      <x:c r="A2432" s="11" t="n">
        <x:v>2428</x:v>
      </x:c>
      <x:c r="B2432" s="11" t="n">
        <x:v>1226</x:v>
      </x:c>
      <x:c r="C2432" s="18" t="n">
        <x:v>45361</x:v>
      </x:c>
      <x:c r="D2432" s="11" t="str">
        <x:v>2024-03</x:v>
      </x:c>
      <x:c r="E2432" s="11" t="str">
        <x:v>Central</x:v>
      </x:c>
      <x:c r="F2432" s="11" t="str">
        <x:v>Furniture</x:v>
      </x:c>
      <x:c r="G2432" s="11" t="str">
        <x:v>Chair</x:v>
      </x:c>
      <x:c r="H2432" s="11" t="n">
        <x:v>3</x:v>
      </x:c>
      <x:c r="I2432" s="19" t="n">
        <x:v>0</x:v>
      </x:c>
      <x:c r="J2432" s="11" t="n">
        <x:v>0</x:v>
      </x:c>
      <x:c r="K2432" s="20" t="n">
        <x:v>510</x:v>
      </x:c>
      <x:c r="L2432" s="20" t="n">
        <x:v>0</x:v>
      </x:c>
      <x:c r="M2432" s="20" t="n">
        <x:v>330</x:v>
      </x:c>
      <x:c r="N2432" s="20" t="n">
        <x:f>IF(J2432=1,0,K2432-L2432)</x:f>
        <x:v>510</x:v>
      </x:c>
      <x:c r="O2432" s="20" t="n">
        <x:f>N2432-M2432</x:f>
        <x:v>180</x:v>
      </x:c>
    </x:row>
    <x:row r="2433" ht="22" customHeight="1">
      <x:c r="A2433" s="11" t="n">
        <x:v>2429</x:v>
      </x:c>
      <x:c r="B2433" s="11" t="n">
        <x:v>1227</x:v>
      </x:c>
      <x:c r="C2433" s="18" t="n">
        <x:v>45448</x:v>
      </x:c>
      <x:c r="D2433" s="11" t="str">
        <x:v>2024-06</x:v>
      </x:c>
      <x:c r="E2433" s="11" t="str">
        <x:v>East</x:v>
      </x:c>
      <x:c r="F2433" s="11" t="str">
        <x:v>Technology</x:v>
      </x:c>
      <x:c r="G2433" s="11" t="str">
        <x:v>Monitor</x:v>
      </x:c>
      <x:c r="H2433" s="11" t="n">
        <x:v>4</x:v>
      </x:c>
      <x:c r="I2433" s="19" t="n">
        <x:v>0</x:v>
      </x:c>
      <x:c r="J2433" s="11" t="n">
        <x:v>0</x:v>
      </x:c>
      <x:c r="K2433" s="20" t="n">
        <x:v>960</x:v>
      </x:c>
      <x:c r="L2433" s="20" t="n">
        <x:v>0</x:v>
      </x:c>
      <x:c r="M2433" s="20" t="n">
        <x:v>640</x:v>
      </x:c>
      <x:c r="N2433" s="20" t="n">
        <x:f>IF(J2433=1,0,K2433-L2433)</x:f>
        <x:v>960</x:v>
      </x:c>
      <x:c r="O2433" s="20" t="n">
        <x:f>N2433-M2433</x:f>
        <x:v>320</x:v>
      </x:c>
    </x:row>
    <x:row r="2434" ht="22" customHeight="1">
      <x:c r="A2434" s="11" t="n">
        <x:v>2430</x:v>
      </x:c>
      <x:c r="B2434" s="11" t="n">
        <x:v>1228</x:v>
      </x:c>
      <x:c r="C2434" s="18" t="n">
        <x:v>45349</x:v>
      </x:c>
      <x:c r="D2434" s="11" t="str">
        <x:v>2024-02</x:v>
      </x:c>
      <x:c r="E2434" s="11" t="str">
        <x:v>East</x:v>
      </x:c>
      <x:c r="F2434" s="11" t="str">
        <x:v>Technology</x:v>
      </x:c>
      <x:c r="G2434" s="11" t="str">
        <x:v>Monitor</x:v>
      </x:c>
      <x:c r="H2434" s="11" t="n">
        <x:v>5</x:v>
      </x:c>
      <x:c r="I2434" s="19" t="n">
        <x:v>0</x:v>
      </x:c>
      <x:c r="J2434" s="11" t="n">
        <x:v>0</x:v>
      </x:c>
      <x:c r="K2434" s="20" t="n">
        <x:v>1200</x:v>
      </x:c>
      <x:c r="L2434" s="20" t="n">
        <x:v>0</x:v>
      </x:c>
      <x:c r="M2434" s="20" t="n">
        <x:v>800</x:v>
      </x:c>
      <x:c r="N2434" s="20" t="n">
        <x:f>IF(J2434=1,0,K2434-L2434)</x:f>
        <x:v>1200</x:v>
      </x:c>
      <x:c r="O2434" s="20" t="n">
        <x:f>N2434-M2434</x:f>
        <x:v>400</x:v>
      </x:c>
    </x:row>
    <x:row r="2435" ht="22" customHeight="1">
      <x:c r="A2435" s="11" t="n">
        <x:v>2431</x:v>
      </x:c>
      <x:c r="B2435" s="11" t="n">
        <x:v>1229</x:v>
      </x:c>
      <x:c r="C2435" s="18" t="n">
        <x:v>45934</x:v>
      </x:c>
      <x:c r="D2435" s="11" t="str">
        <x:v>2025-10</x:v>
      </x:c>
      <x:c r="E2435" s="11" t="str">
        <x:v>East</x:v>
      </x:c>
      <x:c r="F2435" s="11" t="str">
        <x:v>Office Supplies</x:v>
      </x:c>
      <x:c r="G2435" s="11" t="str">
        <x:v>Storage box</x:v>
      </x:c>
      <x:c r="H2435" s="11" t="n">
        <x:v>4</x:v>
      </x:c>
      <x:c r="I2435" s="19" t="n">
        <x:v>0</x:v>
      </x:c>
      <x:c r="J2435" s="11" t="n">
        <x:v>0</x:v>
      </x:c>
      <x:c r="K2435" s="20" t="n">
        <x:v>104</x:v>
      </x:c>
      <x:c r="L2435" s="20" t="n">
        <x:v>0</x:v>
      </x:c>
      <x:c r="M2435" s="20" t="n">
        <x:v>48</x:v>
      </x:c>
      <x:c r="N2435" s="20" t="n">
        <x:f>IF(J2435=1,0,K2435-L2435)</x:f>
        <x:v>104</x:v>
      </x:c>
      <x:c r="O2435" s="20" t="n">
        <x:f>N2435-M2435</x:f>
        <x:v>56</x:v>
      </x:c>
    </x:row>
    <x:row r="2436" ht="22" customHeight="1">
      <x:c r="A2436" s="11" t="n">
        <x:v>2432</x:v>
      </x:c>
      <x:c r="B2436" s="11" t="n">
        <x:v>1229</x:v>
      </x:c>
      <x:c r="C2436" s="18" t="n">
        <x:v>45934</x:v>
      </x:c>
      <x:c r="D2436" s="11" t="str">
        <x:v>2025-10</x:v>
      </x:c>
      <x:c r="E2436" s="11" t="str">
        <x:v>East</x:v>
      </x:c>
      <x:c r="F2436" s="11" t="str">
        <x:v>Technology</x:v>
      </x:c>
      <x:c r="G2436" s="11" t="str">
        <x:v>Keyboard</x:v>
      </x:c>
      <x:c r="H2436" s="11" t="n">
        <x:v>5</x:v>
      </x:c>
      <x:c r="I2436" s="19" t="n">
        <x:v>0.15</x:v>
      </x:c>
      <x:c r="J2436" s="11" t="n">
        <x:v>0</x:v>
      </x:c>
      <x:c r="K2436" s="20" t="n">
        <x:v>325</x:v>
      </x:c>
      <x:c r="L2436" s="20" t="n">
        <x:v>48.75</x:v>
      </x:c>
      <x:c r="M2436" s="20" t="n">
        <x:v>160</x:v>
      </x:c>
      <x:c r="N2436" s="20" t="n">
        <x:f>IF(J2436=1,0,K2436-L2436)</x:f>
        <x:v>276.25</x:v>
      </x:c>
      <x:c r="O2436" s="20" t="n">
        <x:f>N2436-M2436</x:f>
        <x:v>116.25</x:v>
      </x:c>
    </x:row>
    <x:row r="2437" ht="22" customHeight="1">
      <x:c r="A2437" s="11" t="n">
        <x:v>2433</x:v>
      </x:c>
      <x:c r="B2437" s="11" t="n">
        <x:v>1229</x:v>
      </x:c>
      <x:c r="C2437" s="18" t="n">
        <x:v>45934</x:v>
      </x:c>
      <x:c r="D2437" s="11" t="str">
        <x:v>2025-10</x:v>
      </x:c>
      <x:c r="E2437" s="11" t="str">
        <x:v>East</x:v>
      </x:c>
      <x:c r="F2437" s="11" t="str">
        <x:v>Furniture</x:v>
      </x:c>
      <x:c r="G2437" s="11" t="str">
        <x:v>Desk</x:v>
      </x:c>
      <x:c r="H2437" s="11" t="n">
        <x:v>2</x:v>
      </x:c>
      <x:c r="I2437" s="19" t="n">
        <x:v>0</x:v>
      </x:c>
      <x:c r="J2437" s="11" t="n">
        <x:v>0</x:v>
      </x:c>
      <x:c r="K2437" s="20" t="n">
        <x:v>560</x:v>
      </x:c>
      <x:c r="L2437" s="20" t="n">
        <x:v>0</x:v>
      </x:c>
      <x:c r="M2437" s="20" t="n">
        <x:v>380</x:v>
      </x:c>
      <x:c r="N2437" s="20" t="n">
        <x:f>IF(J2437=1,0,K2437-L2437)</x:f>
        <x:v>560</x:v>
      </x:c>
      <x:c r="O2437" s="20" t="n">
        <x:f>N2437-M2437</x:f>
        <x:v>180</x:v>
      </x:c>
    </x:row>
    <x:row r="2438" ht="22" customHeight="1">
      <x:c r="A2438" s="11" t="n">
        <x:v>2434</x:v>
      </x:c>
      <x:c r="B2438" s="11" t="n">
        <x:v>1230</x:v>
      </x:c>
      <x:c r="C2438" s="18" t="n">
        <x:v>45617</x:v>
      </x:c>
      <x:c r="D2438" s="11" t="str">
        <x:v>2024-11</x:v>
      </x:c>
      <x:c r="E2438" s="11" t="str">
        <x:v>East</x:v>
      </x:c>
      <x:c r="F2438" s="11" t="str">
        <x:v>Furniture</x:v>
      </x:c>
      <x:c r="G2438" s="11" t="str">
        <x:v>Desk</x:v>
      </x:c>
      <x:c r="H2438" s="11" t="n">
        <x:v>5</x:v>
      </x:c>
      <x:c r="I2438" s="19" t="n">
        <x:v>0</x:v>
      </x:c>
      <x:c r="J2438" s="11" t="n">
        <x:v>0</x:v>
      </x:c>
      <x:c r="K2438" s="20" t="n">
        <x:v>1400</x:v>
      </x:c>
      <x:c r="L2438" s="20" t="n">
        <x:v>0</x:v>
      </x:c>
      <x:c r="M2438" s="20" t="n">
        <x:v>950</x:v>
      </x:c>
      <x:c r="N2438" s="20" t="n">
        <x:f>IF(J2438=1,0,K2438-L2438)</x:f>
        <x:v>1400</x:v>
      </x:c>
      <x:c r="O2438" s="20" t="n">
        <x:f>N2438-M2438</x:f>
        <x:v>450</x:v>
      </x:c>
    </x:row>
    <x:row r="2439" ht="22" customHeight="1">
      <x:c r="A2439" s="11" t="n">
        <x:v>2435</x:v>
      </x:c>
      <x:c r="B2439" s="11" t="n">
        <x:v>1230</x:v>
      </x:c>
      <x:c r="C2439" s="18" t="n">
        <x:v>45617</x:v>
      </x:c>
      <x:c r="D2439" s="11" t="str">
        <x:v>2024-11</x:v>
      </x:c>
      <x:c r="E2439" s="11" t="str">
        <x:v>East</x:v>
      </x:c>
      <x:c r="F2439" s="11" t="str">
        <x:v>Technology</x:v>
      </x:c>
      <x:c r="G2439" s="11" t="str">
        <x:v>Keyboard</x:v>
      </x:c>
      <x:c r="H2439" s="11" t="n">
        <x:v>3</x:v>
      </x:c>
      <x:c r="I2439" s="19" t="n">
        <x:v>0.05</x:v>
      </x:c>
      <x:c r="J2439" s="11" t="n">
        <x:v>1</x:v>
      </x:c>
      <x:c r="K2439" s="20" t="n">
        <x:v>195</x:v>
      </x:c>
      <x:c r="L2439" s="20" t="n">
        <x:v>9.75</x:v>
      </x:c>
      <x:c r="M2439" s="20" t="n">
        <x:v>0</x:v>
      </x:c>
      <x:c r="N2439" s="20" t="n">
        <x:f>IF(J2439=1,0,K2439-L2439)</x:f>
        <x:v>0</x:v>
      </x:c>
      <x:c r="O2439" s="20" t="n">
        <x:f>N2439-M2439</x:f>
        <x:v>0</x:v>
      </x:c>
    </x:row>
    <x:row r="2440" ht="22" customHeight="1">
      <x:c r="A2440" s="11" t="n">
        <x:v>2436</x:v>
      </x:c>
      <x:c r="B2440" s="11" t="n">
        <x:v>1230</x:v>
      </x:c>
      <x:c r="C2440" s="18" t="n">
        <x:v>45617</x:v>
      </x:c>
      <x:c r="D2440" s="11" t="str">
        <x:v>2024-11</x:v>
      </x:c>
      <x:c r="E2440" s="11" t="str">
        <x:v>East</x:v>
      </x:c>
      <x:c r="F2440" s="11" t="str">
        <x:v>Office Supplies</x:v>
      </x:c>
      <x:c r="G2440" s="11" t="str">
        <x:v>Storage box</x:v>
      </x:c>
      <x:c r="H2440" s="11" t="n">
        <x:v>1</x:v>
      </x:c>
      <x:c r="I2440" s="19" t="n">
        <x:v>0</x:v>
      </x:c>
      <x:c r="J2440" s="11" t="n">
        <x:v>1</x:v>
      </x:c>
      <x:c r="K2440" s="20" t="n">
        <x:v>26</x:v>
      </x:c>
      <x:c r="L2440" s="20" t="n">
        <x:v>0</x:v>
      </x:c>
      <x:c r="M2440" s="20" t="n">
        <x:v>0</x:v>
      </x:c>
      <x:c r="N2440" s="20" t="n">
        <x:f>IF(J2440=1,0,K2440-L2440)</x:f>
        <x:v>0</x:v>
      </x:c>
      <x:c r="O2440" s="20" t="n">
        <x:f>N2440-M2440</x:f>
        <x:v>0</x:v>
      </x:c>
    </x:row>
    <x:row r="2441" ht="22" customHeight="1">
      <x:c r="A2441" s="11" t="n">
        <x:v>2437</x:v>
      </x:c>
      <x:c r="B2441" s="11" t="n">
        <x:v>1231</x:v>
      </x:c>
      <x:c r="C2441" s="18" t="n">
        <x:v>45295</x:v>
      </x:c>
      <x:c r="D2441" s="11" t="str">
        <x:v>2024-01</x:v>
      </x:c>
      <x:c r="E2441" s="11" t="str">
        <x:v>South</x:v>
      </x:c>
      <x:c r="F2441" s="11" t="str">
        <x:v>Office Supplies</x:v>
      </x:c>
      <x:c r="G2441" s="11" t="str">
        <x:v>Notebook pack</x:v>
      </x:c>
      <x:c r="H2441" s="11" t="n">
        <x:v>2</x:v>
      </x:c>
      <x:c r="I2441" s="19" t="n">
        <x:v>0</x:v>
      </x:c>
      <x:c r="J2441" s="11" t="n">
        <x:v>0</x:v>
      </x:c>
      <x:c r="K2441" s="20" t="n">
        <x:v>36</x:v>
      </x:c>
      <x:c r="L2441" s="20" t="n">
        <x:v>0</x:v>
      </x:c>
      <x:c r="M2441" s="20" t="n">
        <x:v>14</x:v>
      </x:c>
      <x:c r="N2441" s="20" t="n">
        <x:f>IF(J2441=1,0,K2441-L2441)</x:f>
        <x:v>36</x:v>
      </x:c>
      <x:c r="O2441" s="20" t="n">
        <x:f>N2441-M2441</x:f>
        <x:v>22</x:v>
      </x:c>
    </x:row>
    <x:row r="2442" ht="22" customHeight="1">
      <x:c r="A2442" s="11" t="n">
        <x:v>2438</x:v>
      </x:c>
      <x:c r="B2442" s="11" t="n">
        <x:v>1231</x:v>
      </x:c>
      <x:c r="C2442" s="18" t="n">
        <x:v>45295</x:v>
      </x:c>
      <x:c r="D2442" s="11" t="str">
        <x:v>2024-01</x:v>
      </x:c>
      <x:c r="E2442" s="11" t="str">
        <x:v>South</x:v>
      </x:c>
      <x:c r="F2442" s="11" t="str">
        <x:v>Furniture</x:v>
      </x:c>
      <x:c r="G2442" s="11" t="str">
        <x:v>Desk</x:v>
      </x:c>
      <x:c r="H2442" s="11" t="n">
        <x:v>1</x:v>
      </x:c>
      <x:c r="I2442" s="19" t="n">
        <x:v>0</x:v>
      </x:c>
      <x:c r="J2442" s="11" t="n">
        <x:v>0</x:v>
      </x:c>
      <x:c r="K2442" s="20" t="n">
        <x:v>280</x:v>
      </x:c>
      <x:c r="L2442" s="20" t="n">
        <x:v>0</x:v>
      </x:c>
      <x:c r="M2442" s="20" t="n">
        <x:v>190</x:v>
      </x:c>
      <x:c r="N2442" s="20" t="n">
        <x:f>IF(J2442=1,0,K2442-L2442)</x:f>
        <x:v>280</x:v>
      </x:c>
      <x:c r="O2442" s="20" t="n">
        <x:f>N2442-M2442</x:f>
        <x:v>90</x:v>
      </x:c>
    </x:row>
    <x:row r="2443" ht="22" customHeight="1">
      <x:c r="A2443" s="11" t="n">
        <x:v>2439</x:v>
      </x:c>
      <x:c r="B2443" s="11" t="n">
        <x:v>1232</x:v>
      </x:c>
      <x:c r="C2443" s="18" t="n">
        <x:v>45779</x:v>
      </x:c>
      <x:c r="D2443" s="11" t="str">
        <x:v>2025-05</x:v>
      </x:c>
      <x:c r="E2443" s="11" t="str">
        <x:v>Central</x:v>
      </x:c>
      <x:c r="F2443" s="11" t="str">
        <x:v>Office Supplies</x:v>
      </x:c>
      <x:c r="G2443" s="11" t="str">
        <x:v>Storage box</x:v>
      </x:c>
      <x:c r="H2443" s="11" t="n">
        <x:v>4</x:v>
      </x:c>
      <x:c r="I2443" s="19" t="n">
        <x:v>0.1</x:v>
      </x:c>
      <x:c r="J2443" s="11" t="n">
        <x:v>0</x:v>
      </x:c>
      <x:c r="K2443" s="20" t="n">
        <x:v>104</x:v>
      </x:c>
      <x:c r="L2443" s="20" t="n">
        <x:v>10.4</x:v>
      </x:c>
      <x:c r="M2443" s="20" t="n">
        <x:v>48</x:v>
      </x:c>
      <x:c r="N2443" s="20" t="n">
        <x:f>IF(J2443=1,0,K2443-L2443)</x:f>
        <x:v>93.6</x:v>
      </x:c>
      <x:c r="O2443" s="20" t="n">
        <x:f>N2443-M2443</x:f>
        <x:v>45.599999999999994</x:v>
      </x:c>
    </x:row>
    <x:row r="2444" ht="22" customHeight="1">
      <x:c r="A2444" s="11" t="n">
        <x:v>2440</x:v>
      </x:c>
      <x:c r="B2444" s="11" t="n">
        <x:v>1232</x:v>
      </x:c>
      <x:c r="C2444" s="18" t="n">
        <x:v>45779</x:v>
      </x:c>
      <x:c r="D2444" s="11" t="str">
        <x:v>2025-05</x:v>
      </x:c>
      <x:c r="E2444" s="11" t="str">
        <x:v>Central</x:v>
      </x:c>
      <x:c r="F2444" s="11" t="str">
        <x:v>Office Supplies</x:v>
      </x:c>
      <x:c r="G2444" s="11" t="str">
        <x:v>Notebook pack</x:v>
      </x:c>
      <x:c r="H2444" s="11" t="n">
        <x:v>2</x:v>
      </x:c>
      <x:c r="I2444" s="19" t="n">
        <x:v>0.1</x:v>
      </x:c>
      <x:c r="J2444" s="11" t="n">
        <x:v>0</x:v>
      </x:c>
      <x:c r="K2444" s="20" t="n">
        <x:v>36</x:v>
      </x:c>
      <x:c r="L2444" s="20" t="n">
        <x:v>3.6</x:v>
      </x:c>
      <x:c r="M2444" s="20" t="n">
        <x:v>14</x:v>
      </x:c>
      <x:c r="N2444" s="20" t="n">
        <x:f>IF(J2444=1,0,K2444-L2444)</x:f>
        <x:v>32.4</x:v>
      </x:c>
      <x:c r="O2444" s="20" t="n">
        <x:f>N2444-M2444</x:f>
        <x:v>18.4</x:v>
      </x:c>
    </x:row>
    <x:row r="2445" ht="22" customHeight="1">
      <x:c r="A2445" s="11" t="n">
        <x:v>2441</x:v>
      </x:c>
      <x:c r="B2445" s="11" t="n">
        <x:v>1233</x:v>
      </x:c>
      <x:c r="C2445" s="18" t="n">
        <x:v>45645</x:v>
      </x:c>
      <x:c r="D2445" s="11" t="str">
        <x:v>2024-12</x:v>
      </x:c>
      <x:c r="E2445" s="11" t="str">
        <x:v>Central</x:v>
      </x:c>
      <x:c r="F2445" s="11" t="str">
        <x:v>Furniture</x:v>
      </x:c>
      <x:c r="G2445" s="11" t="str">
        <x:v>Chair</x:v>
      </x:c>
      <x:c r="H2445" s="11" t="n">
        <x:v>5</x:v>
      </x:c>
      <x:c r="I2445" s="19" t="n">
        <x:v>0.15</x:v>
      </x:c>
      <x:c r="J2445" s="11" t="n">
        <x:v>0</x:v>
      </x:c>
      <x:c r="K2445" s="20" t="n">
        <x:v>850</x:v>
      </x:c>
      <x:c r="L2445" s="20" t="n">
        <x:v>127.5</x:v>
      </x:c>
      <x:c r="M2445" s="20" t="n">
        <x:v>550</x:v>
      </x:c>
      <x:c r="N2445" s="20" t="n">
        <x:f>IF(J2445=1,0,K2445-L2445)</x:f>
        <x:v>722.5</x:v>
      </x:c>
      <x:c r="O2445" s="20" t="n">
        <x:f>N2445-M2445</x:f>
        <x:v>172.5</x:v>
      </x:c>
    </x:row>
    <x:row r="2446" ht="22" customHeight="1">
      <x:c r="A2446" s="11" t="n">
        <x:v>2442</x:v>
      </x:c>
      <x:c r="B2446" s="11" t="n">
        <x:v>1233</x:v>
      </x:c>
      <x:c r="C2446" s="18" t="n">
        <x:v>45645</x:v>
      </x:c>
      <x:c r="D2446" s="11" t="str">
        <x:v>2024-12</x:v>
      </x:c>
      <x:c r="E2446" s="11" t="str">
        <x:v>Central</x:v>
      </x:c>
      <x:c r="F2446" s="11" t="str">
        <x:v>Technology</x:v>
      </x:c>
      <x:c r="G2446" s="11" t="str">
        <x:v>Keyboard</x:v>
      </x:c>
      <x:c r="H2446" s="11" t="n">
        <x:v>3</x:v>
      </x:c>
      <x:c r="I2446" s="19" t="n">
        <x:v>0</x:v>
      </x:c>
      <x:c r="J2446" s="11" t="n">
        <x:v>0</x:v>
      </x:c>
      <x:c r="K2446" s="20" t="n">
        <x:v>195</x:v>
      </x:c>
      <x:c r="L2446" s="20" t="n">
        <x:v>0</x:v>
      </x:c>
      <x:c r="M2446" s="20" t="n">
        <x:v>96</x:v>
      </x:c>
      <x:c r="N2446" s="20" t="n">
        <x:f>IF(J2446=1,0,K2446-L2446)</x:f>
        <x:v>195</x:v>
      </x:c>
      <x:c r="O2446" s="20" t="n">
        <x:f>N2446-M2446</x:f>
        <x:v>99</x:v>
      </x:c>
    </x:row>
    <x:row r="2447" ht="22" customHeight="1">
      <x:c r="A2447" s="11" t="n">
        <x:v>2443</x:v>
      </x:c>
      <x:c r="B2447" s="11" t="n">
        <x:v>1234</x:v>
      </x:c>
      <x:c r="C2447" s="18" t="n">
        <x:v>45689</x:v>
      </x:c>
      <x:c r="D2447" s="11" t="str">
        <x:v>2025-02</x:v>
      </x:c>
      <x:c r="E2447" s="11" t="str">
        <x:v>West</x:v>
      </x:c>
      <x:c r="F2447" s="11" t="str">
        <x:v>Office Supplies</x:v>
      </x:c>
      <x:c r="G2447" s="11" t="str">
        <x:v>Storage box</x:v>
      </x:c>
      <x:c r="H2447" s="11" t="n">
        <x:v>4</x:v>
      </x:c>
      <x:c r="I2447" s="19" t="n">
        <x:v>0.05</x:v>
      </x:c>
      <x:c r="J2447" s="11" t="n">
        <x:v>0</x:v>
      </x:c>
      <x:c r="K2447" s="20" t="n">
        <x:v>104</x:v>
      </x:c>
      <x:c r="L2447" s="20" t="n">
        <x:v>5.2</x:v>
      </x:c>
      <x:c r="M2447" s="20" t="n">
        <x:v>48</x:v>
      </x:c>
      <x:c r="N2447" s="20" t="n">
        <x:f>IF(J2447=1,0,K2447-L2447)</x:f>
        <x:v>98.8</x:v>
      </x:c>
      <x:c r="O2447" s="20" t="n">
        <x:f>N2447-M2447</x:f>
        <x:v>50.8</x:v>
      </x:c>
    </x:row>
    <x:row r="2448" ht="22" customHeight="1">
      <x:c r="A2448" s="11" t="n">
        <x:v>2444</x:v>
      </x:c>
      <x:c r="B2448" s="11" t="n">
        <x:v>1234</x:v>
      </x:c>
      <x:c r="C2448" s="18" t="n">
        <x:v>45689</x:v>
      </x:c>
      <x:c r="D2448" s="11" t="str">
        <x:v>2025-02</x:v>
      </x:c>
      <x:c r="E2448" s="11" t="str">
        <x:v>West</x:v>
      </x:c>
      <x:c r="F2448" s="11" t="str">
        <x:v>Furniture</x:v>
      </x:c>
      <x:c r="G2448" s="11" t="str">
        <x:v>Desk</x:v>
      </x:c>
      <x:c r="H2448" s="11" t="n">
        <x:v>4</x:v>
      </x:c>
      <x:c r="I2448" s="19" t="n">
        <x:v>0.25</x:v>
      </x:c>
      <x:c r="J2448" s="11" t="n">
        <x:v>0</x:v>
      </x:c>
      <x:c r="K2448" s="20" t="n">
        <x:v>1120</x:v>
      </x:c>
      <x:c r="L2448" s="20" t="n">
        <x:v>280</x:v>
      </x:c>
      <x:c r="M2448" s="20" t="n">
        <x:v>760</x:v>
      </x:c>
      <x:c r="N2448" s="20" t="n">
        <x:f>IF(J2448=1,0,K2448-L2448)</x:f>
        <x:v>840</x:v>
      </x:c>
      <x:c r="O2448" s="20" t="n">
        <x:f>N2448-M2448</x:f>
        <x:v>80</x:v>
      </x:c>
    </x:row>
    <x:row r="2449" ht="22" customHeight="1">
      <x:c r="A2449" s="11" t="n">
        <x:v>2445</x:v>
      </x:c>
      <x:c r="B2449" s="11" t="n">
        <x:v>1235</x:v>
      </x:c>
      <x:c r="C2449" s="18" t="n">
        <x:v>45846</x:v>
      </x:c>
      <x:c r="D2449" s="11" t="str">
        <x:v>2025-07</x:v>
      </x:c>
      <x:c r="E2449" s="11" t="str">
        <x:v>Central</x:v>
      </x:c>
      <x:c r="F2449" s="11" t="str">
        <x:v>Office Supplies</x:v>
      </x:c>
      <x:c r="G2449" s="11" t="str">
        <x:v>Storage box</x:v>
      </x:c>
      <x:c r="H2449" s="11" t="n">
        <x:v>3</x:v>
      </x:c>
      <x:c r="I2449" s="19" t="n">
        <x:v>0</x:v>
      </x:c>
      <x:c r="J2449" s="11" t="n">
        <x:v>0</x:v>
      </x:c>
      <x:c r="K2449" s="20" t="n">
        <x:v>78</x:v>
      </x:c>
      <x:c r="L2449" s="20" t="n">
        <x:v>0</x:v>
      </x:c>
      <x:c r="M2449" s="20" t="n">
        <x:v>36</x:v>
      </x:c>
      <x:c r="N2449" s="20" t="n">
        <x:f>IF(J2449=1,0,K2449-L2449)</x:f>
        <x:v>78</x:v>
      </x:c>
      <x:c r="O2449" s="20" t="n">
        <x:f>N2449-M2449</x:f>
        <x:v>42</x:v>
      </x:c>
    </x:row>
    <x:row r="2450" ht="22" customHeight="1">
      <x:c r="A2450" s="11" t="n">
        <x:v>2446</x:v>
      </x:c>
      <x:c r="B2450" s="11" t="n">
        <x:v>1236</x:v>
      </x:c>
      <x:c r="C2450" s="18" t="n">
        <x:v>45723</x:v>
      </x:c>
      <x:c r="D2450" s="11" t="str">
        <x:v>2025-03</x:v>
      </x:c>
      <x:c r="E2450" s="11" t="str">
        <x:v>South</x:v>
      </x:c>
      <x:c r="F2450" s="11" t="str">
        <x:v>Technology</x:v>
      </x:c>
      <x:c r="G2450" s="11" t="str">
        <x:v>Keyboard</x:v>
      </x:c>
      <x:c r="H2450" s="11" t="n">
        <x:v>4</x:v>
      </x:c>
      <x:c r="I2450" s="19" t="n">
        <x:v>0.05</x:v>
      </x:c>
      <x:c r="J2450" s="11" t="n">
        <x:v>0</x:v>
      </x:c>
      <x:c r="K2450" s="20" t="n">
        <x:v>260</x:v>
      </x:c>
      <x:c r="L2450" s="20" t="n">
        <x:v>13</x:v>
      </x:c>
      <x:c r="M2450" s="20" t="n">
        <x:v>128</x:v>
      </x:c>
      <x:c r="N2450" s="20" t="n">
        <x:f>IF(J2450=1,0,K2450-L2450)</x:f>
        <x:v>247</x:v>
      </x:c>
      <x:c r="O2450" s="20" t="n">
        <x:f>N2450-M2450</x:f>
        <x:v>119</x:v>
      </x:c>
    </x:row>
    <x:row r="2451" ht="22" customHeight="1">
      <x:c r="A2451" s="11" t="n">
        <x:v>2447</x:v>
      </x:c>
      <x:c r="B2451" s="11" t="n">
        <x:v>1236</x:v>
      </x:c>
      <x:c r="C2451" s="18" t="n">
        <x:v>45723</x:v>
      </x:c>
      <x:c r="D2451" s="11" t="str">
        <x:v>2025-03</x:v>
      </x:c>
      <x:c r="E2451" s="11" t="str">
        <x:v>South</x:v>
      </x:c>
      <x:c r="F2451" s="11" t="str">
        <x:v>Office Supplies</x:v>
      </x:c>
      <x:c r="G2451" s="11" t="str">
        <x:v>Storage box</x:v>
      </x:c>
      <x:c r="H2451" s="11" t="n">
        <x:v>4</x:v>
      </x:c>
      <x:c r="I2451" s="19" t="n">
        <x:v>0</x:v>
      </x:c>
      <x:c r="J2451" s="11" t="n">
        <x:v>0</x:v>
      </x:c>
      <x:c r="K2451" s="20" t="n">
        <x:v>104</x:v>
      </x:c>
      <x:c r="L2451" s="20" t="n">
        <x:v>0</x:v>
      </x:c>
      <x:c r="M2451" s="20" t="n">
        <x:v>48</x:v>
      </x:c>
      <x:c r="N2451" s="20" t="n">
        <x:f>IF(J2451=1,0,K2451-L2451)</x:f>
        <x:v>104</x:v>
      </x:c>
      <x:c r="O2451" s="20" t="n">
        <x:f>N2451-M2451</x:f>
        <x:v>56</x:v>
      </x:c>
    </x:row>
    <x:row r="2452" ht="22" customHeight="1">
      <x:c r="A2452" s="11" t="n">
        <x:v>2448</x:v>
      </x:c>
      <x:c r="B2452" s="11" t="n">
        <x:v>1236</x:v>
      </x:c>
      <x:c r="C2452" s="18" t="n">
        <x:v>45723</x:v>
      </x:c>
      <x:c r="D2452" s="11" t="str">
        <x:v>2025-03</x:v>
      </x:c>
      <x:c r="E2452" s="11" t="str">
        <x:v>South</x:v>
      </x:c>
      <x:c r="F2452" s="11" t="str">
        <x:v>Office Supplies</x:v>
      </x:c>
      <x:c r="G2452" s="11" t="str">
        <x:v>Notebook pack</x:v>
      </x:c>
      <x:c r="H2452" s="11" t="n">
        <x:v>2</x:v>
      </x:c>
      <x:c r="I2452" s="19" t="n">
        <x:v>0</x:v>
      </x:c>
      <x:c r="J2452" s="11" t="n">
        <x:v>0</x:v>
      </x:c>
      <x:c r="K2452" s="20" t="n">
        <x:v>36</x:v>
      </x:c>
      <x:c r="L2452" s="20" t="n">
        <x:v>0</x:v>
      </x:c>
      <x:c r="M2452" s="20" t="n">
        <x:v>14</x:v>
      </x:c>
      <x:c r="N2452" s="20" t="n">
        <x:f>IF(J2452=1,0,K2452-L2452)</x:f>
        <x:v>36</x:v>
      </x:c>
      <x:c r="O2452" s="20" t="n">
        <x:f>N2452-M2452</x:f>
        <x:v>22</x:v>
      </x:c>
    </x:row>
    <x:row r="2453" ht="22" customHeight="1">
      <x:c r="A2453" s="11" t="n">
        <x:v>2449</x:v>
      </x:c>
      <x:c r="B2453" s="11" t="n">
        <x:v>1237</x:v>
      </x:c>
      <x:c r="C2453" s="18" t="n">
        <x:v>45487</x:v>
      </x:c>
      <x:c r="D2453" s="11" t="str">
        <x:v>2024-07</x:v>
      </x:c>
      <x:c r="E2453" s="11" t="str">
        <x:v>East</x:v>
      </x:c>
      <x:c r="F2453" s="11" t="str">
        <x:v>Office Supplies</x:v>
      </x:c>
      <x:c r="G2453" s="11" t="str">
        <x:v>Storage box</x:v>
      </x:c>
      <x:c r="H2453" s="11" t="n">
        <x:v>4</x:v>
      </x:c>
      <x:c r="I2453" s="19" t="n">
        <x:v>0.15</x:v>
      </x:c>
      <x:c r="J2453" s="11" t="n">
        <x:v>0</x:v>
      </x:c>
      <x:c r="K2453" s="20" t="n">
        <x:v>104</x:v>
      </x:c>
      <x:c r="L2453" s="20" t="n">
        <x:v>15.6</x:v>
      </x:c>
      <x:c r="M2453" s="20" t="n">
        <x:v>48</x:v>
      </x:c>
      <x:c r="N2453" s="20" t="n">
        <x:f>IF(J2453=1,0,K2453-L2453)</x:f>
        <x:v>88.4</x:v>
      </x:c>
      <x:c r="O2453" s="20" t="n">
        <x:f>N2453-M2453</x:f>
        <x:v>40.400000000000006</x:v>
      </x:c>
    </x:row>
    <x:row r="2454" ht="22" customHeight="1">
      <x:c r="A2454" s="11" t="n">
        <x:v>2450</x:v>
      </x:c>
      <x:c r="B2454" s="11" t="n">
        <x:v>1237</x:v>
      </x:c>
      <x:c r="C2454" s="18" t="n">
        <x:v>45487</x:v>
      </x:c>
      <x:c r="D2454" s="11" t="str">
        <x:v>2024-07</x:v>
      </x:c>
      <x:c r="E2454" s="11" t="str">
        <x:v>East</x:v>
      </x:c>
      <x:c r="F2454" s="11" t="str">
        <x:v>Office Supplies</x:v>
      </x:c>
      <x:c r="G2454" s="11" t="str">
        <x:v>Notebook pack</x:v>
      </x:c>
      <x:c r="H2454" s="11" t="n">
        <x:v>4</x:v>
      </x:c>
      <x:c r="I2454" s="19" t="n">
        <x:v>0.05</x:v>
      </x:c>
      <x:c r="J2454" s="11" t="n">
        <x:v>0</x:v>
      </x:c>
      <x:c r="K2454" s="20" t="n">
        <x:v>72</x:v>
      </x:c>
      <x:c r="L2454" s="20" t="n">
        <x:v>3.6</x:v>
      </x:c>
      <x:c r="M2454" s="20" t="n">
        <x:v>28</x:v>
      </x:c>
      <x:c r="N2454" s="20" t="n">
        <x:f>IF(J2454=1,0,K2454-L2454)</x:f>
        <x:v>68.4</x:v>
      </x:c>
      <x:c r="O2454" s="20" t="n">
        <x:f>N2454-M2454</x:f>
        <x:v>40.400000000000006</x:v>
      </x:c>
    </x:row>
    <x:row r="2455" ht="22" customHeight="1">
      <x:c r="A2455" s="11" t="n">
        <x:v>2451</x:v>
      </x:c>
      <x:c r="B2455" s="11" t="n">
        <x:v>1237</x:v>
      </x:c>
      <x:c r="C2455" s="18" t="n">
        <x:v>45487</x:v>
      </x:c>
      <x:c r="D2455" s="11" t="str">
        <x:v>2024-07</x:v>
      </x:c>
      <x:c r="E2455" s="11" t="str">
        <x:v>East</x:v>
      </x:c>
      <x:c r="F2455" s="11" t="str">
        <x:v>Technology</x:v>
      </x:c>
      <x:c r="G2455" s="11" t="str">
        <x:v>Monitor</x:v>
      </x:c>
      <x:c r="H2455" s="11" t="n">
        <x:v>2</x:v>
      </x:c>
      <x:c r="I2455" s="19" t="n">
        <x:v>0.1</x:v>
      </x:c>
      <x:c r="J2455" s="11" t="n">
        <x:v>0</x:v>
      </x:c>
      <x:c r="K2455" s="20" t="n">
        <x:v>480</x:v>
      </x:c>
      <x:c r="L2455" s="20" t="n">
        <x:v>48</x:v>
      </x:c>
      <x:c r="M2455" s="20" t="n">
        <x:v>320</x:v>
      </x:c>
      <x:c r="N2455" s="20" t="n">
        <x:f>IF(J2455=1,0,K2455-L2455)</x:f>
        <x:v>432</x:v>
      </x:c>
      <x:c r="O2455" s="20" t="n">
        <x:f>N2455-M2455</x:f>
        <x:v>112</x:v>
      </x:c>
    </x:row>
    <x:row r="2456" ht="22" customHeight="1">
      <x:c r="A2456" s="11" t="n">
        <x:v>2452</x:v>
      </x:c>
      <x:c r="B2456" s="11" t="n">
        <x:v>1238</x:v>
      </x:c>
      <x:c r="C2456" s="18" t="n">
        <x:v>45403</x:v>
      </x:c>
      <x:c r="D2456" s="11" t="str">
        <x:v>2024-04</x:v>
      </x:c>
      <x:c r="E2456" s="11" t="str">
        <x:v>East</x:v>
      </x:c>
      <x:c r="F2456" s="11" t="str">
        <x:v>Office Supplies</x:v>
      </x:c>
      <x:c r="G2456" s="11" t="str">
        <x:v>Notebook pack</x:v>
      </x:c>
      <x:c r="H2456" s="11" t="n">
        <x:v>1</x:v>
      </x:c>
      <x:c r="I2456" s="19" t="n">
        <x:v>0</x:v>
      </x:c>
      <x:c r="J2456" s="11" t="n">
        <x:v>0</x:v>
      </x:c>
      <x:c r="K2456" s="20" t="n">
        <x:v>18</x:v>
      </x:c>
      <x:c r="L2456" s="20" t="n">
        <x:v>0</x:v>
      </x:c>
      <x:c r="M2456" s="20" t="n">
        <x:v>7</x:v>
      </x:c>
      <x:c r="N2456" s="20" t="n">
        <x:f>IF(J2456=1,0,K2456-L2456)</x:f>
        <x:v>18</x:v>
      </x:c>
      <x:c r="O2456" s="20" t="n">
        <x:f>N2456-M2456</x:f>
        <x:v>11</x:v>
      </x:c>
    </x:row>
    <x:row r="2457" ht="22" customHeight="1">
      <x:c r="A2457" s="11" t="n">
        <x:v>2453</x:v>
      </x:c>
      <x:c r="B2457" s="11" t="n">
        <x:v>1238</x:v>
      </x:c>
      <x:c r="C2457" s="18" t="n">
        <x:v>45403</x:v>
      </x:c>
      <x:c r="D2457" s="11" t="str">
        <x:v>2024-04</x:v>
      </x:c>
      <x:c r="E2457" s="11" t="str">
        <x:v>East</x:v>
      </x:c>
      <x:c r="F2457" s="11" t="str">
        <x:v>Technology</x:v>
      </x:c>
      <x:c r="G2457" s="11" t="str">
        <x:v>Keyboard</x:v>
      </x:c>
      <x:c r="H2457" s="11" t="n">
        <x:v>5</x:v>
      </x:c>
      <x:c r="I2457" s="19" t="n">
        <x:v>0</x:v>
      </x:c>
      <x:c r="J2457" s="11" t="n">
        <x:v>0</x:v>
      </x:c>
      <x:c r="K2457" s="20" t="n">
        <x:v>325</x:v>
      </x:c>
      <x:c r="L2457" s="20" t="n">
        <x:v>0</x:v>
      </x:c>
      <x:c r="M2457" s="20" t="n">
        <x:v>160</x:v>
      </x:c>
      <x:c r="N2457" s="20" t="n">
        <x:f>IF(J2457=1,0,K2457-L2457)</x:f>
        <x:v>325</x:v>
      </x:c>
      <x:c r="O2457" s="20" t="n">
        <x:f>N2457-M2457</x:f>
        <x:v>165</x:v>
      </x:c>
    </x:row>
    <x:row r="2458" ht="22" customHeight="1">
      <x:c r="A2458" s="11" t="n">
        <x:v>2454</x:v>
      </x:c>
      <x:c r="B2458" s="11" t="n">
        <x:v>1239</x:v>
      </x:c>
      <x:c r="C2458" s="18" t="n">
        <x:v>45821</x:v>
      </x:c>
      <x:c r="D2458" s="11" t="str">
        <x:v>2025-06</x:v>
      </x:c>
      <x:c r="E2458" s="11" t="str">
        <x:v>West</x:v>
      </x:c>
      <x:c r="F2458" s="11" t="str">
        <x:v>Furniture</x:v>
      </x:c>
      <x:c r="G2458" s="11" t="str">
        <x:v>Desk</x:v>
      </x:c>
      <x:c r="H2458" s="11" t="n">
        <x:v>4</x:v>
      </x:c>
      <x:c r="I2458" s="19" t="n">
        <x:v>0</x:v>
      </x:c>
      <x:c r="J2458" s="11" t="n">
        <x:v>0</x:v>
      </x:c>
      <x:c r="K2458" s="20" t="n">
        <x:v>1120</x:v>
      </x:c>
      <x:c r="L2458" s="20" t="n">
        <x:v>0</x:v>
      </x:c>
      <x:c r="M2458" s="20" t="n">
        <x:v>760</x:v>
      </x:c>
      <x:c r="N2458" s="20" t="n">
        <x:f>IF(J2458=1,0,K2458-L2458)</x:f>
        <x:v>1120</x:v>
      </x:c>
      <x:c r="O2458" s="20" t="n">
        <x:f>N2458-M2458</x:f>
        <x:v>360</x:v>
      </x:c>
    </x:row>
    <x:row r="2459" ht="22" customHeight="1">
      <x:c r="A2459" s="11" t="n">
        <x:v>2455</x:v>
      </x:c>
      <x:c r="B2459" s="11" t="n">
        <x:v>1239</x:v>
      </x:c>
      <x:c r="C2459" s="18" t="n">
        <x:v>45821</x:v>
      </x:c>
      <x:c r="D2459" s="11" t="str">
        <x:v>2025-06</x:v>
      </x:c>
      <x:c r="E2459" s="11" t="str">
        <x:v>West</x:v>
      </x:c>
      <x:c r="F2459" s="11" t="str">
        <x:v>Furniture</x:v>
      </x:c>
      <x:c r="G2459" s="11" t="str">
        <x:v>Chair</x:v>
      </x:c>
      <x:c r="H2459" s="11" t="n">
        <x:v>5</x:v>
      </x:c>
      <x:c r="I2459" s="19" t="n">
        <x:v>0</x:v>
      </x:c>
      <x:c r="J2459" s="11" t="n">
        <x:v>0</x:v>
      </x:c>
      <x:c r="K2459" s="20" t="n">
        <x:v>850</x:v>
      </x:c>
      <x:c r="L2459" s="20" t="n">
        <x:v>0</x:v>
      </x:c>
      <x:c r="M2459" s="20" t="n">
        <x:v>550</x:v>
      </x:c>
      <x:c r="N2459" s="20" t="n">
        <x:f>IF(J2459=1,0,K2459-L2459)</x:f>
        <x:v>850</x:v>
      </x:c>
      <x:c r="O2459" s="20" t="n">
        <x:f>N2459-M2459</x:f>
        <x:v>300</x:v>
      </x:c>
    </x:row>
    <x:row r="2460" ht="22" customHeight="1">
      <x:c r="A2460" s="11" t="n">
        <x:v>2456</x:v>
      </x:c>
      <x:c r="B2460" s="11" t="n">
        <x:v>1240</x:v>
      </x:c>
      <x:c r="C2460" s="18" t="n">
        <x:v>45880</x:v>
      </x:c>
      <x:c r="D2460" s="11" t="str">
        <x:v>2025-08</x:v>
      </x:c>
      <x:c r="E2460" s="11" t="str">
        <x:v>South</x:v>
      </x:c>
      <x:c r="F2460" s="11" t="str">
        <x:v>Technology</x:v>
      </x:c>
      <x:c r="G2460" s="11" t="str">
        <x:v>Monitor</x:v>
      </x:c>
      <x:c r="H2460" s="11" t="n">
        <x:v>2</x:v>
      </x:c>
      <x:c r="I2460" s="19" t="n">
        <x:v>0</x:v>
      </x:c>
      <x:c r="J2460" s="11" t="n">
        <x:v>0</x:v>
      </x:c>
      <x:c r="K2460" s="20" t="n">
        <x:v>480</x:v>
      </x:c>
      <x:c r="L2460" s="20" t="n">
        <x:v>0</x:v>
      </x:c>
      <x:c r="M2460" s="20" t="n">
        <x:v>320</x:v>
      </x:c>
      <x:c r="N2460" s="20" t="n">
        <x:f>IF(J2460=1,0,K2460-L2460)</x:f>
        <x:v>480</x:v>
      </x:c>
      <x:c r="O2460" s="20" t="n">
        <x:f>N2460-M2460</x:f>
        <x:v>160</x:v>
      </x:c>
    </x:row>
    <x:row r="2461" ht="22" customHeight="1">
      <x:c r="A2461" s="11" t="n">
        <x:v>2457</x:v>
      </x:c>
      <x:c r="B2461" s="11" t="n">
        <x:v>1240</x:v>
      </x:c>
      <x:c r="C2461" s="18" t="n">
        <x:v>45880</x:v>
      </x:c>
      <x:c r="D2461" s="11" t="str">
        <x:v>2025-08</x:v>
      </x:c>
      <x:c r="E2461" s="11" t="str">
        <x:v>South</x:v>
      </x:c>
      <x:c r="F2461" s="11" t="str">
        <x:v>Technology</x:v>
      </x:c>
      <x:c r="G2461" s="11" t="str">
        <x:v>Keyboard</x:v>
      </x:c>
      <x:c r="H2461" s="11" t="n">
        <x:v>4</x:v>
      </x:c>
      <x:c r="I2461" s="19" t="n">
        <x:v>0.05</x:v>
      </x:c>
      <x:c r="J2461" s="11" t="n">
        <x:v>0</x:v>
      </x:c>
      <x:c r="K2461" s="20" t="n">
        <x:v>260</x:v>
      </x:c>
      <x:c r="L2461" s="20" t="n">
        <x:v>13</x:v>
      </x:c>
      <x:c r="M2461" s="20" t="n">
        <x:v>128</x:v>
      </x:c>
      <x:c r="N2461" s="20" t="n">
        <x:f>IF(J2461=1,0,K2461-L2461)</x:f>
        <x:v>247</x:v>
      </x:c>
      <x:c r="O2461" s="20" t="n">
        <x:f>N2461-M2461</x:f>
        <x:v>119</x:v>
      </x:c>
    </x:row>
    <x:row r="2462" ht="22" customHeight="1">
      <x:c r="A2462" s="11" t="n">
        <x:v>2458</x:v>
      </x:c>
      <x:c r="B2462" s="11" t="n">
        <x:v>1241</x:v>
      </x:c>
      <x:c r="C2462" s="18" t="n">
        <x:v>45919</x:v>
      </x:c>
      <x:c r="D2462" s="11" t="str">
        <x:v>2025-09</x:v>
      </x:c>
      <x:c r="E2462" s="11" t="str">
        <x:v>East</x:v>
      </x:c>
      <x:c r="F2462" s="11" t="str">
        <x:v>Furniture</x:v>
      </x:c>
      <x:c r="G2462" s="11" t="str">
        <x:v>Desk</x:v>
      </x:c>
      <x:c r="H2462" s="11" t="n">
        <x:v>1</x:v>
      </x:c>
      <x:c r="I2462" s="19" t="n">
        <x:v>0</x:v>
      </x:c>
      <x:c r="J2462" s="11" t="n">
        <x:v>0</x:v>
      </x:c>
      <x:c r="K2462" s="20" t="n">
        <x:v>280</x:v>
      </x:c>
      <x:c r="L2462" s="20" t="n">
        <x:v>0</x:v>
      </x:c>
      <x:c r="M2462" s="20" t="n">
        <x:v>190</x:v>
      </x:c>
      <x:c r="N2462" s="20" t="n">
        <x:f>IF(J2462=1,0,K2462-L2462)</x:f>
        <x:v>280</x:v>
      </x:c>
      <x:c r="O2462" s="20" t="n">
        <x:f>N2462-M2462</x:f>
        <x:v>90</x:v>
      </x:c>
    </x:row>
    <x:row r="2463" ht="22" customHeight="1">
      <x:c r="A2463" s="11" t="n">
        <x:v>2459</x:v>
      </x:c>
      <x:c r="B2463" s="11" t="n">
        <x:v>1241</x:v>
      </x:c>
      <x:c r="C2463" s="18" t="n">
        <x:v>45919</x:v>
      </x:c>
      <x:c r="D2463" s="11" t="str">
        <x:v>2025-09</x:v>
      </x:c>
      <x:c r="E2463" s="11" t="str">
        <x:v>East</x:v>
      </x:c>
      <x:c r="F2463" s="11" t="str">
        <x:v>Office Supplies</x:v>
      </x:c>
      <x:c r="G2463" s="11" t="str">
        <x:v>Storage box</x:v>
      </x:c>
      <x:c r="H2463" s="11" t="n">
        <x:v>1</x:v>
      </x:c>
      <x:c r="I2463" s="19" t="n">
        <x:v>0.05</x:v>
      </x:c>
      <x:c r="J2463" s="11" t="n">
        <x:v>0</x:v>
      </x:c>
      <x:c r="K2463" s="20" t="n">
        <x:v>26</x:v>
      </x:c>
      <x:c r="L2463" s="20" t="n">
        <x:v>1.3</x:v>
      </x:c>
      <x:c r="M2463" s="20" t="n">
        <x:v>12</x:v>
      </x:c>
      <x:c r="N2463" s="20" t="n">
        <x:f>IF(J2463=1,0,K2463-L2463)</x:f>
        <x:v>24.7</x:v>
      </x:c>
      <x:c r="O2463" s="20" t="n">
        <x:f>N2463-M2463</x:f>
        <x:v>12.7</x:v>
      </x:c>
    </x:row>
    <x:row r="2464" ht="22" customHeight="1">
      <x:c r="A2464" s="11" t="n">
        <x:v>2460</x:v>
      </x:c>
      <x:c r="B2464" s="11" t="n">
        <x:v>1241</x:v>
      </x:c>
      <x:c r="C2464" s="18" t="n">
        <x:v>45919</x:v>
      </x:c>
      <x:c r="D2464" s="11" t="str">
        <x:v>2025-09</x:v>
      </x:c>
      <x:c r="E2464" s="11" t="str">
        <x:v>East</x:v>
      </x:c>
      <x:c r="F2464" s="11" t="str">
        <x:v>Office Supplies</x:v>
      </x:c>
      <x:c r="G2464" s="11" t="str">
        <x:v>Notebook pack</x:v>
      </x:c>
      <x:c r="H2464" s="11" t="n">
        <x:v>3</x:v>
      </x:c>
      <x:c r="I2464" s="19" t="n">
        <x:v>0.05</x:v>
      </x:c>
      <x:c r="J2464" s="11" t="n">
        <x:v>0</x:v>
      </x:c>
      <x:c r="K2464" s="20" t="n">
        <x:v>54</x:v>
      </x:c>
      <x:c r="L2464" s="20" t="n">
        <x:v>2.7</x:v>
      </x:c>
      <x:c r="M2464" s="20" t="n">
        <x:v>21</x:v>
      </x:c>
      <x:c r="N2464" s="20" t="n">
        <x:f>IF(J2464=1,0,K2464-L2464)</x:f>
        <x:v>51.3</x:v>
      </x:c>
      <x:c r="O2464" s="20" t="n">
        <x:f>N2464-M2464</x:f>
        <x:v>30.299999999999997</x:v>
      </x:c>
    </x:row>
    <x:row r="2465" ht="22" customHeight="1">
      <x:c r="A2465" s="11" t="n">
        <x:v>2461</x:v>
      </x:c>
      <x:c r="B2465" s="11" t="n">
        <x:v>1242</x:v>
      </x:c>
      <x:c r="C2465" s="18" t="n">
        <x:v>45446</x:v>
      </x:c>
      <x:c r="D2465" s="11" t="str">
        <x:v>2024-06</x:v>
      </x:c>
      <x:c r="E2465" s="11" t="str">
        <x:v>Central</x:v>
      </x:c>
      <x:c r="F2465" s="11" t="str">
        <x:v>Technology</x:v>
      </x:c>
      <x:c r="G2465" s="11" t="str">
        <x:v>Monitor</x:v>
      </x:c>
      <x:c r="H2465" s="11" t="n">
        <x:v>5</x:v>
      </x:c>
      <x:c r="I2465" s="19" t="n">
        <x:v>0.05</x:v>
      </x:c>
      <x:c r="J2465" s="11" t="n">
        <x:v>0</x:v>
      </x:c>
      <x:c r="K2465" s="20" t="n">
        <x:v>1200</x:v>
      </x:c>
      <x:c r="L2465" s="20" t="n">
        <x:v>60</x:v>
      </x:c>
      <x:c r="M2465" s="20" t="n">
        <x:v>800</x:v>
      </x:c>
      <x:c r="N2465" s="20" t="n">
        <x:f>IF(J2465=1,0,K2465-L2465)</x:f>
        <x:v>1140</x:v>
      </x:c>
      <x:c r="O2465" s="20" t="n">
        <x:f>N2465-M2465</x:f>
        <x:v>340</x:v>
      </x:c>
    </x:row>
    <x:row r="2466" ht="22" customHeight="1">
      <x:c r="A2466" s="11" t="n">
        <x:v>2462</x:v>
      </x:c>
      <x:c r="B2466" s="11" t="n">
        <x:v>1243</x:v>
      </x:c>
      <x:c r="C2466" s="18" t="n">
        <x:v>45749</x:v>
      </x:c>
      <x:c r="D2466" s="11" t="str">
        <x:v>2025-04</x:v>
      </x:c>
      <x:c r="E2466" s="11" t="str">
        <x:v>South</x:v>
      </x:c>
      <x:c r="F2466" s="11" t="str">
        <x:v>Furniture</x:v>
      </x:c>
      <x:c r="G2466" s="11" t="str">
        <x:v>Chair</x:v>
      </x:c>
      <x:c r="H2466" s="11" t="n">
        <x:v>1</x:v>
      </x:c>
      <x:c r="I2466" s="19" t="n">
        <x:v>0</x:v>
      </x:c>
      <x:c r="J2466" s="11" t="n">
        <x:v>0</x:v>
      </x:c>
      <x:c r="K2466" s="20" t="n">
        <x:v>170</x:v>
      </x:c>
      <x:c r="L2466" s="20" t="n">
        <x:v>0</x:v>
      </x:c>
      <x:c r="M2466" s="20" t="n">
        <x:v>110</x:v>
      </x:c>
      <x:c r="N2466" s="20" t="n">
        <x:f>IF(J2466=1,0,K2466-L2466)</x:f>
        <x:v>170</x:v>
      </x:c>
      <x:c r="O2466" s="20" t="n">
        <x:f>N2466-M2466</x:f>
        <x:v>60</x:v>
      </x:c>
    </x:row>
    <x:row r="2467" ht="22" customHeight="1">
      <x:c r="A2467" s="11" t="n">
        <x:v>2463</x:v>
      </x:c>
      <x:c r="B2467" s="11" t="n">
        <x:v>1243</x:v>
      </x:c>
      <x:c r="C2467" s="18" t="n">
        <x:v>45749</x:v>
      </x:c>
      <x:c r="D2467" s="11" t="str">
        <x:v>2025-04</x:v>
      </x:c>
      <x:c r="E2467" s="11" t="str">
        <x:v>South</x:v>
      </x:c>
      <x:c r="F2467" s="11" t="str">
        <x:v>Technology</x:v>
      </x:c>
      <x:c r="G2467" s="11" t="str">
        <x:v>Monitor</x:v>
      </x:c>
      <x:c r="H2467" s="11" t="n">
        <x:v>2</x:v>
      </x:c>
      <x:c r="I2467" s="19" t="n">
        <x:v>0</x:v>
      </x:c>
      <x:c r="J2467" s="11" t="n">
        <x:v>0</x:v>
      </x:c>
      <x:c r="K2467" s="20" t="n">
        <x:v>480</x:v>
      </x:c>
      <x:c r="L2467" s="20" t="n">
        <x:v>0</x:v>
      </x:c>
      <x:c r="M2467" s="20" t="n">
        <x:v>320</x:v>
      </x:c>
      <x:c r="N2467" s="20" t="n">
        <x:f>IF(J2467=1,0,K2467-L2467)</x:f>
        <x:v>480</x:v>
      </x:c>
      <x:c r="O2467" s="20" t="n">
        <x:f>N2467-M2467</x:f>
        <x:v>160</x:v>
      </x:c>
    </x:row>
    <x:row r="2468" ht="22" customHeight="1">
      <x:c r="A2468" s="11" t="n">
        <x:v>2464</x:v>
      </x:c>
      <x:c r="B2468" s="11" t="n">
        <x:v>1243</x:v>
      </x:c>
      <x:c r="C2468" s="18" t="n">
        <x:v>45749</x:v>
      </x:c>
      <x:c r="D2468" s="11" t="str">
        <x:v>2025-04</x:v>
      </x:c>
      <x:c r="E2468" s="11" t="str">
        <x:v>South</x:v>
      </x:c>
      <x:c r="F2468" s="11" t="str">
        <x:v>Office Supplies</x:v>
      </x:c>
      <x:c r="G2468" s="11" t="str">
        <x:v>Notebook pack</x:v>
      </x:c>
      <x:c r="H2468" s="11" t="n">
        <x:v>5</x:v>
      </x:c>
      <x:c r="I2468" s="19" t="n">
        <x:v>0.15</x:v>
      </x:c>
      <x:c r="J2468" s="11" t="n">
        <x:v>0</x:v>
      </x:c>
      <x:c r="K2468" s="20" t="n">
        <x:v>90</x:v>
      </x:c>
      <x:c r="L2468" s="20" t="n">
        <x:v>13.5</x:v>
      </x:c>
      <x:c r="M2468" s="20" t="n">
        <x:v>35</x:v>
      </x:c>
      <x:c r="N2468" s="20" t="n">
        <x:f>IF(J2468=1,0,K2468-L2468)</x:f>
        <x:v>76.5</x:v>
      </x:c>
      <x:c r="O2468" s="20" t="n">
        <x:f>N2468-M2468</x:f>
        <x:v>41.5</x:v>
      </x:c>
    </x:row>
    <x:row r="2469" ht="22" customHeight="1">
      <x:c r="A2469" s="11" t="n">
        <x:v>2465</x:v>
      </x:c>
      <x:c r="B2469" s="11" t="n">
        <x:v>1244</x:v>
      </x:c>
      <x:c r="C2469" s="18" t="n">
        <x:v>45867</x:v>
      </x:c>
      <x:c r="D2469" s="11" t="str">
        <x:v>2025-07</x:v>
      </x:c>
      <x:c r="E2469" s="11" t="str">
        <x:v>West</x:v>
      </x:c>
      <x:c r="F2469" s="11" t="str">
        <x:v>Technology</x:v>
      </x:c>
      <x:c r="G2469" s="11" t="str">
        <x:v>Monitor</x:v>
      </x:c>
      <x:c r="H2469" s="11" t="n">
        <x:v>2</x:v>
      </x:c>
      <x:c r="I2469" s="19" t="n">
        <x:v>0.1</x:v>
      </x:c>
      <x:c r="J2469" s="11" t="n">
        <x:v>0</x:v>
      </x:c>
      <x:c r="K2469" s="20" t="n">
        <x:v>480</x:v>
      </x:c>
      <x:c r="L2469" s="20" t="n">
        <x:v>48</x:v>
      </x:c>
      <x:c r="M2469" s="20" t="n">
        <x:v>320</x:v>
      </x:c>
      <x:c r="N2469" s="20" t="n">
        <x:f>IF(J2469=1,0,K2469-L2469)</x:f>
        <x:v>432</x:v>
      </x:c>
      <x:c r="O2469" s="20" t="n">
        <x:f>N2469-M2469</x:f>
        <x:v>112</x:v>
      </x:c>
    </x:row>
    <x:row r="2470" ht="22" customHeight="1">
      <x:c r="A2470" s="11" t="n">
        <x:v>2466</x:v>
      </x:c>
      <x:c r="B2470" s="11" t="n">
        <x:v>1244</x:v>
      </x:c>
      <x:c r="C2470" s="18" t="n">
        <x:v>45867</x:v>
      </x:c>
      <x:c r="D2470" s="11" t="str">
        <x:v>2025-07</x:v>
      </x:c>
      <x:c r="E2470" s="11" t="str">
        <x:v>West</x:v>
      </x:c>
      <x:c r="F2470" s="11" t="str">
        <x:v>Furniture</x:v>
      </x:c>
      <x:c r="G2470" s="11" t="str">
        <x:v>Chair</x:v>
      </x:c>
      <x:c r="H2470" s="11" t="n">
        <x:v>1</x:v>
      </x:c>
      <x:c r="I2470" s="19" t="n">
        <x:v>0</x:v>
      </x:c>
      <x:c r="J2470" s="11" t="n">
        <x:v>0</x:v>
      </x:c>
      <x:c r="K2470" s="20" t="n">
        <x:v>170</x:v>
      </x:c>
      <x:c r="L2470" s="20" t="n">
        <x:v>0</x:v>
      </x:c>
      <x:c r="M2470" s="20" t="n">
        <x:v>110</x:v>
      </x:c>
      <x:c r="N2470" s="20" t="n">
        <x:f>IF(J2470=1,0,K2470-L2470)</x:f>
        <x:v>170</x:v>
      </x:c>
      <x:c r="O2470" s="20" t="n">
        <x:f>N2470-M2470</x:f>
        <x:v>60</x:v>
      </x:c>
    </x:row>
    <x:row r="2471" ht="22" customHeight="1">
      <x:c r="A2471" s="11" t="n">
        <x:v>2467</x:v>
      </x:c>
      <x:c r="B2471" s="11" t="n">
        <x:v>1244</x:v>
      </x:c>
      <x:c r="C2471" s="18" t="n">
        <x:v>45867</x:v>
      </x:c>
      <x:c r="D2471" s="11" t="str">
        <x:v>2025-07</x:v>
      </x:c>
      <x:c r="E2471" s="11" t="str">
        <x:v>West</x:v>
      </x:c>
      <x:c r="F2471" s="11" t="str">
        <x:v>Furniture</x:v>
      </x:c>
      <x:c r="G2471" s="11" t="str">
        <x:v>Desk</x:v>
      </x:c>
      <x:c r="H2471" s="11" t="n">
        <x:v>4</x:v>
      </x:c>
      <x:c r="I2471" s="19" t="n">
        <x:v>0.25</x:v>
      </x:c>
      <x:c r="J2471" s="11" t="n">
        <x:v>0</x:v>
      </x:c>
      <x:c r="K2471" s="20" t="n">
        <x:v>1120</x:v>
      </x:c>
      <x:c r="L2471" s="20" t="n">
        <x:v>280</x:v>
      </x:c>
      <x:c r="M2471" s="20" t="n">
        <x:v>760</x:v>
      </x:c>
      <x:c r="N2471" s="20" t="n">
        <x:f>IF(J2471=1,0,K2471-L2471)</x:f>
        <x:v>840</x:v>
      </x:c>
      <x:c r="O2471" s="20" t="n">
        <x:f>N2471-M2471</x:f>
        <x:v>80</x:v>
      </x:c>
    </x:row>
    <x:row r="2472" ht="22" customHeight="1">
      <x:c r="A2472" s="11" t="n">
        <x:v>2468</x:v>
      </x:c>
      <x:c r="B2472" s="11" t="n">
        <x:v>1245</x:v>
      </x:c>
      <x:c r="C2472" s="18" t="n">
        <x:v>45312</x:v>
      </x:c>
      <x:c r="D2472" s="11" t="str">
        <x:v>2024-01</x:v>
      </x:c>
      <x:c r="E2472" s="11" t="str">
        <x:v>East</x:v>
      </x:c>
      <x:c r="F2472" s="11" t="str">
        <x:v>Office Supplies</x:v>
      </x:c>
      <x:c r="G2472" s="11" t="str">
        <x:v>Notebook pack</x:v>
      </x:c>
      <x:c r="H2472" s="11" t="n">
        <x:v>2</x:v>
      </x:c>
      <x:c r="I2472" s="19" t="n">
        <x:v>0.1</x:v>
      </x:c>
      <x:c r="J2472" s="11" t="n">
        <x:v>0</x:v>
      </x:c>
      <x:c r="K2472" s="20" t="n">
        <x:v>36</x:v>
      </x:c>
      <x:c r="L2472" s="20" t="n">
        <x:v>3.6</x:v>
      </x:c>
      <x:c r="M2472" s="20" t="n">
        <x:v>14</x:v>
      </x:c>
      <x:c r="N2472" s="20" t="n">
        <x:f>IF(J2472=1,0,K2472-L2472)</x:f>
        <x:v>32.4</x:v>
      </x:c>
      <x:c r="O2472" s="20" t="n">
        <x:f>N2472-M2472</x:f>
        <x:v>18.4</x:v>
      </x:c>
    </x:row>
    <x:row r="2473" ht="22" customHeight="1">
      <x:c r="A2473" s="11" t="n">
        <x:v>2469</x:v>
      </x:c>
      <x:c r="B2473" s="11" t="n">
        <x:v>1245</x:v>
      </x:c>
      <x:c r="C2473" s="18" t="n">
        <x:v>45312</x:v>
      </x:c>
      <x:c r="D2473" s="11" t="str">
        <x:v>2024-01</x:v>
      </x:c>
      <x:c r="E2473" s="11" t="str">
        <x:v>East</x:v>
      </x:c>
      <x:c r="F2473" s="11" t="str">
        <x:v>Office Supplies</x:v>
      </x:c>
      <x:c r="G2473" s="11" t="str">
        <x:v>Storage box</x:v>
      </x:c>
      <x:c r="H2473" s="11" t="n">
        <x:v>4</x:v>
      </x:c>
      <x:c r="I2473" s="19" t="n">
        <x:v>0.15</x:v>
      </x:c>
      <x:c r="J2473" s="11" t="n">
        <x:v>0</x:v>
      </x:c>
      <x:c r="K2473" s="20" t="n">
        <x:v>104</x:v>
      </x:c>
      <x:c r="L2473" s="20" t="n">
        <x:v>15.6</x:v>
      </x:c>
      <x:c r="M2473" s="20" t="n">
        <x:v>48</x:v>
      </x:c>
      <x:c r="N2473" s="20" t="n">
        <x:f>IF(J2473=1,0,K2473-L2473)</x:f>
        <x:v>88.4</x:v>
      </x:c>
      <x:c r="O2473" s="20" t="n">
        <x:f>N2473-M2473</x:f>
        <x:v>40.400000000000006</x:v>
      </x:c>
    </x:row>
    <x:row r="2474" ht="22" customHeight="1">
      <x:c r="A2474" s="11" t="n">
        <x:v>2470</x:v>
      </x:c>
      <x:c r="B2474" s="11" t="n">
        <x:v>1246</x:v>
      </x:c>
      <x:c r="C2474" s="18" t="n">
        <x:v>45639</x:v>
      </x:c>
      <x:c r="D2474" s="11" t="str">
        <x:v>2024-12</x:v>
      </x:c>
      <x:c r="E2474" s="11" t="str">
        <x:v>West</x:v>
      </x:c>
      <x:c r="F2474" s="11" t="str">
        <x:v>Furniture</x:v>
      </x:c>
      <x:c r="G2474" s="11" t="str">
        <x:v>Chair</x:v>
      </x:c>
      <x:c r="H2474" s="11" t="n">
        <x:v>2</x:v>
      </x:c>
      <x:c r="I2474" s="19" t="n">
        <x:v>0.1</x:v>
      </x:c>
      <x:c r="J2474" s="11" t="n">
        <x:v>0</x:v>
      </x:c>
      <x:c r="K2474" s="20" t="n">
        <x:v>340</x:v>
      </x:c>
      <x:c r="L2474" s="20" t="n">
        <x:v>34</x:v>
      </x:c>
      <x:c r="M2474" s="20" t="n">
        <x:v>220</x:v>
      </x:c>
      <x:c r="N2474" s="20" t="n">
        <x:f>IF(J2474=1,0,K2474-L2474)</x:f>
        <x:v>306</x:v>
      </x:c>
      <x:c r="O2474" s="20" t="n">
        <x:f>N2474-M2474</x:f>
        <x:v>86</x:v>
      </x:c>
    </x:row>
    <x:row r="2475" ht="22" customHeight="1">
      <x:c r="A2475" s="11" t="n">
        <x:v>2471</x:v>
      </x:c>
      <x:c r="B2475" s="11" t="n">
        <x:v>1247</x:v>
      </x:c>
      <x:c r="C2475" s="18" t="n">
        <x:v>45445</x:v>
      </x:c>
      <x:c r="D2475" s="11" t="str">
        <x:v>2024-06</x:v>
      </x:c>
      <x:c r="E2475" s="11" t="str">
        <x:v>Central</x:v>
      </x:c>
      <x:c r="F2475" s="11" t="str">
        <x:v>Technology</x:v>
      </x:c>
      <x:c r="G2475" s="11" t="str">
        <x:v>Monitor</x:v>
      </x:c>
      <x:c r="H2475" s="11" t="n">
        <x:v>3</x:v>
      </x:c>
      <x:c r="I2475" s="19" t="n">
        <x:v>0.15</x:v>
      </x:c>
      <x:c r="J2475" s="11" t="n">
        <x:v>0</x:v>
      </x:c>
      <x:c r="K2475" s="20" t="n">
        <x:v>720</x:v>
      </x:c>
      <x:c r="L2475" s="20" t="n">
        <x:v>108</x:v>
      </x:c>
      <x:c r="M2475" s="20" t="n">
        <x:v>480</x:v>
      </x:c>
      <x:c r="N2475" s="20" t="n">
        <x:f>IF(J2475=1,0,K2475-L2475)</x:f>
        <x:v>612</x:v>
      </x:c>
      <x:c r="O2475" s="20" t="n">
        <x:f>N2475-M2475</x:f>
        <x:v>132</x:v>
      </x:c>
    </x:row>
    <x:row r="2476" ht="22" customHeight="1">
      <x:c r="A2476" s="11" t="n">
        <x:v>2472</x:v>
      </x:c>
      <x:c r="B2476" s="11" t="n">
        <x:v>1247</x:v>
      </x:c>
      <x:c r="C2476" s="18" t="n">
        <x:v>45445</x:v>
      </x:c>
      <x:c r="D2476" s="11" t="str">
        <x:v>2024-06</x:v>
      </x:c>
      <x:c r="E2476" s="11" t="str">
        <x:v>Central</x:v>
      </x:c>
      <x:c r="F2476" s="11" t="str">
        <x:v>Office Supplies</x:v>
      </x:c>
      <x:c r="G2476" s="11" t="str">
        <x:v>Storage box</x:v>
      </x:c>
      <x:c r="H2476" s="11" t="n">
        <x:v>4</x:v>
      </x:c>
      <x:c r="I2476" s="19" t="n">
        <x:v>0</x:v>
      </x:c>
      <x:c r="J2476" s="11" t="n">
        <x:v>0</x:v>
      </x:c>
      <x:c r="K2476" s="20" t="n">
        <x:v>104</x:v>
      </x:c>
      <x:c r="L2476" s="20" t="n">
        <x:v>0</x:v>
      </x:c>
      <x:c r="M2476" s="20" t="n">
        <x:v>48</x:v>
      </x:c>
      <x:c r="N2476" s="20" t="n">
        <x:f>IF(J2476=1,0,K2476-L2476)</x:f>
        <x:v>104</x:v>
      </x:c>
      <x:c r="O2476" s="20" t="n">
        <x:f>N2476-M2476</x:f>
        <x:v>56</x:v>
      </x:c>
    </x:row>
    <x:row r="2477" ht="22" customHeight="1">
      <x:c r="A2477" s="11" t="n">
        <x:v>2473</x:v>
      </x:c>
      <x:c r="B2477" s="11" t="n">
        <x:v>1247</x:v>
      </x:c>
      <x:c r="C2477" s="18" t="n">
        <x:v>45445</x:v>
      </x:c>
      <x:c r="D2477" s="11" t="str">
        <x:v>2024-06</x:v>
      </x:c>
      <x:c r="E2477" s="11" t="str">
        <x:v>Central</x:v>
      </x:c>
      <x:c r="F2477" s="11" t="str">
        <x:v>Furniture</x:v>
      </x:c>
      <x:c r="G2477" s="11" t="str">
        <x:v>Desk</x:v>
      </x:c>
      <x:c r="H2477" s="11" t="n">
        <x:v>5</x:v>
      </x:c>
      <x:c r="I2477" s="19" t="n">
        <x:v>0.25</x:v>
      </x:c>
      <x:c r="J2477" s="11" t="n">
        <x:v>0</x:v>
      </x:c>
      <x:c r="K2477" s="20" t="n">
        <x:v>1400</x:v>
      </x:c>
      <x:c r="L2477" s="20" t="n">
        <x:v>350</x:v>
      </x:c>
      <x:c r="M2477" s="20" t="n">
        <x:v>950</x:v>
      </x:c>
      <x:c r="N2477" s="20" t="n">
        <x:f>IF(J2477=1,0,K2477-L2477)</x:f>
        <x:v>1050</x:v>
      </x:c>
      <x:c r="O2477" s="20" t="n">
        <x:f>N2477-M2477</x:f>
        <x:v>100</x:v>
      </x:c>
    </x:row>
    <x:row r="2478" ht="22" customHeight="1">
      <x:c r="A2478" s="11" t="n">
        <x:v>2474</x:v>
      </x:c>
      <x:c r="B2478" s="11" t="n">
        <x:v>1248</x:v>
      </x:c>
      <x:c r="C2478" s="18" t="n">
        <x:v>45665</x:v>
      </x:c>
      <x:c r="D2478" s="11" t="str">
        <x:v>2025-01</x:v>
      </x:c>
      <x:c r="E2478" s="11" t="str">
        <x:v>West</x:v>
      </x:c>
      <x:c r="F2478" s="11" t="str">
        <x:v>Technology</x:v>
      </x:c>
      <x:c r="G2478" s="11" t="str">
        <x:v>Monitor</x:v>
      </x:c>
      <x:c r="H2478" s="11" t="n">
        <x:v>4</x:v>
      </x:c>
      <x:c r="I2478" s="19" t="n">
        <x:v>0.05</x:v>
      </x:c>
      <x:c r="J2478" s="11" t="n">
        <x:v>0</x:v>
      </x:c>
      <x:c r="K2478" s="20" t="n">
        <x:v>960</x:v>
      </x:c>
      <x:c r="L2478" s="20" t="n">
        <x:v>48</x:v>
      </x:c>
      <x:c r="M2478" s="20" t="n">
        <x:v>640</x:v>
      </x:c>
      <x:c r="N2478" s="20" t="n">
        <x:f>IF(J2478=1,0,K2478-L2478)</x:f>
        <x:v>912</x:v>
      </x:c>
      <x:c r="O2478" s="20" t="n">
        <x:f>N2478-M2478</x:f>
        <x:v>272</x:v>
      </x:c>
    </x:row>
    <x:row r="2479" ht="22" customHeight="1">
      <x:c r="A2479" s="11" t="n">
        <x:v>2475</x:v>
      </x:c>
      <x:c r="B2479" s="11" t="n">
        <x:v>1248</x:v>
      </x:c>
      <x:c r="C2479" s="18" t="n">
        <x:v>45665</x:v>
      </x:c>
      <x:c r="D2479" s="11" t="str">
        <x:v>2025-01</x:v>
      </x:c>
      <x:c r="E2479" s="11" t="str">
        <x:v>West</x:v>
      </x:c>
      <x:c r="F2479" s="11" t="str">
        <x:v>Office Supplies</x:v>
      </x:c>
      <x:c r="G2479" s="11" t="str">
        <x:v>Notebook pack</x:v>
      </x:c>
      <x:c r="H2479" s="11" t="n">
        <x:v>1</x:v>
      </x:c>
      <x:c r="I2479" s="19" t="n">
        <x:v>0</x:v>
      </x:c>
      <x:c r="J2479" s="11" t="n">
        <x:v>0</x:v>
      </x:c>
      <x:c r="K2479" s="20" t="n">
        <x:v>18</x:v>
      </x:c>
      <x:c r="L2479" s="20" t="n">
        <x:v>0</x:v>
      </x:c>
      <x:c r="M2479" s="20" t="n">
        <x:v>7</x:v>
      </x:c>
      <x:c r="N2479" s="20" t="n">
        <x:f>IF(J2479=1,0,K2479-L2479)</x:f>
        <x:v>18</x:v>
      </x:c>
      <x:c r="O2479" s="20" t="n">
        <x:f>N2479-M2479</x:f>
        <x:v>11</x:v>
      </x:c>
    </x:row>
    <x:row r="2480" ht="22" customHeight="1">
      <x:c r="A2480" s="11" t="n">
        <x:v>2476</x:v>
      </x:c>
      <x:c r="B2480" s="11" t="n">
        <x:v>1248</x:v>
      </x:c>
      <x:c r="C2480" s="18" t="n">
        <x:v>45665</x:v>
      </x:c>
      <x:c r="D2480" s="11" t="str">
        <x:v>2025-01</x:v>
      </x:c>
      <x:c r="E2480" s="11" t="str">
        <x:v>West</x:v>
      </x:c>
      <x:c r="F2480" s="11" t="str">
        <x:v>Furniture</x:v>
      </x:c>
      <x:c r="G2480" s="11" t="str">
        <x:v>Desk</x:v>
      </x:c>
      <x:c r="H2480" s="11" t="n">
        <x:v>3</x:v>
      </x:c>
      <x:c r="I2480" s="19" t="n">
        <x:v>0.35</x:v>
      </x:c>
      <x:c r="J2480" s="11" t="n">
        <x:v>0</x:v>
      </x:c>
      <x:c r="K2480" s="20" t="n">
        <x:v>840</x:v>
      </x:c>
      <x:c r="L2480" s="20" t="n">
        <x:v>294</x:v>
      </x:c>
      <x:c r="M2480" s="20" t="n">
        <x:v>570</x:v>
      </x:c>
      <x:c r="N2480" s="20" t="n">
        <x:f>IF(J2480=1,0,K2480-L2480)</x:f>
        <x:v>546</x:v>
      </x:c>
      <x:c r="O2480" s="20" t="n">
        <x:f>N2480-M2480</x:f>
        <x:v>-24</x:v>
      </x:c>
    </x:row>
    <x:row r="2481" ht="22" customHeight="1">
      <x:c r="A2481" s="11" t="n">
        <x:v>2477</x:v>
      </x:c>
      <x:c r="B2481" s="11" t="n">
        <x:v>1249</x:v>
      </x:c>
      <x:c r="C2481" s="18" t="n">
        <x:v>45637</x:v>
      </x:c>
      <x:c r="D2481" s="11" t="str">
        <x:v>2024-12</x:v>
      </x:c>
      <x:c r="E2481" s="11" t="str">
        <x:v>East</x:v>
      </x:c>
      <x:c r="F2481" s="11" t="str">
        <x:v>Office Supplies</x:v>
      </x:c>
      <x:c r="G2481" s="11" t="str">
        <x:v>Storage box</x:v>
      </x:c>
      <x:c r="H2481" s="11" t="n">
        <x:v>3</x:v>
      </x:c>
      <x:c r="I2481" s="19" t="n">
        <x:v>0.15</x:v>
      </x:c>
      <x:c r="J2481" s="11" t="n">
        <x:v>1</x:v>
      </x:c>
      <x:c r="K2481" s="20" t="n">
        <x:v>78</x:v>
      </x:c>
      <x:c r="L2481" s="20" t="n">
        <x:v>11.7</x:v>
      </x:c>
      <x:c r="M2481" s="20" t="n">
        <x:v>0</x:v>
      </x:c>
      <x:c r="N2481" s="20" t="n">
        <x:f>IF(J2481=1,0,K2481-L2481)</x:f>
        <x:v>0</x:v>
      </x:c>
      <x:c r="O2481" s="20" t="n">
        <x:f>N2481-M2481</x:f>
        <x:v>0</x:v>
      </x:c>
    </x:row>
    <x:row r="2482" ht="22" customHeight="1">
      <x:c r="A2482" s="11" t="n">
        <x:v>2478</x:v>
      </x:c>
      <x:c r="B2482" s="11" t="n">
        <x:v>1249</x:v>
      </x:c>
      <x:c r="C2482" s="18" t="n">
        <x:v>45637</x:v>
      </x:c>
      <x:c r="D2482" s="11" t="str">
        <x:v>2024-12</x:v>
      </x:c>
      <x:c r="E2482" s="11" t="str">
        <x:v>East</x:v>
      </x:c>
      <x:c r="F2482" s="11" t="str">
        <x:v>Technology</x:v>
      </x:c>
      <x:c r="G2482" s="11" t="str">
        <x:v>Keyboard</x:v>
      </x:c>
      <x:c r="H2482" s="11" t="n">
        <x:v>5</x:v>
      </x:c>
      <x:c r="I2482" s="19" t="n">
        <x:v>0</x:v>
      </x:c>
      <x:c r="J2482" s="11" t="n">
        <x:v>0</x:v>
      </x:c>
      <x:c r="K2482" s="20" t="n">
        <x:v>325</x:v>
      </x:c>
      <x:c r="L2482" s="20" t="n">
        <x:v>0</x:v>
      </x:c>
      <x:c r="M2482" s="20" t="n">
        <x:v>160</x:v>
      </x:c>
      <x:c r="N2482" s="20" t="n">
        <x:f>IF(J2482=1,0,K2482-L2482)</x:f>
        <x:v>325</x:v>
      </x:c>
      <x:c r="O2482" s="20" t="n">
        <x:f>N2482-M2482</x:f>
        <x:v>165</x:v>
      </x:c>
    </x:row>
    <x:row r="2483" ht="22" customHeight="1">
      <x:c r="A2483" s="11" t="n">
        <x:v>2479</x:v>
      </x:c>
      <x:c r="B2483" s="11" t="n">
        <x:v>1249</x:v>
      </x:c>
      <x:c r="C2483" s="18" t="n">
        <x:v>45637</x:v>
      </x:c>
      <x:c r="D2483" s="11" t="str">
        <x:v>2024-12</x:v>
      </x:c>
      <x:c r="E2483" s="11" t="str">
        <x:v>East</x:v>
      </x:c>
      <x:c r="F2483" s="11" t="str">
        <x:v>Furniture</x:v>
      </x:c>
      <x:c r="G2483" s="11" t="str">
        <x:v>Desk</x:v>
      </x:c>
      <x:c r="H2483" s="11" t="n">
        <x:v>1</x:v>
      </x:c>
      <x:c r="I2483" s="19" t="n">
        <x:v>0.1</x:v>
      </x:c>
      <x:c r="J2483" s="11" t="n">
        <x:v>0</x:v>
      </x:c>
      <x:c r="K2483" s="20" t="n">
        <x:v>280</x:v>
      </x:c>
      <x:c r="L2483" s="20" t="n">
        <x:v>28</x:v>
      </x:c>
      <x:c r="M2483" s="20" t="n">
        <x:v>190</x:v>
      </x:c>
      <x:c r="N2483" s="20" t="n">
        <x:f>IF(J2483=1,0,K2483-L2483)</x:f>
        <x:v>252</x:v>
      </x:c>
      <x:c r="O2483" s="20" t="n">
        <x:f>N2483-M2483</x:f>
        <x:v>62</x:v>
      </x:c>
    </x:row>
    <x:row r="2484" ht="22" customHeight="1">
      <x:c r="A2484" s="11" t="n">
        <x:v>2480</x:v>
      </x:c>
      <x:c r="B2484" s="11" t="n">
        <x:v>1250</x:v>
      </x:c>
      <x:c r="C2484" s="18" t="n">
        <x:v>45773</x:v>
      </x:c>
      <x:c r="D2484" s="11" t="str">
        <x:v>2025-04</x:v>
      </x:c>
      <x:c r="E2484" s="11" t="str">
        <x:v>Central</x:v>
      </x:c>
      <x:c r="F2484" s="11" t="str">
        <x:v>Office Supplies</x:v>
      </x:c>
      <x:c r="G2484" s="11" t="str">
        <x:v>Storage box</x:v>
      </x:c>
      <x:c r="H2484" s="11" t="n">
        <x:v>3</x:v>
      </x:c>
      <x:c r="I2484" s="19" t="n">
        <x:v>0.1</x:v>
      </x:c>
      <x:c r="J2484" s="11" t="n">
        <x:v>0</x:v>
      </x:c>
      <x:c r="K2484" s="20" t="n">
        <x:v>78</x:v>
      </x:c>
      <x:c r="L2484" s="20" t="n">
        <x:v>7.8</x:v>
      </x:c>
      <x:c r="M2484" s="20" t="n">
        <x:v>36</x:v>
      </x:c>
      <x:c r="N2484" s="20" t="n">
        <x:f>IF(J2484=1,0,K2484-L2484)</x:f>
        <x:v>70.2</x:v>
      </x:c>
      <x:c r="O2484" s="20" t="n">
        <x:f>N2484-M2484</x:f>
        <x:v>34.2</x:v>
      </x:c>
    </x:row>
    <x:row r="2485" ht="22" customHeight="1">
      <x:c r="A2485" s="11" t="n">
        <x:v>2481</x:v>
      </x:c>
      <x:c r="B2485" s="11" t="n">
        <x:v>1251</x:v>
      </x:c>
      <x:c r="C2485" s="18" t="n">
        <x:v>45816</x:v>
      </x:c>
      <x:c r="D2485" s="11" t="str">
        <x:v>2025-06</x:v>
      </x:c>
      <x:c r="E2485" s="11" t="str">
        <x:v>South</x:v>
      </x:c>
      <x:c r="F2485" s="11" t="str">
        <x:v>Technology</x:v>
      </x:c>
      <x:c r="G2485" s="11" t="str">
        <x:v>Monitor</x:v>
      </x:c>
      <x:c r="H2485" s="11" t="n">
        <x:v>3</x:v>
      </x:c>
      <x:c r="I2485" s="19" t="n">
        <x:v>0.15</x:v>
      </x:c>
      <x:c r="J2485" s="11" t="n">
        <x:v>0</x:v>
      </x:c>
      <x:c r="K2485" s="20" t="n">
        <x:v>720</x:v>
      </x:c>
      <x:c r="L2485" s="20" t="n">
        <x:v>108</x:v>
      </x:c>
      <x:c r="M2485" s="20" t="n">
        <x:v>480</x:v>
      </x:c>
      <x:c r="N2485" s="20" t="n">
        <x:f>IF(J2485=1,0,K2485-L2485)</x:f>
        <x:v>612</x:v>
      </x:c>
      <x:c r="O2485" s="20" t="n">
        <x:f>N2485-M2485</x:f>
        <x:v>132</x:v>
      </x:c>
    </x:row>
    <x:row r="2486" ht="22" customHeight="1">
      <x:c r="A2486" s="11" t="n">
        <x:v>2482</x:v>
      </x:c>
      <x:c r="B2486" s="11" t="n">
        <x:v>1251</x:v>
      </x:c>
      <x:c r="C2486" s="18" t="n">
        <x:v>45816</x:v>
      </x:c>
      <x:c r="D2486" s="11" t="str">
        <x:v>2025-06</x:v>
      </x:c>
      <x:c r="E2486" s="11" t="str">
        <x:v>South</x:v>
      </x:c>
      <x:c r="F2486" s="11" t="str">
        <x:v>Furniture</x:v>
      </x:c>
      <x:c r="G2486" s="11" t="str">
        <x:v>Chair</x:v>
      </x:c>
      <x:c r="H2486" s="11" t="n">
        <x:v>3</x:v>
      </x:c>
      <x:c r="I2486" s="19" t="n">
        <x:v>0.1</x:v>
      </x:c>
      <x:c r="J2486" s="11" t="n">
        <x:v>0</x:v>
      </x:c>
      <x:c r="K2486" s="20" t="n">
        <x:v>510</x:v>
      </x:c>
      <x:c r="L2486" s="20" t="n">
        <x:v>51</x:v>
      </x:c>
      <x:c r="M2486" s="20" t="n">
        <x:v>330</x:v>
      </x:c>
      <x:c r="N2486" s="20" t="n">
        <x:f>IF(J2486=1,0,K2486-L2486)</x:f>
        <x:v>459</x:v>
      </x:c>
      <x:c r="O2486" s="20" t="n">
        <x:f>N2486-M2486</x:f>
        <x:v>129</x:v>
      </x:c>
    </x:row>
    <x:row r="2487" ht="22" customHeight="1">
      <x:c r="A2487" s="11" t="n">
        <x:v>2483</x:v>
      </x:c>
      <x:c r="B2487" s="11" t="n">
        <x:v>1251</x:v>
      </x:c>
      <x:c r="C2487" s="18" t="n">
        <x:v>45816</x:v>
      </x:c>
      <x:c r="D2487" s="11" t="str">
        <x:v>2025-06</x:v>
      </x:c>
      <x:c r="E2487" s="11" t="str">
        <x:v>South</x:v>
      </x:c>
      <x:c r="F2487" s="11" t="str">
        <x:v>Office Supplies</x:v>
      </x:c>
      <x:c r="G2487" s="11" t="str">
        <x:v>Storage box</x:v>
      </x:c>
      <x:c r="H2487" s="11" t="n">
        <x:v>4</x:v>
      </x:c>
      <x:c r="I2487" s="19" t="n">
        <x:v>0</x:v>
      </x:c>
      <x:c r="J2487" s="11" t="n">
        <x:v>0</x:v>
      </x:c>
      <x:c r="K2487" s="20" t="n">
        <x:v>104</x:v>
      </x:c>
      <x:c r="L2487" s="20" t="n">
        <x:v>0</x:v>
      </x:c>
      <x:c r="M2487" s="20" t="n">
        <x:v>48</x:v>
      </x:c>
      <x:c r="N2487" s="20" t="n">
        <x:f>IF(J2487=1,0,K2487-L2487)</x:f>
        <x:v>104</x:v>
      </x:c>
      <x:c r="O2487" s="20" t="n">
        <x:f>N2487-M2487</x:f>
        <x:v>56</x:v>
      </x:c>
    </x:row>
    <x:row r="2488" ht="22" customHeight="1">
      <x:c r="A2488" s="11" t="n">
        <x:v>2484</x:v>
      </x:c>
      <x:c r="B2488" s="11" t="n">
        <x:v>1252</x:v>
      </x:c>
      <x:c r="C2488" s="18" t="n">
        <x:v>45618</x:v>
      </x:c>
      <x:c r="D2488" s="11" t="str">
        <x:v>2024-11</x:v>
      </x:c>
      <x:c r="E2488" s="11" t="str">
        <x:v>Central</x:v>
      </x:c>
      <x:c r="F2488" s="11" t="str">
        <x:v>Furniture</x:v>
      </x:c>
      <x:c r="G2488" s="11" t="str">
        <x:v>Chair</x:v>
      </x:c>
      <x:c r="H2488" s="11" t="n">
        <x:v>1</x:v>
      </x:c>
      <x:c r="I2488" s="19" t="n">
        <x:v>0.05</x:v>
      </x:c>
      <x:c r="J2488" s="11" t="n">
        <x:v>0</x:v>
      </x:c>
      <x:c r="K2488" s="20" t="n">
        <x:v>170</x:v>
      </x:c>
      <x:c r="L2488" s="20" t="n">
        <x:v>8.5</x:v>
      </x:c>
      <x:c r="M2488" s="20" t="n">
        <x:v>110</x:v>
      </x:c>
      <x:c r="N2488" s="20" t="n">
        <x:f>IF(J2488=1,0,K2488-L2488)</x:f>
        <x:v>161.5</x:v>
      </x:c>
      <x:c r="O2488" s="20" t="n">
        <x:f>N2488-M2488</x:f>
        <x:v>51.5</x:v>
      </x:c>
    </x:row>
    <x:row r="2489" ht="22" customHeight="1">
      <x:c r="A2489" s="11" t="n">
        <x:v>2485</x:v>
      </x:c>
      <x:c r="B2489" s="11" t="n">
        <x:v>1253</x:v>
      </x:c>
      <x:c r="C2489" s="18" t="n">
        <x:v>45674</x:v>
      </x:c>
      <x:c r="D2489" s="11" t="str">
        <x:v>2025-01</x:v>
      </x:c>
      <x:c r="E2489" s="11" t="str">
        <x:v>Central</x:v>
      </x:c>
      <x:c r="F2489" s="11" t="str">
        <x:v>Furniture</x:v>
      </x:c>
      <x:c r="G2489" s="11" t="str">
        <x:v>Chair</x:v>
      </x:c>
      <x:c r="H2489" s="11" t="n">
        <x:v>1</x:v>
      </x:c>
      <x:c r="I2489" s="19" t="n">
        <x:v>0</x:v>
      </x:c>
      <x:c r="J2489" s="11" t="n">
        <x:v>0</x:v>
      </x:c>
      <x:c r="K2489" s="20" t="n">
        <x:v>170</x:v>
      </x:c>
      <x:c r="L2489" s="20" t="n">
        <x:v>0</x:v>
      </x:c>
      <x:c r="M2489" s="20" t="n">
        <x:v>110</x:v>
      </x:c>
      <x:c r="N2489" s="20" t="n">
        <x:f>IF(J2489=1,0,K2489-L2489)</x:f>
        <x:v>170</x:v>
      </x:c>
      <x:c r="O2489" s="20" t="n">
        <x:f>N2489-M2489</x:f>
        <x:v>60</x:v>
      </x:c>
    </x:row>
    <x:row r="2490" ht="22" customHeight="1">
      <x:c r="A2490" s="11" t="n">
        <x:v>2486</x:v>
      </x:c>
      <x:c r="B2490" s="11" t="n">
        <x:v>1253</x:v>
      </x:c>
      <x:c r="C2490" s="18" t="n">
        <x:v>45674</x:v>
      </x:c>
      <x:c r="D2490" s="11" t="str">
        <x:v>2025-01</x:v>
      </x:c>
      <x:c r="E2490" s="11" t="str">
        <x:v>Central</x:v>
      </x:c>
      <x:c r="F2490" s="11" t="str">
        <x:v>Furniture</x:v>
      </x:c>
      <x:c r="G2490" s="11" t="str">
        <x:v>Desk</x:v>
      </x:c>
      <x:c r="H2490" s="11" t="n">
        <x:v>3</x:v>
      </x:c>
      <x:c r="I2490" s="19" t="n">
        <x:v>0</x:v>
      </x:c>
      <x:c r="J2490" s="11" t="n">
        <x:v>0</x:v>
      </x:c>
      <x:c r="K2490" s="20" t="n">
        <x:v>840</x:v>
      </x:c>
      <x:c r="L2490" s="20" t="n">
        <x:v>0</x:v>
      </x:c>
      <x:c r="M2490" s="20" t="n">
        <x:v>570</x:v>
      </x:c>
      <x:c r="N2490" s="20" t="n">
        <x:f>IF(J2490=1,0,K2490-L2490)</x:f>
        <x:v>840</x:v>
      </x:c>
      <x:c r="O2490" s="20" t="n">
        <x:f>N2490-M2490</x:f>
        <x:v>270</x:v>
      </x:c>
    </x:row>
    <x:row r="2491" ht="22" customHeight="1">
      <x:c r="A2491" s="11" t="n">
        <x:v>2487</x:v>
      </x:c>
      <x:c r="B2491" s="11" t="n">
        <x:v>1253</x:v>
      </x:c>
      <x:c r="C2491" s="18" t="n">
        <x:v>45674</x:v>
      </x:c>
      <x:c r="D2491" s="11" t="str">
        <x:v>2025-01</x:v>
      </x:c>
      <x:c r="E2491" s="11" t="str">
        <x:v>Central</x:v>
      </x:c>
      <x:c r="F2491" s="11" t="str">
        <x:v>Office Supplies</x:v>
      </x:c>
      <x:c r="G2491" s="11" t="str">
        <x:v>Notebook pack</x:v>
      </x:c>
      <x:c r="H2491" s="11" t="n">
        <x:v>4</x:v>
      </x:c>
      <x:c r="I2491" s="19" t="n">
        <x:v>0.05</x:v>
      </x:c>
      <x:c r="J2491" s="11" t="n">
        <x:v>0</x:v>
      </x:c>
      <x:c r="K2491" s="20" t="n">
        <x:v>72</x:v>
      </x:c>
      <x:c r="L2491" s="20" t="n">
        <x:v>3.6</x:v>
      </x:c>
      <x:c r="M2491" s="20" t="n">
        <x:v>28</x:v>
      </x:c>
      <x:c r="N2491" s="20" t="n">
        <x:f>IF(J2491=1,0,K2491-L2491)</x:f>
        <x:v>68.4</x:v>
      </x:c>
      <x:c r="O2491" s="20" t="n">
        <x:f>N2491-M2491</x:f>
        <x:v>40.400000000000006</x:v>
      </x:c>
    </x:row>
    <x:row r="2492" ht="22" customHeight="1">
      <x:c r="A2492" s="11" t="n">
        <x:v>2488</x:v>
      </x:c>
      <x:c r="B2492" s="11" t="n">
        <x:v>1254</x:v>
      </x:c>
      <x:c r="C2492" s="18" t="n">
        <x:v>45400</x:v>
      </x:c>
      <x:c r="D2492" s="11" t="str">
        <x:v>2024-04</x:v>
      </x:c>
      <x:c r="E2492" s="11" t="str">
        <x:v>West</x:v>
      </x:c>
      <x:c r="F2492" s="11" t="str">
        <x:v>Office Supplies</x:v>
      </x:c>
      <x:c r="G2492" s="11" t="str">
        <x:v>Storage box</x:v>
      </x:c>
      <x:c r="H2492" s="11" t="n">
        <x:v>2</x:v>
      </x:c>
      <x:c r="I2492" s="19" t="n">
        <x:v>0</x:v>
      </x:c>
      <x:c r="J2492" s="11" t="n">
        <x:v>0</x:v>
      </x:c>
      <x:c r="K2492" s="20" t="n">
        <x:v>52</x:v>
      </x:c>
      <x:c r="L2492" s="20" t="n">
        <x:v>0</x:v>
      </x:c>
      <x:c r="M2492" s="20" t="n">
        <x:v>24</x:v>
      </x:c>
      <x:c r="N2492" s="20" t="n">
        <x:f>IF(J2492=1,0,K2492-L2492)</x:f>
        <x:v>52</x:v>
      </x:c>
      <x:c r="O2492" s="20" t="n">
        <x:f>N2492-M2492</x:f>
        <x:v>28</x:v>
      </x:c>
    </x:row>
    <x:row r="2493" ht="22" customHeight="1">
      <x:c r="A2493" s="11" t="n">
        <x:v>2489</x:v>
      </x:c>
      <x:c r="B2493" s="11" t="n">
        <x:v>1255</x:v>
      </x:c>
      <x:c r="C2493" s="18" t="n">
        <x:v>45375</x:v>
      </x:c>
      <x:c r="D2493" s="11" t="str">
        <x:v>2024-03</x:v>
      </x:c>
      <x:c r="E2493" s="11" t="str">
        <x:v>East</x:v>
      </x:c>
      <x:c r="F2493" s="11" t="str">
        <x:v>Furniture</x:v>
      </x:c>
      <x:c r="G2493" s="11" t="str">
        <x:v>Desk</x:v>
      </x:c>
      <x:c r="H2493" s="11" t="n">
        <x:v>2</x:v>
      </x:c>
      <x:c r="I2493" s="19" t="n">
        <x:v>0.05</x:v>
      </x:c>
      <x:c r="J2493" s="11" t="n">
        <x:v>1</x:v>
      </x:c>
      <x:c r="K2493" s="20" t="n">
        <x:v>560</x:v>
      </x:c>
      <x:c r="L2493" s="20" t="n">
        <x:v>28</x:v>
      </x:c>
      <x:c r="M2493" s="20" t="n">
        <x:v>0</x:v>
      </x:c>
      <x:c r="N2493" s="20" t="n">
        <x:f>IF(J2493=1,0,K2493-L2493)</x:f>
        <x:v>0</x:v>
      </x:c>
      <x:c r="O2493" s="20" t="n">
        <x:f>N2493-M2493</x:f>
        <x:v>0</x:v>
      </x:c>
    </x:row>
    <x:row r="2494" ht="22" customHeight="1">
      <x:c r="A2494" s="11" t="n">
        <x:v>2490</x:v>
      </x:c>
      <x:c r="B2494" s="11" t="n">
        <x:v>1255</x:v>
      </x:c>
      <x:c r="C2494" s="18" t="n">
        <x:v>45375</x:v>
      </x:c>
      <x:c r="D2494" s="11" t="str">
        <x:v>2024-03</x:v>
      </x:c>
      <x:c r="E2494" s="11" t="str">
        <x:v>East</x:v>
      </x:c>
      <x:c r="F2494" s="11" t="str">
        <x:v>Office Supplies</x:v>
      </x:c>
      <x:c r="G2494" s="11" t="str">
        <x:v>Storage box</x:v>
      </x:c>
      <x:c r="H2494" s="11" t="n">
        <x:v>1</x:v>
      </x:c>
      <x:c r="I2494" s="19" t="n">
        <x:v>0.1</x:v>
      </x:c>
      <x:c r="J2494" s="11" t="n">
        <x:v>0</x:v>
      </x:c>
      <x:c r="K2494" s="20" t="n">
        <x:v>26</x:v>
      </x:c>
      <x:c r="L2494" s="20" t="n">
        <x:v>2.6</x:v>
      </x:c>
      <x:c r="M2494" s="20" t="n">
        <x:v>12</x:v>
      </x:c>
      <x:c r="N2494" s="20" t="n">
        <x:f>IF(J2494=1,0,K2494-L2494)</x:f>
        <x:v>23.4</x:v>
      </x:c>
      <x:c r="O2494" s="20" t="n">
        <x:f>N2494-M2494</x:f>
        <x:v>11.399999999999999</x:v>
      </x:c>
    </x:row>
    <x:row r="2495" ht="22" customHeight="1">
      <x:c r="A2495" s="11" t="n">
        <x:v>2491</x:v>
      </x:c>
      <x:c r="B2495" s="11" t="n">
        <x:v>1255</x:v>
      </x:c>
      <x:c r="C2495" s="18" t="n">
        <x:v>45375</x:v>
      </x:c>
      <x:c r="D2495" s="11" t="str">
        <x:v>2024-03</x:v>
      </x:c>
      <x:c r="E2495" s="11" t="str">
        <x:v>East</x:v>
      </x:c>
      <x:c r="F2495" s="11" t="str">
        <x:v>Technology</x:v>
      </x:c>
      <x:c r="G2495" s="11" t="str">
        <x:v>Keyboard</x:v>
      </x:c>
      <x:c r="H2495" s="11" t="n">
        <x:v>5</x:v>
      </x:c>
      <x:c r="I2495" s="19" t="n">
        <x:v>0</x:v>
      </x:c>
      <x:c r="J2495" s="11" t="n">
        <x:v>0</x:v>
      </x:c>
      <x:c r="K2495" s="20" t="n">
        <x:v>325</x:v>
      </x:c>
      <x:c r="L2495" s="20" t="n">
        <x:v>0</x:v>
      </x:c>
      <x:c r="M2495" s="20" t="n">
        <x:v>160</x:v>
      </x:c>
      <x:c r="N2495" s="20" t="n">
        <x:f>IF(J2495=1,0,K2495-L2495)</x:f>
        <x:v>325</x:v>
      </x:c>
      <x:c r="O2495" s="20" t="n">
        <x:f>N2495-M2495</x:f>
        <x:v>165</x:v>
      </x:c>
    </x:row>
    <x:row r="2496" ht="22" customHeight="1">
      <x:c r="A2496" s="11" t="n">
        <x:v>2492</x:v>
      </x:c>
      <x:c r="B2496" s="11" t="n">
        <x:v>1256</x:v>
      </x:c>
      <x:c r="C2496" s="18" t="n">
        <x:v>45494</x:v>
      </x:c>
      <x:c r="D2496" s="11" t="str">
        <x:v>2024-07</x:v>
      </x:c>
      <x:c r="E2496" s="11" t="str">
        <x:v>South</x:v>
      </x:c>
      <x:c r="F2496" s="11" t="str">
        <x:v>Office Supplies</x:v>
      </x:c>
      <x:c r="G2496" s="11" t="str">
        <x:v>Storage box</x:v>
      </x:c>
      <x:c r="H2496" s="11" t="n">
        <x:v>3</x:v>
      </x:c>
      <x:c r="I2496" s="19" t="n">
        <x:v>0.15</x:v>
      </x:c>
      <x:c r="J2496" s="11" t="n">
        <x:v>0</x:v>
      </x:c>
      <x:c r="K2496" s="20" t="n">
        <x:v>78</x:v>
      </x:c>
      <x:c r="L2496" s="20" t="n">
        <x:v>11.7</x:v>
      </x:c>
      <x:c r="M2496" s="20" t="n">
        <x:v>36</x:v>
      </x:c>
      <x:c r="N2496" s="20" t="n">
        <x:f>IF(J2496=1,0,K2496-L2496)</x:f>
        <x:v>66.3</x:v>
      </x:c>
      <x:c r="O2496" s="20" t="n">
        <x:f>N2496-M2496</x:f>
        <x:v>30.299999999999997</x:v>
      </x:c>
    </x:row>
    <x:row r="2497" ht="22" customHeight="1">
      <x:c r="A2497" s="11" t="n">
        <x:v>2493</x:v>
      </x:c>
      <x:c r="B2497" s="11" t="n">
        <x:v>1256</x:v>
      </x:c>
      <x:c r="C2497" s="18" t="n">
        <x:v>45494</x:v>
      </x:c>
      <x:c r="D2497" s="11" t="str">
        <x:v>2024-07</x:v>
      </x:c>
      <x:c r="E2497" s="11" t="str">
        <x:v>South</x:v>
      </x:c>
      <x:c r="F2497" s="11" t="str">
        <x:v>Furniture</x:v>
      </x:c>
      <x:c r="G2497" s="11" t="str">
        <x:v>Chair</x:v>
      </x:c>
      <x:c r="H2497" s="11" t="n">
        <x:v>1</x:v>
      </x:c>
      <x:c r="I2497" s="19" t="n">
        <x:v>0.35</x:v>
      </x:c>
      <x:c r="J2497" s="11" t="n">
        <x:v>0</x:v>
      </x:c>
      <x:c r="K2497" s="20" t="n">
        <x:v>170</x:v>
      </x:c>
      <x:c r="L2497" s="20" t="n">
        <x:v>59.5</x:v>
      </x:c>
      <x:c r="M2497" s="20" t="n">
        <x:v>110</x:v>
      </x:c>
      <x:c r="N2497" s="20" t="n">
        <x:f>IF(J2497=1,0,K2497-L2497)</x:f>
        <x:v>110.5</x:v>
      </x:c>
      <x:c r="O2497" s="20" t="n">
        <x:f>N2497-M2497</x:f>
        <x:v>0.5</x:v>
      </x:c>
    </x:row>
    <x:row r="2498" ht="22" customHeight="1">
      <x:c r="A2498" s="11" t="n">
        <x:v>2494</x:v>
      </x:c>
      <x:c r="B2498" s="11" t="n">
        <x:v>1256</x:v>
      </x:c>
      <x:c r="C2498" s="18" t="n">
        <x:v>45494</x:v>
      </x:c>
      <x:c r="D2498" s="11" t="str">
        <x:v>2024-07</x:v>
      </x:c>
      <x:c r="E2498" s="11" t="str">
        <x:v>South</x:v>
      </x:c>
      <x:c r="F2498" s="11" t="str">
        <x:v>Technology</x:v>
      </x:c>
      <x:c r="G2498" s="11" t="str">
        <x:v>Keyboard</x:v>
      </x:c>
      <x:c r="H2498" s="11" t="n">
        <x:v>1</x:v>
      </x:c>
      <x:c r="I2498" s="19" t="n">
        <x:v>0</x:v>
      </x:c>
      <x:c r="J2498" s="11" t="n">
        <x:v>0</x:v>
      </x:c>
      <x:c r="K2498" s="20" t="n">
        <x:v>65</x:v>
      </x:c>
      <x:c r="L2498" s="20" t="n">
        <x:v>0</x:v>
      </x:c>
      <x:c r="M2498" s="20" t="n">
        <x:v>32</x:v>
      </x:c>
      <x:c r="N2498" s="20" t="n">
        <x:f>IF(J2498=1,0,K2498-L2498)</x:f>
        <x:v>65</x:v>
      </x:c>
      <x:c r="O2498" s="20" t="n">
        <x:f>N2498-M2498</x:f>
        <x:v>33</x:v>
      </x:c>
    </x:row>
    <x:row r="2499" ht="22" customHeight="1">
      <x:c r="A2499" s="11" t="n">
        <x:v>2495</x:v>
      </x:c>
      <x:c r="B2499" s="11" t="n">
        <x:v>1257</x:v>
      </x:c>
      <x:c r="C2499" s="18" t="n">
        <x:v>45494</x:v>
      </x:c>
      <x:c r="D2499" s="11" t="str">
        <x:v>2024-07</x:v>
      </x:c>
      <x:c r="E2499" s="11" t="str">
        <x:v>East</x:v>
      </x:c>
      <x:c r="F2499" s="11" t="str">
        <x:v>Office Supplies</x:v>
      </x:c>
      <x:c r="G2499" s="11" t="str">
        <x:v>Notebook pack</x:v>
      </x:c>
      <x:c r="H2499" s="11" t="n">
        <x:v>1</x:v>
      </x:c>
      <x:c r="I2499" s="19" t="n">
        <x:v>0</x:v>
      </x:c>
      <x:c r="J2499" s="11" t="n">
        <x:v>0</x:v>
      </x:c>
      <x:c r="K2499" s="20" t="n">
        <x:v>18</x:v>
      </x:c>
      <x:c r="L2499" s="20" t="n">
        <x:v>0</x:v>
      </x:c>
      <x:c r="M2499" s="20" t="n">
        <x:v>7</x:v>
      </x:c>
      <x:c r="N2499" s="20" t="n">
        <x:f>IF(J2499=1,0,K2499-L2499)</x:f>
        <x:v>18</x:v>
      </x:c>
      <x:c r="O2499" s="20" t="n">
        <x:f>N2499-M2499</x:f>
        <x:v>11</x:v>
      </x:c>
    </x:row>
    <x:row r="2500" ht="22" customHeight="1">
      <x:c r="A2500" s="11" t="n">
        <x:v>2496</x:v>
      </x:c>
      <x:c r="B2500" s="11" t="n">
        <x:v>1257</x:v>
      </x:c>
      <x:c r="C2500" s="18" t="n">
        <x:v>45494</x:v>
      </x:c>
      <x:c r="D2500" s="11" t="str">
        <x:v>2024-07</x:v>
      </x:c>
      <x:c r="E2500" s="11" t="str">
        <x:v>East</x:v>
      </x:c>
      <x:c r="F2500" s="11" t="str">
        <x:v>Furniture</x:v>
      </x:c>
      <x:c r="G2500" s="11" t="str">
        <x:v>Chair</x:v>
      </x:c>
      <x:c r="H2500" s="11" t="n">
        <x:v>3</x:v>
      </x:c>
      <x:c r="I2500" s="19" t="n">
        <x:v>0.05</x:v>
      </x:c>
      <x:c r="J2500" s="11" t="n">
        <x:v>0</x:v>
      </x:c>
      <x:c r="K2500" s="20" t="n">
        <x:v>510</x:v>
      </x:c>
      <x:c r="L2500" s="20" t="n">
        <x:v>25.5</x:v>
      </x:c>
      <x:c r="M2500" s="20" t="n">
        <x:v>330</x:v>
      </x:c>
      <x:c r="N2500" s="20" t="n">
        <x:f>IF(J2500=1,0,K2500-L2500)</x:f>
        <x:v>484.5</x:v>
      </x:c>
      <x:c r="O2500" s="20" t="n">
        <x:f>N2500-M2500</x:f>
        <x:v>154.5</x:v>
      </x:c>
    </x:row>
    <x:row r="2501" ht="22" customHeight="1">
      <x:c r="A2501" s="11" t="n">
        <x:v>2497</x:v>
      </x:c>
      <x:c r="B2501" s="11" t="n">
        <x:v>1257</x:v>
      </x:c>
      <x:c r="C2501" s="18" t="n">
        <x:v>45494</x:v>
      </x:c>
      <x:c r="D2501" s="11" t="str">
        <x:v>2024-07</x:v>
      </x:c>
      <x:c r="E2501" s="11" t="str">
        <x:v>East</x:v>
      </x:c>
      <x:c r="F2501" s="11" t="str">
        <x:v>Furniture</x:v>
      </x:c>
      <x:c r="G2501" s="11" t="str">
        <x:v>Desk</x:v>
      </x:c>
      <x:c r="H2501" s="11" t="n">
        <x:v>5</x:v>
      </x:c>
      <x:c r="I2501" s="19" t="n">
        <x:v>0.1</x:v>
      </x:c>
      <x:c r="J2501" s="11" t="n">
        <x:v>0</x:v>
      </x:c>
      <x:c r="K2501" s="20" t="n">
        <x:v>1400</x:v>
      </x:c>
      <x:c r="L2501" s="20" t="n">
        <x:v>140</x:v>
      </x:c>
      <x:c r="M2501" s="20" t="n">
        <x:v>950</x:v>
      </x:c>
      <x:c r="N2501" s="20" t="n">
        <x:f>IF(J2501=1,0,K2501-L2501)</x:f>
        <x:v>1260</x:v>
      </x:c>
      <x:c r="O2501" s="20" t="n">
        <x:f>N2501-M2501</x:f>
        <x:v>310</x:v>
      </x:c>
    </x:row>
    <x:row r="2502" ht="22" customHeight="1">
      <x:c r="A2502" s="11" t="n">
        <x:v>2498</x:v>
      </x:c>
      <x:c r="B2502" s="11" t="n">
        <x:v>1258</x:v>
      </x:c>
      <x:c r="C2502" s="18" t="n">
        <x:v>45810</x:v>
      </x:c>
      <x:c r="D2502" s="11" t="str">
        <x:v>2025-06</x:v>
      </x:c>
      <x:c r="E2502" s="11" t="str">
        <x:v>West</x:v>
      </x:c>
      <x:c r="F2502" s="11" t="str">
        <x:v>Technology</x:v>
      </x:c>
      <x:c r="G2502" s="11" t="str">
        <x:v>Keyboard</x:v>
      </x:c>
      <x:c r="H2502" s="11" t="n">
        <x:v>3</x:v>
      </x:c>
      <x:c r="I2502" s="19" t="n">
        <x:v>0.05</x:v>
      </x:c>
      <x:c r="J2502" s="11" t="n">
        <x:v>0</x:v>
      </x:c>
      <x:c r="K2502" s="20" t="n">
        <x:v>195</x:v>
      </x:c>
      <x:c r="L2502" s="20" t="n">
        <x:v>9.75</x:v>
      </x:c>
      <x:c r="M2502" s="20" t="n">
        <x:v>96</x:v>
      </x:c>
      <x:c r="N2502" s="20" t="n">
        <x:f>IF(J2502=1,0,K2502-L2502)</x:f>
        <x:v>185.25</x:v>
      </x:c>
      <x:c r="O2502" s="20" t="n">
        <x:f>N2502-M2502</x:f>
        <x:v>89.25</x:v>
      </x:c>
    </x:row>
    <x:row r="2503" ht="22" customHeight="1">
      <x:c r="A2503" s="11" t="n">
        <x:v>2499</x:v>
      </x:c>
      <x:c r="B2503" s="11" t="n">
        <x:v>1259</x:v>
      </x:c>
      <x:c r="C2503" s="18" t="n">
        <x:v>45835</x:v>
      </x:c>
      <x:c r="D2503" s="11" t="str">
        <x:v>2025-06</x:v>
      </x:c>
      <x:c r="E2503" s="11" t="str">
        <x:v>Central</x:v>
      </x:c>
      <x:c r="F2503" s="11" t="str">
        <x:v>Furniture</x:v>
      </x:c>
      <x:c r="G2503" s="11" t="str">
        <x:v>Chair</x:v>
      </x:c>
      <x:c r="H2503" s="11" t="n">
        <x:v>1</x:v>
      </x:c>
      <x:c r="I2503" s="19" t="n">
        <x:v>0</x:v>
      </x:c>
      <x:c r="J2503" s="11" t="n">
        <x:v>0</x:v>
      </x:c>
      <x:c r="K2503" s="20" t="n">
        <x:v>170</x:v>
      </x:c>
      <x:c r="L2503" s="20" t="n">
        <x:v>0</x:v>
      </x:c>
      <x:c r="M2503" s="20" t="n">
        <x:v>110</x:v>
      </x:c>
      <x:c r="N2503" s="20" t="n">
        <x:f>IF(J2503=1,0,K2503-L2503)</x:f>
        <x:v>170</x:v>
      </x:c>
      <x:c r="O2503" s="20" t="n">
        <x:f>N2503-M2503</x:f>
        <x:v>60</x:v>
      </x:c>
    </x:row>
    <x:row r="2504" ht="22" customHeight="1">
      <x:c r="A2504" s="11" t="n">
        <x:v>2500</x:v>
      </x:c>
      <x:c r="B2504" s="11" t="n">
        <x:v>1259</x:v>
      </x:c>
      <x:c r="C2504" s="18" t="n">
        <x:v>45835</x:v>
      </x:c>
      <x:c r="D2504" s="11" t="str">
        <x:v>2025-06</x:v>
      </x:c>
      <x:c r="E2504" s="11" t="str">
        <x:v>Central</x:v>
      </x:c>
      <x:c r="F2504" s="11" t="str">
        <x:v>Furniture</x:v>
      </x:c>
      <x:c r="G2504" s="11" t="str">
        <x:v>Desk</x:v>
      </x:c>
      <x:c r="H2504" s="11" t="n">
        <x:v>1</x:v>
      </x:c>
      <x:c r="I2504" s="19" t="n">
        <x:v>0.25</x:v>
      </x:c>
      <x:c r="J2504" s="11" t="n">
        <x:v>0</x:v>
      </x:c>
      <x:c r="K2504" s="20" t="n">
        <x:v>280</x:v>
      </x:c>
      <x:c r="L2504" s="20" t="n">
        <x:v>70</x:v>
      </x:c>
      <x:c r="M2504" s="20" t="n">
        <x:v>190</x:v>
      </x:c>
      <x:c r="N2504" s="20" t="n">
        <x:f>IF(J2504=1,0,K2504-L2504)</x:f>
        <x:v>210</x:v>
      </x:c>
      <x:c r="O2504" s="20" t="n">
        <x:f>N2504-M2504</x:f>
        <x:v>20</x:v>
      </x:c>
    </x:row>
    <x:row r="2505" ht="22" customHeight="1">
      <x:c r="A2505" s="11" t="n">
        <x:v>2501</x:v>
      </x:c>
      <x:c r="B2505" s="11" t="n">
        <x:v>1260</x:v>
      </x:c>
      <x:c r="C2505" s="18" t="n">
        <x:v>45748</x:v>
      </x:c>
      <x:c r="D2505" s="11" t="str">
        <x:v>2025-04</x:v>
      </x:c>
      <x:c r="E2505" s="11" t="str">
        <x:v>East</x:v>
      </x:c>
      <x:c r="F2505" s="11" t="str">
        <x:v>Office Supplies</x:v>
      </x:c>
      <x:c r="G2505" s="11" t="str">
        <x:v>Notebook pack</x:v>
      </x:c>
      <x:c r="H2505" s="11" t="n">
        <x:v>5</x:v>
      </x:c>
      <x:c r="I2505" s="19" t="n">
        <x:v>0</x:v>
      </x:c>
      <x:c r="J2505" s="11" t="n">
        <x:v>0</x:v>
      </x:c>
      <x:c r="K2505" s="20" t="n">
        <x:v>90</x:v>
      </x:c>
      <x:c r="L2505" s="20" t="n">
        <x:v>0</x:v>
      </x:c>
      <x:c r="M2505" s="20" t="n">
        <x:v>35</x:v>
      </x:c>
      <x:c r="N2505" s="20" t="n">
        <x:f>IF(J2505=1,0,K2505-L2505)</x:f>
        <x:v>90</x:v>
      </x:c>
      <x:c r="O2505" s="20" t="n">
        <x:f>N2505-M2505</x:f>
        <x:v>55</x:v>
      </x:c>
    </x:row>
    <x:row r="2506" ht="22" customHeight="1">
      <x:c r="A2506" s="11" t="n">
        <x:v>2502</x:v>
      </x:c>
      <x:c r="B2506" s="11" t="n">
        <x:v>1260</x:v>
      </x:c>
      <x:c r="C2506" s="18" t="n">
        <x:v>45748</x:v>
      </x:c>
      <x:c r="D2506" s="11" t="str">
        <x:v>2025-04</x:v>
      </x:c>
      <x:c r="E2506" s="11" t="str">
        <x:v>East</x:v>
      </x:c>
      <x:c r="F2506" s="11" t="str">
        <x:v>Technology</x:v>
      </x:c>
      <x:c r="G2506" s="11" t="str">
        <x:v>Monitor</x:v>
      </x:c>
      <x:c r="H2506" s="11" t="n">
        <x:v>3</x:v>
      </x:c>
      <x:c r="I2506" s="19" t="n">
        <x:v>0.1</x:v>
      </x:c>
      <x:c r="J2506" s="11" t="n">
        <x:v>0</x:v>
      </x:c>
      <x:c r="K2506" s="20" t="n">
        <x:v>720</x:v>
      </x:c>
      <x:c r="L2506" s="20" t="n">
        <x:v>72</x:v>
      </x:c>
      <x:c r="M2506" s="20" t="n">
        <x:v>480</x:v>
      </x:c>
      <x:c r="N2506" s="20" t="n">
        <x:f>IF(J2506=1,0,K2506-L2506)</x:f>
        <x:v>648</x:v>
      </x:c>
      <x:c r="O2506" s="20" t="n">
        <x:f>N2506-M2506</x:f>
        <x:v>168</x:v>
      </x:c>
    </x:row>
    <x:row r="2507" ht="22" customHeight="1">
      <x:c r="A2507" s="11" t="n">
        <x:v>2503</x:v>
      </x:c>
      <x:c r="B2507" s="11" t="n">
        <x:v>1261</x:v>
      </x:c>
      <x:c r="C2507" s="18" t="n">
        <x:v>45783</x:v>
      </x:c>
      <x:c r="D2507" s="11" t="str">
        <x:v>2025-05</x:v>
      </x:c>
      <x:c r="E2507" s="11" t="str">
        <x:v>West</x:v>
      </x:c>
      <x:c r="F2507" s="11" t="str">
        <x:v>Technology</x:v>
      </x:c>
      <x:c r="G2507" s="11" t="str">
        <x:v>Keyboard</x:v>
      </x:c>
      <x:c r="H2507" s="11" t="n">
        <x:v>5</x:v>
      </x:c>
      <x:c r="I2507" s="19" t="n">
        <x:v>0</x:v>
      </x:c>
      <x:c r="J2507" s="11" t="n">
        <x:v>0</x:v>
      </x:c>
      <x:c r="K2507" s="20" t="n">
        <x:v>325</x:v>
      </x:c>
      <x:c r="L2507" s="20" t="n">
        <x:v>0</x:v>
      </x:c>
      <x:c r="M2507" s="20" t="n">
        <x:v>160</x:v>
      </x:c>
      <x:c r="N2507" s="20" t="n">
        <x:f>IF(J2507=1,0,K2507-L2507)</x:f>
        <x:v>325</x:v>
      </x:c>
      <x:c r="O2507" s="20" t="n">
        <x:f>N2507-M2507</x:f>
        <x:v>165</x:v>
      </x:c>
    </x:row>
    <x:row r="2508" ht="22" customHeight="1">
      <x:c r="A2508" s="11" t="n">
        <x:v>2504</x:v>
      </x:c>
      <x:c r="B2508" s="11" t="n">
        <x:v>1261</x:v>
      </x:c>
      <x:c r="C2508" s="18" t="n">
        <x:v>45783</x:v>
      </x:c>
      <x:c r="D2508" s="11" t="str">
        <x:v>2025-05</x:v>
      </x:c>
      <x:c r="E2508" s="11" t="str">
        <x:v>West</x:v>
      </x:c>
      <x:c r="F2508" s="11" t="str">
        <x:v>Technology</x:v>
      </x:c>
      <x:c r="G2508" s="11" t="str">
        <x:v>Monitor</x:v>
      </x:c>
      <x:c r="H2508" s="11" t="n">
        <x:v>2</x:v>
      </x:c>
      <x:c r="I2508" s="19" t="n">
        <x:v>0</x:v>
      </x:c>
      <x:c r="J2508" s="11" t="n">
        <x:v>0</x:v>
      </x:c>
      <x:c r="K2508" s="20" t="n">
        <x:v>480</x:v>
      </x:c>
      <x:c r="L2508" s="20" t="n">
        <x:v>0</x:v>
      </x:c>
      <x:c r="M2508" s="20" t="n">
        <x:v>320</x:v>
      </x:c>
      <x:c r="N2508" s="20" t="n">
        <x:f>IF(J2508=1,0,K2508-L2508)</x:f>
        <x:v>480</x:v>
      </x:c>
      <x:c r="O2508" s="20" t="n">
        <x:f>N2508-M2508</x:f>
        <x:v>160</x:v>
      </x:c>
    </x:row>
    <x:row r="2509" ht="22" customHeight="1">
      <x:c r="A2509" s="11" t="n">
        <x:v>2505</x:v>
      </x:c>
      <x:c r="B2509" s="11" t="n">
        <x:v>1262</x:v>
      </x:c>
      <x:c r="C2509" s="18" t="n">
        <x:v>45711</x:v>
      </x:c>
      <x:c r="D2509" s="11" t="str">
        <x:v>2025-02</x:v>
      </x:c>
      <x:c r="E2509" s="11" t="str">
        <x:v>East</x:v>
      </x:c>
      <x:c r="F2509" s="11" t="str">
        <x:v>Technology</x:v>
      </x:c>
      <x:c r="G2509" s="11" t="str">
        <x:v>Keyboard</x:v>
      </x:c>
      <x:c r="H2509" s="11" t="n">
        <x:v>4</x:v>
      </x:c>
      <x:c r="I2509" s="19" t="n">
        <x:v>0.1</x:v>
      </x:c>
      <x:c r="J2509" s="11" t="n">
        <x:v>0</x:v>
      </x:c>
      <x:c r="K2509" s="20" t="n">
        <x:v>260</x:v>
      </x:c>
      <x:c r="L2509" s="20" t="n">
        <x:v>26</x:v>
      </x:c>
      <x:c r="M2509" s="20" t="n">
        <x:v>128</x:v>
      </x:c>
      <x:c r="N2509" s="20" t="n">
        <x:f>IF(J2509=1,0,K2509-L2509)</x:f>
        <x:v>234</x:v>
      </x:c>
      <x:c r="O2509" s="20" t="n">
        <x:f>N2509-M2509</x:f>
        <x:v>106</x:v>
      </x:c>
    </x:row>
    <x:row r="2510" ht="22" customHeight="1">
      <x:c r="A2510" s="11" t="n">
        <x:v>2506</x:v>
      </x:c>
      <x:c r="B2510" s="11" t="n">
        <x:v>1262</x:v>
      </x:c>
      <x:c r="C2510" s="18" t="n">
        <x:v>45711</x:v>
      </x:c>
      <x:c r="D2510" s="11" t="str">
        <x:v>2025-02</x:v>
      </x:c>
      <x:c r="E2510" s="11" t="str">
        <x:v>East</x:v>
      </x:c>
      <x:c r="F2510" s="11" t="str">
        <x:v>Office Supplies</x:v>
      </x:c>
      <x:c r="G2510" s="11" t="str">
        <x:v>Storage box</x:v>
      </x:c>
      <x:c r="H2510" s="11" t="n">
        <x:v>4</x:v>
      </x:c>
      <x:c r="I2510" s="19" t="n">
        <x:v>0.1</x:v>
      </x:c>
      <x:c r="J2510" s="11" t="n">
        <x:v>0</x:v>
      </x:c>
      <x:c r="K2510" s="20" t="n">
        <x:v>104</x:v>
      </x:c>
      <x:c r="L2510" s="20" t="n">
        <x:v>10.4</x:v>
      </x:c>
      <x:c r="M2510" s="20" t="n">
        <x:v>48</x:v>
      </x:c>
      <x:c r="N2510" s="20" t="n">
        <x:f>IF(J2510=1,0,K2510-L2510)</x:f>
        <x:v>93.6</x:v>
      </x:c>
      <x:c r="O2510" s="20" t="n">
        <x:f>N2510-M2510</x:f>
        <x:v>45.599999999999994</x:v>
      </x:c>
    </x:row>
    <x:row r="2511" ht="22" customHeight="1">
      <x:c r="A2511" s="11" t="n">
        <x:v>2507</x:v>
      </x:c>
      <x:c r="B2511" s="11" t="n">
        <x:v>1263</x:v>
      </x:c>
      <x:c r="C2511" s="18" t="n">
        <x:v>45434</x:v>
      </x:c>
      <x:c r="D2511" s="11" t="str">
        <x:v>2024-05</x:v>
      </x:c>
      <x:c r="E2511" s="11" t="str">
        <x:v>Central</x:v>
      </x:c>
      <x:c r="F2511" s="11" t="str">
        <x:v>Furniture</x:v>
      </x:c>
      <x:c r="G2511" s="11" t="str">
        <x:v>Chair</x:v>
      </x:c>
      <x:c r="H2511" s="11" t="n">
        <x:v>1</x:v>
      </x:c>
      <x:c r="I2511" s="19" t="n">
        <x:v>0.25</x:v>
      </x:c>
      <x:c r="J2511" s="11" t="n">
        <x:v>0</x:v>
      </x:c>
      <x:c r="K2511" s="20" t="n">
        <x:v>170</x:v>
      </x:c>
      <x:c r="L2511" s="20" t="n">
        <x:v>42.5</x:v>
      </x:c>
      <x:c r="M2511" s="20" t="n">
        <x:v>110</x:v>
      </x:c>
      <x:c r="N2511" s="20" t="n">
        <x:f>IF(J2511=1,0,K2511-L2511)</x:f>
        <x:v>127.5</x:v>
      </x:c>
      <x:c r="O2511" s="20" t="n">
        <x:f>N2511-M2511</x:f>
        <x:v>17.5</x:v>
      </x:c>
    </x:row>
    <x:row r="2512" ht="22" customHeight="1">
      <x:c r="A2512" s="11" t="n">
        <x:v>2508</x:v>
      </x:c>
      <x:c r="B2512" s="11" t="n">
        <x:v>1263</x:v>
      </x:c>
      <x:c r="C2512" s="18" t="n">
        <x:v>45434</x:v>
      </x:c>
      <x:c r="D2512" s="11" t="str">
        <x:v>2024-05</x:v>
      </x:c>
      <x:c r="E2512" s="11" t="str">
        <x:v>Central</x:v>
      </x:c>
      <x:c r="F2512" s="11" t="str">
        <x:v>Technology</x:v>
      </x:c>
      <x:c r="G2512" s="11" t="str">
        <x:v>Keyboard</x:v>
      </x:c>
      <x:c r="H2512" s="11" t="n">
        <x:v>2</x:v>
      </x:c>
      <x:c r="I2512" s="19" t="n">
        <x:v>0</x:v>
      </x:c>
      <x:c r="J2512" s="11" t="n">
        <x:v>0</x:v>
      </x:c>
      <x:c r="K2512" s="20" t="n">
        <x:v>130</x:v>
      </x:c>
      <x:c r="L2512" s="20" t="n">
        <x:v>0</x:v>
      </x:c>
      <x:c r="M2512" s="20" t="n">
        <x:v>64</x:v>
      </x:c>
      <x:c r="N2512" s="20" t="n">
        <x:f>IF(J2512=1,0,K2512-L2512)</x:f>
        <x:v>130</x:v>
      </x:c>
      <x:c r="O2512" s="20" t="n">
        <x:f>N2512-M2512</x:f>
        <x:v>66</x:v>
      </x:c>
    </x:row>
    <x:row r="2513" ht="22" customHeight="1">
      <x:c r="A2513" s="11" t="n">
        <x:v>2509</x:v>
      </x:c>
      <x:c r="B2513" s="11" t="n">
        <x:v>1263</x:v>
      </x:c>
      <x:c r="C2513" s="18" t="n">
        <x:v>45434</x:v>
      </x:c>
      <x:c r="D2513" s="11" t="str">
        <x:v>2024-05</x:v>
      </x:c>
      <x:c r="E2513" s="11" t="str">
        <x:v>Central</x:v>
      </x:c>
      <x:c r="F2513" s="11" t="str">
        <x:v>Technology</x:v>
      </x:c>
      <x:c r="G2513" s="11" t="str">
        <x:v>Monitor</x:v>
      </x:c>
      <x:c r="H2513" s="11" t="n">
        <x:v>2</x:v>
      </x:c>
      <x:c r="I2513" s="19" t="n">
        <x:v>0</x:v>
      </x:c>
      <x:c r="J2513" s="11" t="n">
        <x:v>0</x:v>
      </x:c>
      <x:c r="K2513" s="20" t="n">
        <x:v>480</x:v>
      </x:c>
      <x:c r="L2513" s="20" t="n">
        <x:v>0</x:v>
      </x:c>
      <x:c r="M2513" s="20" t="n">
        <x:v>320</x:v>
      </x:c>
      <x:c r="N2513" s="20" t="n">
        <x:f>IF(J2513=1,0,K2513-L2513)</x:f>
        <x:v>480</x:v>
      </x:c>
      <x:c r="O2513" s="20" t="n">
        <x:f>N2513-M2513</x:f>
        <x:v>160</x:v>
      </x:c>
    </x:row>
    <x:row r="2514" ht="22" customHeight="1">
      <x:c r="A2514" s="11" t="n">
        <x:v>2510</x:v>
      </x:c>
      <x:c r="B2514" s="11" t="n">
        <x:v>1264</x:v>
      </x:c>
      <x:c r="C2514" s="18" t="n">
        <x:v>45692</x:v>
      </x:c>
      <x:c r="D2514" s="11" t="str">
        <x:v>2025-02</x:v>
      </x:c>
      <x:c r="E2514" s="11" t="str">
        <x:v>East</x:v>
      </x:c>
      <x:c r="F2514" s="11" t="str">
        <x:v>Technology</x:v>
      </x:c>
      <x:c r="G2514" s="11" t="str">
        <x:v>Monitor</x:v>
      </x:c>
      <x:c r="H2514" s="11" t="n">
        <x:v>1</x:v>
      </x:c>
      <x:c r="I2514" s="19" t="n">
        <x:v>0.1</x:v>
      </x:c>
      <x:c r="J2514" s="11" t="n">
        <x:v>0</x:v>
      </x:c>
      <x:c r="K2514" s="20" t="n">
        <x:v>240</x:v>
      </x:c>
      <x:c r="L2514" s="20" t="n">
        <x:v>24</x:v>
      </x:c>
      <x:c r="M2514" s="20" t="n">
        <x:v>160</x:v>
      </x:c>
      <x:c r="N2514" s="20" t="n">
        <x:f>IF(J2514=1,0,K2514-L2514)</x:f>
        <x:v>216</x:v>
      </x:c>
      <x:c r="O2514" s="20" t="n">
        <x:f>N2514-M2514</x:f>
        <x:v>56</x:v>
      </x:c>
    </x:row>
    <x:row r="2515" ht="22" customHeight="1">
      <x:c r="A2515" s="11" t="n">
        <x:v>2511</x:v>
      </x:c>
      <x:c r="B2515" s="11" t="n">
        <x:v>1264</x:v>
      </x:c>
      <x:c r="C2515" s="18" t="n">
        <x:v>45692</x:v>
      </x:c>
      <x:c r="D2515" s="11" t="str">
        <x:v>2025-02</x:v>
      </x:c>
      <x:c r="E2515" s="11" t="str">
        <x:v>East</x:v>
      </x:c>
      <x:c r="F2515" s="11" t="str">
        <x:v>Furniture</x:v>
      </x:c>
      <x:c r="G2515" s="11" t="str">
        <x:v>Chair</x:v>
      </x:c>
      <x:c r="H2515" s="11" t="n">
        <x:v>3</x:v>
      </x:c>
      <x:c r="I2515" s="19" t="n">
        <x:v>0.1</x:v>
      </x:c>
      <x:c r="J2515" s="11" t="n">
        <x:v>0</x:v>
      </x:c>
      <x:c r="K2515" s="20" t="n">
        <x:v>510</x:v>
      </x:c>
      <x:c r="L2515" s="20" t="n">
        <x:v>51</x:v>
      </x:c>
      <x:c r="M2515" s="20" t="n">
        <x:v>330</x:v>
      </x:c>
      <x:c r="N2515" s="20" t="n">
        <x:f>IF(J2515=1,0,K2515-L2515)</x:f>
        <x:v>459</x:v>
      </x:c>
      <x:c r="O2515" s="20" t="n">
        <x:f>N2515-M2515</x:f>
        <x:v>129</x:v>
      </x:c>
    </x:row>
    <x:row r="2516" ht="22" customHeight="1">
      <x:c r="A2516" s="11" t="n">
        <x:v>2512</x:v>
      </x:c>
      <x:c r="B2516" s="11" t="n">
        <x:v>1265</x:v>
      </x:c>
      <x:c r="C2516" s="18" t="n">
        <x:v>45790</x:v>
      </x:c>
      <x:c r="D2516" s="11" t="str">
        <x:v>2025-05</x:v>
      </x:c>
      <x:c r="E2516" s="11" t="str">
        <x:v>East</x:v>
      </x:c>
      <x:c r="F2516" s="11" t="str">
        <x:v>Technology</x:v>
      </x:c>
      <x:c r="G2516" s="11" t="str">
        <x:v>Keyboard</x:v>
      </x:c>
      <x:c r="H2516" s="11" t="n">
        <x:v>4</x:v>
      </x:c>
      <x:c r="I2516" s="19" t="n">
        <x:v>0</x:v>
      </x:c>
      <x:c r="J2516" s="11" t="n">
        <x:v>0</x:v>
      </x:c>
      <x:c r="K2516" s="20" t="n">
        <x:v>260</x:v>
      </x:c>
      <x:c r="L2516" s="20" t="n">
        <x:v>0</x:v>
      </x:c>
      <x:c r="M2516" s="20" t="n">
        <x:v>128</x:v>
      </x:c>
      <x:c r="N2516" s="20" t="n">
        <x:f>IF(J2516=1,0,K2516-L2516)</x:f>
        <x:v>260</x:v>
      </x:c>
      <x:c r="O2516" s="20" t="n">
        <x:f>N2516-M2516</x:f>
        <x:v>132</x:v>
      </x:c>
    </x:row>
    <x:row r="2517" ht="22" customHeight="1">
      <x:c r="A2517" s="11" t="n">
        <x:v>2513</x:v>
      </x:c>
      <x:c r="B2517" s="11" t="n">
        <x:v>1265</x:v>
      </x:c>
      <x:c r="C2517" s="18" t="n">
        <x:v>45790</x:v>
      </x:c>
      <x:c r="D2517" s="11" t="str">
        <x:v>2025-05</x:v>
      </x:c>
      <x:c r="E2517" s="11" t="str">
        <x:v>East</x:v>
      </x:c>
      <x:c r="F2517" s="11" t="str">
        <x:v>Furniture</x:v>
      </x:c>
      <x:c r="G2517" s="11" t="str">
        <x:v>Chair</x:v>
      </x:c>
      <x:c r="H2517" s="11" t="n">
        <x:v>1</x:v>
      </x:c>
      <x:c r="I2517" s="19" t="n">
        <x:v>0</x:v>
      </x:c>
      <x:c r="J2517" s="11" t="n">
        <x:v>0</x:v>
      </x:c>
      <x:c r="K2517" s="20" t="n">
        <x:v>170</x:v>
      </x:c>
      <x:c r="L2517" s="20" t="n">
        <x:v>0</x:v>
      </x:c>
      <x:c r="M2517" s="20" t="n">
        <x:v>110</x:v>
      </x:c>
      <x:c r="N2517" s="20" t="n">
        <x:f>IF(J2517=1,0,K2517-L2517)</x:f>
        <x:v>170</x:v>
      </x:c>
      <x:c r="O2517" s="20" t="n">
        <x:f>N2517-M2517</x:f>
        <x:v>60</x:v>
      </x:c>
    </x:row>
    <x:row r="2518" ht="22" customHeight="1">
      <x:c r="A2518" s="11" t="n">
        <x:v>2514</x:v>
      </x:c>
      <x:c r="B2518" s="11" t="n">
        <x:v>1266</x:v>
      </x:c>
      <x:c r="C2518" s="18" t="n">
        <x:v>46014</x:v>
      </x:c>
      <x:c r="D2518" s="11" t="str">
        <x:v>2025-12</x:v>
      </x:c>
      <x:c r="E2518" s="11" t="str">
        <x:v>Central</x:v>
      </x:c>
      <x:c r="F2518" s="11" t="str">
        <x:v>Furniture</x:v>
      </x:c>
      <x:c r="G2518" s="11" t="str">
        <x:v>Chair</x:v>
      </x:c>
      <x:c r="H2518" s="11" t="n">
        <x:v>5</x:v>
      </x:c>
      <x:c r="I2518" s="19" t="n">
        <x:v>0.35</x:v>
      </x:c>
      <x:c r="J2518" s="11" t="n">
        <x:v>0</x:v>
      </x:c>
      <x:c r="K2518" s="20" t="n">
        <x:v>850</x:v>
      </x:c>
      <x:c r="L2518" s="20" t="n">
        <x:v>297.5</x:v>
      </x:c>
      <x:c r="M2518" s="20" t="n">
        <x:v>550</x:v>
      </x:c>
      <x:c r="N2518" s="20" t="n">
        <x:f>IF(J2518=1,0,K2518-L2518)</x:f>
        <x:v>552.5</x:v>
      </x:c>
      <x:c r="O2518" s="20" t="n">
        <x:f>N2518-M2518</x:f>
        <x:v>2.5</x:v>
      </x:c>
    </x:row>
    <x:row r="2519" ht="22" customHeight="1">
      <x:c r="A2519" s="11" t="n">
        <x:v>2515</x:v>
      </x:c>
      <x:c r="B2519" s="11" t="n">
        <x:v>1267</x:v>
      </x:c>
      <x:c r="C2519" s="18" t="n">
        <x:v>45718</x:v>
      </x:c>
      <x:c r="D2519" s="11" t="str">
        <x:v>2025-03</x:v>
      </x:c>
      <x:c r="E2519" s="11" t="str">
        <x:v>West</x:v>
      </x:c>
      <x:c r="F2519" s="11" t="str">
        <x:v>Office Supplies</x:v>
      </x:c>
      <x:c r="G2519" s="11" t="str">
        <x:v>Storage box</x:v>
      </x:c>
      <x:c r="H2519" s="11" t="n">
        <x:v>3</x:v>
      </x:c>
      <x:c r="I2519" s="19" t="n">
        <x:v>0.05</x:v>
      </x:c>
      <x:c r="J2519" s="11" t="n">
        <x:v>0</x:v>
      </x:c>
      <x:c r="K2519" s="20" t="n">
        <x:v>78</x:v>
      </x:c>
      <x:c r="L2519" s="20" t="n">
        <x:v>3.9</x:v>
      </x:c>
      <x:c r="M2519" s="20" t="n">
        <x:v>36</x:v>
      </x:c>
      <x:c r="N2519" s="20" t="n">
        <x:f>IF(J2519=1,0,K2519-L2519)</x:f>
        <x:v>74.1</x:v>
      </x:c>
      <x:c r="O2519" s="20" t="n">
        <x:f>N2519-M2519</x:f>
        <x:v>38.099999999999994</x:v>
      </x:c>
    </x:row>
    <x:row r="2520" ht="22" customHeight="1">
      <x:c r="A2520" s="11" t="n">
        <x:v>2516</x:v>
      </x:c>
      <x:c r="B2520" s="11" t="n">
        <x:v>1267</x:v>
      </x:c>
      <x:c r="C2520" s="18" t="n">
        <x:v>45718</x:v>
      </x:c>
      <x:c r="D2520" s="11" t="str">
        <x:v>2025-03</x:v>
      </x:c>
      <x:c r="E2520" s="11" t="str">
        <x:v>West</x:v>
      </x:c>
      <x:c r="F2520" s="11" t="str">
        <x:v>Furniture</x:v>
      </x:c>
      <x:c r="G2520" s="11" t="str">
        <x:v>Chair</x:v>
      </x:c>
      <x:c r="H2520" s="11" t="n">
        <x:v>4</x:v>
      </x:c>
      <x:c r="I2520" s="19" t="n">
        <x:v>0</x:v>
      </x:c>
      <x:c r="J2520" s="11" t="n">
        <x:v>0</x:v>
      </x:c>
      <x:c r="K2520" s="20" t="n">
        <x:v>680</x:v>
      </x:c>
      <x:c r="L2520" s="20" t="n">
        <x:v>0</x:v>
      </x:c>
      <x:c r="M2520" s="20" t="n">
        <x:v>440</x:v>
      </x:c>
      <x:c r="N2520" s="20" t="n">
        <x:f>IF(J2520=1,0,K2520-L2520)</x:f>
        <x:v>680</x:v>
      </x:c>
      <x:c r="O2520" s="20" t="n">
        <x:f>N2520-M2520</x:f>
        <x:v>240</x:v>
      </x:c>
    </x:row>
    <x:row r="2521" ht="22" customHeight="1">
      <x:c r="A2521" s="11" t="n">
        <x:v>2517</x:v>
      </x:c>
      <x:c r="B2521" s="11" t="n">
        <x:v>1268</x:v>
      </x:c>
      <x:c r="C2521" s="18" t="n">
        <x:v>45834</x:v>
      </x:c>
      <x:c r="D2521" s="11" t="str">
        <x:v>2025-06</x:v>
      </x:c>
      <x:c r="E2521" s="11" t="str">
        <x:v>South</x:v>
      </x:c>
      <x:c r="F2521" s="11" t="str">
        <x:v>Technology</x:v>
      </x:c>
      <x:c r="G2521" s="11" t="str">
        <x:v>Monitor</x:v>
      </x:c>
      <x:c r="H2521" s="11" t="n">
        <x:v>5</x:v>
      </x:c>
      <x:c r="I2521" s="19" t="n">
        <x:v>0.1</x:v>
      </x:c>
      <x:c r="J2521" s="11" t="n">
        <x:v>0</x:v>
      </x:c>
      <x:c r="K2521" s="20" t="n">
        <x:v>1200</x:v>
      </x:c>
      <x:c r="L2521" s="20" t="n">
        <x:v>120</x:v>
      </x:c>
      <x:c r="M2521" s="20" t="n">
        <x:v>800</x:v>
      </x:c>
      <x:c r="N2521" s="20" t="n">
        <x:f>IF(J2521=1,0,K2521-L2521)</x:f>
        <x:v>1080</x:v>
      </x:c>
      <x:c r="O2521" s="20" t="n">
        <x:f>N2521-M2521</x:f>
        <x:v>280</x:v>
      </x:c>
    </x:row>
    <x:row r="2522" ht="22" customHeight="1">
      <x:c r="A2522" s="11" t="n">
        <x:v>2518</x:v>
      </x:c>
      <x:c r="B2522" s="11" t="n">
        <x:v>1268</x:v>
      </x:c>
      <x:c r="C2522" s="18" t="n">
        <x:v>45834</x:v>
      </x:c>
      <x:c r="D2522" s="11" t="str">
        <x:v>2025-06</x:v>
      </x:c>
      <x:c r="E2522" s="11" t="str">
        <x:v>South</x:v>
      </x:c>
      <x:c r="F2522" s="11" t="str">
        <x:v>Furniture</x:v>
      </x:c>
      <x:c r="G2522" s="11" t="str">
        <x:v>Chair</x:v>
      </x:c>
      <x:c r="H2522" s="11" t="n">
        <x:v>4</x:v>
      </x:c>
      <x:c r="I2522" s="19" t="n">
        <x:v>0.15</x:v>
      </x:c>
      <x:c r="J2522" s="11" t="n">
        <x:v>0</x:v>
      </x:c>
      <x:c r="K2522" s="20" t="n">
        <x:v>680</x:v>
      </x:c>
      <x:c r="L2522" s="20" t="n">
        <x:v>102</x:v>
      </x:c>
      <x:c r="M2522" s="20" t="n">
        <x:v>440</x:v>
      </x:c>
      <x:c r="N2522" s="20" t="n">
        <x:f>IF(J2522=1,0,K2522-L2522)</x:f>
        <x:v>578</x:v>
      </x:c>
      <x:c r="O2522" s="20" t="n">
        <x:f>N2522-M2522</x:f>
        <x:v>138</x:v>
      </x:c>
    </x:row>
    <x:row r="2523" ht="22" customHeight="1">
      <x:c r="A2523" s="11" t="n">
        <x:v>2519</x:v>
      </x:c>
      <x:c r="B2523" s="11" t="n">
        <x:v>1268</x:v>
      </x:c>
      <x:c r="C2523" s="18" t="n">
        <x:v>45834</x:v>
      </x:c>
      <x:c r="D2523" s="11" t="str">
        <x:v>2025-06</x:v>
      </x:c>
      <x:c r="E2523" s="11" t="str">
        <x:v>South</x:v>
      </x:c>
      <x:c r="F2523" s="11" t="str">
        <x:v>Office Supplies</x:v>
      </x:c>
      <x:c r="G2523" s="11" t="str">
        <x:v>Storage box</x:v>
      </x:c>
      <x:c r="H2523" s="11" t="n">
        <x:v>2</x:v>
      </x:c>
      <x:c r="I2523" s="19" t="n">
        <x:v>0.05</x:v>
      </x:c>
      <x:c r="J2523" s="11" t="n">
        <x:v>0</x:v>
      </x:c>
      <x:c r="K2523" s="20" t="n">
        <x:v>52</x:v>
      </x:c>
      <x:c r="L2523" s="20" t="n">
        <x:v>2.6</x:v>
      </x:c>
      <x:c r="M2523" s="20" t="n">
        <x:v>24</x:v>
      </x:c>
      <x:c r="N2523" s="20" t="n">
        <x:f>IF(J2523=1,0,K2523-L2523)</x:f>
        <x:v>49.4</x:v>
      </x:c>
      <x:c r="O2523" s="20" t="n">
        <x:f>N2523-M2523</x:f>
        <x:v>25.4</x:v>
      </x:c>
    </x:row>
    <x:row r="2524" ht="22" customHeight="1">
      <x:c r="A2524" s="11" t="n">
        <x:v>2520</x:v>
      </x:c>
      <x:c r="B2524" s="11" t="n">
        <x:v>1269</x:v>
      </x:c>
      <x:c r="C2524" s="18" t="n">
        <x:v>45612</x:v>
      </x:c>
      <x:c r="D2524" s="11" t="str">
        <x:v>2024-11</x:v>
      </x:c>
      <x:c r="E2524" s="11" t="str">
        <x:v>Central</x:v>
      </x:c>
      <x:c r="F2524" s="11" t="str">
        <x:v>Office Supplies</x:v>
      </x:c>
      <x:c r="G2524" s="11" t="str">
        <x:v>Notebook pack</x:v>
      </x:c>
      <x:c r="H2524" s="11" t="n">
        <x:v>5</x:v>
      </x:c>
      <x:c r="I2524" s="19" t="n">
        <x:v>0.05</x:v>
      </x:c>
      <x:c r="J2524" s="11" t="n">
        <x:v>0</x:v>
      </x:c>
      <x:c r="K2524" s="20" t="n">
        <x:v>90</x:v>
      </x:c>
      <x:c r="L2524" s="20" t="n">
        <x:v>4.5</x:v>
      </x:c>
      <x:c r="M2524" s="20" t="n">
        <x:v>35</x:v>
      </x:c>
      <x:c r="N2524" s="20" t="n">
        <x:f>IF(J2524=1,0,K2524-L2524)</x:f>
        <x:v>85.5</x:v>
      </x:c>
      <x:c r="O2524" s="20" t="n">
        <x:f>N2524-M2524</x:f>
        <x:v>50.5</x:v>
      </x:c>
    </x:row>
    <x:row r="2525" ht="22" customHeight="1">
      <x:c r="A2525" s="11" t="n">
        <x:v>2521</x:v>
      </x:c>
      <x:c r="B2525" s="11" t="n">
        <x:v>1269</x:v>
      </x:c>
      <x:c r="C2525" s="18" t="n">
        <x:v>45612</x:v>
      </x:c>
      <x:c r="D2525" s="11" t="str">
        <x:v>2024-11</x:v>
      </x:c>
      <x:c r="E2525" s="11" t="str">
        <x:v>Central</x:v>
      </x:c>
      <x:c r="F2525" s="11" t="str">
        <x:v>Technology</x:v>
      </x:c>
      <x:c r="G2525" s="11" t="str">
        <x:v>Monitor</x:v>
      </x:c>
      <x:c r="H2525" s="11" t="n">
        <x:v>2</x:v>
      </x:c>
      <x:c r="I2525" s="19" t="n">
        <x:v>0.05</x:v>
      </x:c>
      <x:c r="J2525" s="11" t="n">
        <x:v>0</x:v>
      </x:c>
      <x:c r="K2525" s="20" t="n">
        <x:v>480</x:v>
      </x:c>
      <x:c r="L2525" s="20" t="n">
        <x:v>24</x:v>
      </x:c>
      <x:c r="M2525" s="20" t="n">
        <x:v>320</x:v>
      </x:c>
      <x:c r="N2525" s="20" t="n">
        <x:f>IF(J2525=1,0,K2525-L2525)</x:f>
        <x:v>456</x:v>
      </x:c>
      <x:c r="O2525" s="20" t="n">
        <x:f>N2525-M2525</x:f>
        <x:v>136</x:v>
      </x:c>
    </x:row>
    <x:row r="2526" ht="22" customHeight="1">
      <x:c r="A2526" s="11" t="n">
        <x:v>2522</x:v>
      </x:c>
      <x:c r="B2526" s="11" t="n">
        <x:v>1270</x:v>
      </x:c>
      <x:c r="C2526" s="18" t="n">
        <x:v>45878</x:v>
      </x:c>
      <x:c r="D2526" s="11" t="str">
        <x:v>2025-08</x:v>
      </x:c>
      <x:c r="E2526" s="11" t="str">
        <x:v>Central</x:v>
      </x:c>
      <x:c r="F2526" s="11" t="str">
        <x:v>Technology</x:v>
      </x:c>
      <x:c r="G2526" s="11" t="str">
        <x:v>Keyboard</x:v>
      </x:c>
      <x:c r="H2526" s="11" t="n">
        <x:v>5</x:v>
      </x:c>
      <x:c r="I2526" s="19" t="n">
        <x:v>0.1</x:v>
      </x:c>
      <x:c r="J2526" s="11" t="n">
        <x:v>0</x:v>
      </x:c>
      <x:c r="K2526" s="20" t="n">
        <x:v>325</x:v>
      </x:c>
      <x:c r="L2526" s="20" t="n">
        <x:v>32.5</x:v>
      </x:c>
      <x:c r="M2526" s="20" t="n">
        <x:v>160</x:v>
      </x:c>
      <x:c r="N2526" s="20" t="n">
        <x:f>IF(J2526=1,0,K2526-L2526)</x:f>
        <x:v>292.5</x:v>
      </x:c>
      <x:c r="O2526" s="20" t="n">
        <x:f>N2526-M2526</x:f>
        <x:v>132.5</x:v>
      </x:c>
    </x:row>
    <x:row r="2527" ht="22" customHeight="1">
      <x:c r="A2527" s="11" t="n">
        <x:v>2523</x:v>
      </x:c>
      <x:c r="B2527" s="11" t="n">
        <x:v>1271</x:v>
      </x:c>
      <x:c r="C2527" s="18" t="n">
        <x:v>45612</x:v>
      </x:c>
      <x:c r="D2527" s="11" t="str">
        <x:v>2024-11</x:v>
      </x:c>
      <x:c r="E2527" s="11" t="str">
        <x:v>Central</x:v>
      </x:c>
      <x:c r="F2527" s="11" t="str">
        <x:v>Furniture</x:v>
      </x:c>
      <x:c r="G2527" s="11" t="str">
        <x:v>Chair</x:v>
      </x:c>
      <x:c r="H2527" s="11" t="n">
        <x:v>3</x:v>
      </x:c>
      <x:c r="I2527" s="19" t="n">
        <x:v>0</x:v>
      </x:c>
      <x:c r="J2527" s="11" t="n">
        <x:v>0</x:v>
      </x:c>
      <x:c r="K2527" s="20" t="n">
        <x:v>510</x:v>
      </x:c>
      <x:c r="L2527" s="20" t="n">
        <x:v>0</x:v>
      </x:c>
      <x:c r="M2527" s="20" t="n">
        <x:v>330</x:v>
      </x:c>
      <x:c r="N2527" s="20" t="n">
        <x:f>IF(J2527=1,0,K2527-L2527)</x:f>
        <x:v>510</x:v>
      </x:c>
      <x:c r="O2527" s="20" t="n">
        <x:f>N2527-M2527</x:f>
        <x:v>180</x:v>
      </x:c>
    </x:row>
    <x:row r="2528" ht="22" customHeight="1">
      <x:c r="A2528" s="11" t="n">
        <x:v>2524</x:v>
      </x:c>
      <x:c r="B2528" s="11" t="n">
        <x:v>1271</x:v>
      </x:c>
      <x:c r="C2528" s="18" t="n">
        <x:v>45612</x:v>
      </x:c>
      <x:c r="D2528" s="11" t="str">
        <x:v>2024-11</x:v>
      </x:c>
      <x:c r="E2528" s="11" t="str">
        <x:v>Central</x:v>
      </x:c>
      <x:c r="F2528" s="11" t="str">
        <x:v>Office Supplies</x:v>
      </x:c>
      <x:c r="G2528" s="11" t="str">
        <x:v>Notebook pack</x:v>
      </x:c>
      <x:c r="H2528" s="11" t="n">
        <x:v>4</x:v>
      </x:c>
      <x:c r="I2528" s="19" t="n">
        <x:v>0.15</x:v>
      </x:c>
      <x:c r="J2528" s="11" t="n">
        <x:v>0</x:v>
      </x:c>
      <x:c r="K2528" s="20" t="n">
        <x:v>72</x:v>
      </x:c>
      <x:c r="L2528" s="20" t="n">
        <x:v>10.8</x:v>
      </x:c>
      <x:c r="M2528" s="20" t="n">
        <x:v>28</x:v>
      </x:c>
      <x:c r="N2528" s="20" t="n">
        <x:f>IF(J2528=1,0,K2528-L2528)</x:f>
        <x:v>61.2</x:v>
      </x:c>
      <x:c r="O2528" s="20" t="n">
        <x:f>N2528-M2528</x:f>
        <x:v>33.2</x:v>
      </x:c>
    </x:row>
    <x:row r="2529" ht="22" customHeight="1">
      <x:c r="A2529" s="11" t="n">
        <x:v>2525</x:v>
      </x:c>
      <x:c r="B2529" s="11" t="n">
        <x:v>1272</x:v>
      </x:c>
      <x:c r="C2529" s="18" t="n">
        <x:v>45564</x:v>
      </x:c>
      <x:c r="D2529" s="11" t="str">
        <x:v>2024-09</x:v>
      </x:c>
      <x:c r="E2529" s="11" t="str">
        <x:v>Central</x:v>
      </x:c>
      <x:c r="F2529" s="11" t="str">
        <x:v>Furniture</x:v>
      </x:c>
      <x:c r="G2529" s="11" t="str">
        <x:v>Chair</x:v>
      </x:c>
      <x:c r="H2529" s="11" t="n">
        <x:v>2</x:v>
      </x:c>
      <x:c r="I2529" s="19" t="n">
        <x:v>0.15</x:v>
      </x:c>
      <x:c r="J2529" s="11" t="n">
        <x:v>0</x:v>
      </x:c>
      <x:c r="K2529" s="20" t="n">
        <x:v>340</x:v>
      </x:c>
      <x:c r="L2529" s="20" t="n">
        <x:v>51</x:v>
      </x:c>
      <x:c r="M2529" s="20" t="n">
        <x:v>220</x:v>
      </x:c>
      <x:c r="N2529" s="20" t="n">
        <x:f>IF(J2529=1,0,K2529-L2529)</x:f>
        <x:v>289</x:v>
      </x:c>
      <x:c r="O2529" s="20" t="n">
        <x:f>N2529-M2529</x:f>
        <x:v>69</x:v>
      </x:c>
    </x:row>
    <x:row r="2530" ht="22" customHeight="1">
      <x:c r="A2530" s="11" t="n">
        <x:v>2526</x:v>
      </x:c>
      <x:c r="B2530" s="11" t="n">
        <x:v>1272</x:v>
      </x:c>
      <x:c r="C2530" s="18" t="n">
        <x:v>45564</x:v>
      </x:c>
      <x:c r="D2530" s="11" t="str">
        <x:v>2024-09</x:v>
      </x:c>
      <x:c r="E2530" s="11" t="str">
        <x:v>Central</x:v>
      </x:c>
      <x:c r="F2530" s="11" t="str">
        <x:v>Technology</x:v>
      </x:c>
      <x:c r="G2530" s="11" t="str">
        <x:v>Monitor</x:v>
      </x:c>
      <x:c r="H2530" s="11" t="n">
        <x:v>1</x:v>
      </x:c>
      <x:c r="I2530" s="19" t="n">
        <x:v>0.1</x:v>
      </x:c>
      <x:c r="J2530" s="11" t="n">
        <x:v>0</x:v>
      </x:c>
      <x:c r="K2530" s="20" t="n">
        <x:v>240</x:v>
      </x:c>
      <x:c r="L2530" s="20" t="n">
        <x:v>24</x:v>
      </x:c>
      <x:c r="M2530" s="20" t="n">
        <x:v>160</x:v>
      </x:c>
      <x:c r="N2530" s="20" t="n">
        <x:f>IF(J2530=1,0,K2530-L2530)</x:f>
        <x:v>216</x:v>
      </x:c>
      <x:c r="O2530" s="20" t="n">
        <x:f>N2530-M2530</x:f>
        <x:v>56</x:v>
      </x:c>
    </x:row>
    <x:row r="2531" ht="22" customHeight="1">
      <x:c r="A2531" s="11" t="n">
        <x:v>2527</x:v>
      </x:c>
      <x:c r="B2531" s="11" t="n">
        <x:v>1273</x:v>
      </x:c>
      <x:c r="C2531" s="18" t="n">
        <x:v>45940</x:v>
      </x:c>
      <x:c r="D2531" s="11" t="str">
        <x:v>2025-10</x:v>
      </x:c>
      <x:c r="E2531" s="11" t="str">
        <x:v>East</x:v>
      </x:c>
      <x:c r="F2531" s="11" t="str">
        <x:v>Office Supplies</x:v>
      </x:c>
      <x:c r="G2531" s="11" t="str">
        <x:v>Notebook pack</x:v>
      </x:c>
      <x:c r="H2531" s="11" t="n">
        <x:v>5</x:v>
      </x:c>
      <x:c r="I2531" s="19" t="n">
        <x:v>0</x:v>
      </x:c>
      <x:c r="J2531" s="11" t="n">
        <x:v>0</x:v>
      </x:c>
      <x:c r="K2531" s="20" t="n">
        <x:v>90</x:v>
      </x:c>
      <x:c r="L2531" s="20" t="n">
        <x:v>0</x:v>
      </x:c>
      <x:c r="M2531" s="20" t="n">
        <x:v>35</x:v>
      </x:c>
      <x:c r="N2531" s="20" t="n">
        <x:f>IF(J2531=1,0,K2531-L2531)</x:f>
        <x:v>90</x:v>
      </x:c>
      <x:c r="O2531" s="20" t="n">
        <x:f>N2531-M2531</x:f>
        <x:v>55</x:v>
      </x:c>
    </x:row>
    <x:row r="2532" ht="22" customHeight="1">
      <x:c r="A2532" s="11" t="n">
        <x:v>2528</x:v>
      </x:c>
      <x:c r="B2532" s="11" t="n">
        <x:v>1273</x:v>
      </x:c>
      <x:c r="C2532" s="18" t="n">
        <x:v>45940</x:v>
      </x:c>
      <x:c r="D2532" s="11" t="str">
        <x:v>2025-10</x:v>
      </x:c>
      <x:c r="E2532" s="11" t="str">
        <x:v>East</x:v>
      </x:c>
      <x:c r="F2532" s="11" t="str">
        <x:v>Technology</x:v>
      </x:c>
      <x:c r="G2532" s="11" t="str">
        <x:v>Keyboard</x:v>
      </x:c>
      <x:c r="H2532" s="11" t="n">
        <x:v>3</x:v>
      </x:c>
      <x:c r="I2532" s="19" t="n">
        <x:v>0.1</x:v>
      </x:c>
      <x:c r="J2532" s="11" t="n">
        <x:v>0</x:v>
      </x:c>
      <x:c r="K2532" s="20" t="n">
        <x:v>195</x:v>
      </x:c>
      <x:c r="L2532" s="20" t="n">
        <x:v>19.5</x:v>
      </x:c>
      <x:c r="M2532" s="20" t="n">
        <x:v>96</x:v>
      </x:c>
      <x:c r="N2532" s="20" t="n">
        <x:f>IF(J2532=1,0,K2532-L2532)</x:f>
        <x:v>175.5</x:v>
      </x:c>
      <x:c r="O2532" s="20" t="n">
        <x:f>N2532-M2532</x:f>
        <x:v>79.5</x:v>
      </x:c>
    </x:row>
    <x:row r="2533" ht="22" customHeight="1">
      <x:c r="A2533" s="11" t="n">
        <x:v>2529</x:v>
      </x:c>
      <x:c r="B2533" s="11" t="n">
        <x:v>1274</x:v>
      </x:c>
      <x:c r="C2533" s="18" t="n">
        <x:v>45911</x:v>
      </x:c>
      <x:c r="D2533" s="11" t="str">
        <x:v>2025-09</x:v>
      </x:c>
      <x:c r="E2533" s="11" t="str">
        <x:v>Central</x:v>
      </x:c>
      <x:c r="F2533" s="11" t="str">
        <x:v>Furniture</x:v>
      </x:c>
      <x:c r="G2533" s="11" t="str">
        <x:v>Chair</x:v>
      </x:c>
      <x:c r="H2533" s="11" t="n">
        <x:v>3</x:v>
      </x:c>
      <x:c r="I2533" s="19" t="n">
        <x:v>0</x:v>
      </x:c>
      <x:c r="J2533" s="11" t="n">
        <x:v>0</x:v>
      </x:c>
      <x:c r="K2533" s="20" t="n">
        <x:v>510</x:v>
      </x:c>
      <x:c r="L2533" s="20" t="n">
        <x:v>0</x:v>
      </x:c>
      <x:c r="M2533" s="20" t="n">
        <x:v>330</x:v>
      </x:c>
      <x:c r="N2533" s="20" t="n">
        <x:f>IF(J2533=1,0,K2533-L2533)</x:f>
        <x:v>510</x:v>
      </x:c>
      <x:c r="O2533" s="20" t="n">
        <x:f>N2533-M2533</x:f>
        <x:v>180</x:v>
      </x:c>
    </x:row>
    <x:row r="2534" ht="22" customHeight="1">
      <x:c r="A2534" s="11" t="n">
        <x:v>2530</x:v>
      </x:c>
      <x:c r="B2534" s="11" t="n">
        <x:v>1274</x:v>
      </x:c>
      <x:c r="C2534" s="18" t="n">
        <x:v>45911</x:v>
      </x:c>
      <x:c r="D2534" s="11" t="str">
        <x:v>2025-09</x:v>
      </x:c>
      <x:c r="E2534" s="11" t="str">
        <x:v>Central</x:v>
      </x:c>
      <x:c r="F2534" s="11" t="str">
        <x:v>Office Supplies</x:v>
      </x:c>
      <x:c r="G2534" s="11" t="str">
        <x:v>Notebook pack</x:v>
      </x:c>
      <x:c r="H2534" s="11" t="n">
        <x:v>2</x:v>
      </x:c>
      <x:c r="I2534" s="19" t="n">
        <x:v>0.15</x:v>
      </x:c>
      <x:c r="J2534" s="11" t="n">
        <x:v>0</x:v>
      </x:c>
      <x:c r="K2534" s="20" t="n">
        <x:v>36</x:v>
      </x:c>
      <x:c r="L2534" s="20" t="n">
        <x:v>5.4</x:v>
      </x:c>
      <x:c r="M2534" s="20" t="n">
        <x:v>14</x:v>
      </x:c>
      <x:c r="N2534" s="20" t="n">
        <x:f>IF(J2534=1,0,K2534-L2534)</x:f>
        <x:v>30.6</x:v>
      </x:c>
      <x:c r="O2534" s="20" t="n">
        <x:f>N2534-M2534</x:f>
        <x:v>16.6</x:v>
      </x:c>
    </x:row>
    <x:row r="2535" ht="22" customHeight="1">
      <x:c r="A2535" s="11" t="n">
        <x:v>2531</x:v>
      </x:c>
      <x:c r="B2535" s="11" t="n">
        <x:v>1274</x:v>
      </x:c>
      <x:c r="C2535" s="18" t="n">
        <x:v>45911</x:v>
      </x:c>
      <x:c r="D2535" s="11" t="str">
        <x:v>2025-09</x:v>
      </x:c>
      <x:c r="E2535" s="11" t="str">
        <x:v>Central</x:v>
      </x:c>
      <x:c r="F2535" s="11" t="str">
        <x:v>Furniture</x:v>
      </x:c>
      <x:c r="G2535" s="11" t="str">
        <x:v>Desk</x:v>
      </x:c>
      <x:c r="H2535" s="11" t="n">
        <x:v>3</x:v>
      </x:c>
      <x:c r="I2535" s="19" t="n">
        <x:v>0.05</x:v>
      </x:c>
      <x:c r="J2535" s="11" t="n">
        <x:v>0</x:v>
      </x:c>
      <x:c r="K2535" s="20" t="n">
        <x:v>840</x:v>
      </x:c>
      <x:c r="L2535" s="20" t="n">
        <x:v>42</x:v>
      </x:c>
      <x:c r="M2535" s="20" t="n">
        <x:v>570</x:v>
      </x:c>
      <x:c r="N2535" s="20" t="n">
        <x:f>IF(J2535=1,0,K2535-L2535)</x:f>
        <x:v>798</x:v>
      </x:c>
      <x:c r="O2535" s="20" t="n">
        <x:f>N2535-M2535</x:f>
        <x:v>228</x:v>
      </x:c>
    </x:row>
    <x:row r="2536" ht="22" customHeight="1">
      <x:c r="A2536" s="11" t="n">
        <x:v>2532</x:v>
      </x:c>
      <x:c r="B2536" s="11" t="n">
        <x:v>1275</x:v>
      </x:c>
      <x:c r="C2536" s="18" t="n">
        <x:v>45725</x:v>
      </x:c>
      <x:c r="D2536" s="11" t="str">
        <x:v>2025-03</x:v>
      </x:c>
      <x:c r="E2536" s="11" t="str">
        <x:v>Central</x:v>
      </x:c>
      <x:c r="F2536" s="11" t="str">
        <x:v>Technology</x:v>
      </x:c>
      <x:c r="G2536" s="11" t="str">
        <x:v>Monitor</x:v>
      </x:c>
      <x:c r="H2536" s="11" t="n">
        <x:v>2</x:v>
      </x:c>
      <x:c r="I2536" s="19" t="n">
        <x:v>0.05</x:v>
      </x:c>
      <x:c r="J2536" s="11" t="n">
        <x:v>1</x:v>
      </x:c>
      <x:c r="K2536" s="20" t="n">
        <x:v>480</x:v>
      </x:c>
      <x:c r="L2536" s="20" t="n">
        <x:v>24</x:v>
      </x:c>
      <x:c r="M2536" s="20" t="n">
        <x:v>0</x:v>
      </x:c>
      <x:c r="N2536" s="20" t="n">
        <x:f>IF(J2536=1,0,K2536-L2536)</x:f>
        <x:v>0</x:v>
      </x:c>
      <x:c r="O2536" s="20" t="n">
        <x:f>N2536-M2536</x:f>
        <x:v>0</x:v>
      </x:c>
    </x:row>
    <x:row r="2537" ht="22" customHeight="1">
      <x:c r="A2537" s="11" t="n">
        <x:v>2533</x:v>
      </x:c>
      <x:c r="B2537" s="11" t="n">
        <x:v>1275</x:v>
      </x:c>
      <x:c r="C2537" s="18" t="n">
        <x:v>45725</x:v>
      </x:c>
      <x:c r="D2537" s="11" t="str">
        <x:v>2025-03</x:v>
      </x:c>
      <x:c r="E2537" s="11" t="str">
        <x:v>Central</x:v>
      </x:c>
      <x:c r="F2537" s="11" t="str">
        <x:v>Furniture</x:v>
      </x:c>
      <x:c r="G2537" s="11" t="str">
        <x:v>Chair</x:v>
      </x:c>
      <x:c r="H2537" s="11" t="n">
        <x:v>4</x:v>
      </x:c>
      <x:c r="I2537" s="19" t="n">
        <x:v>0</x:v>
      </x:c>
      <x:c r="J2537" s="11" t="n">
        <x:v>0</x:v>
      </x:c>
      <x:c r="K2537" s="20" t="n">
        <x:v>680</x:v>
      </x:c>
      <x:c r="L2537" s="20" t="n">
        <x:v>0</x:v>
      </x:c>
      <x:c r="M2537" s="20" t="n">
        <x:v>440</x:v>
      </x:c>
      <x:c r="N2537" s="20" t="n">
        <x:f>IF(J2537=1,0,K2537-L2537)</x:f>
        <x:v>680</x:v>
      </x:c>
      <x:c r="O2537" s="20" t="n">
        <x:f>N2537-M2537</x:f>
        <x:v>240</x:v>
      </x:c>
    </x:row>
    <x:row r="2538" ht="22" customHeight="1">
      <x:c r="A2538" s="11" t="n">
        <x:v>2534</x:v>
      </x:c>
      <x:c r="B2538" s="11" t="n">
        <x:v>1276</x:v>
      </x:c>
      <x:c r="C2538" s="18" t="n">
        <x:v>45443</x:v>
      </x:c>
      <x:c r="D2538" s="11" t="str">
        <x:v>2024-05</x:v>
      </x:c>
      <x:c r="E2538" s="11" t="str">
        <x:v>East</x:v>
      </x:c>
      <x:c r="F2538" s="11" t="str">
        <x:v>Furniture</x:v>
      </x:c>
      <x:c r="G2538" s="11" t="str">
        <x:v>Chair</x:v>
      </x:c>
      <x:c r="H2538" s="11" t="n">
        <x:v>3</x:v>
      </x:c>
      <x:c r="I2538" s="19" t="n">
        <x:v>0</x:v>
      </x:c>
      <x:c r="J2538" s="11" t="n">
        <x:v>0</x:v>
      </x:c>
      <x:c r="K2538" s="20" t="n">
        <x:v>510</x:v>
      </x:c>
      <x:c r="L2538" s="20" t="n">
        <x:v>0</x:v>
      </x:c>
      <x:c r="M2538" s="20" t="n">
        <x:v>330</x:v>
      </x:c>
      <x:c r="N2538" s="20" t="n">
        <x:f>IF(J2538=1,0,K2538-L2538)</x:f>
        <x:v>510</x:v>
      </x:c>
      <x:c r="O2538" s="20" t="n">
        <x:f>N2538-M2538</x:f>
        <x:v>180</x:v>
      </x:c>
    </x:row>
    <x:row r="2539" ht="22" customHeight="1">
      <x:c r="A2539" s="11" t="n">
        <x:v>2535</x:v>
      </x:c>
      <x:c r="B2539" s="11" t="n">
        <x:v>1276</x:v>
      </x:c>
      <x:c r="C2539" s="18" t="n">
        <x:v>45443</x:v>
      </x:c>
      <x:c r="D2539" s="11" t="str">
        <x:v>2024-05</x:v>
      </x:c>
      <x:c r="E2539" s="11" t="str">
        <x:v>East</x:v>
      </x:c>
      <x:c r="F2539" s="11" t="str">
        <x:v>Office Supplies</x:v>
      </x:c>
      <x:c r="G2539" s="11" t="str">
        <x:v>Notebook pack</x:v>
      </x:c>
      <x:c r="H2539" s="11" t="n">
        <x:v>4</x:v>
      </x:c>
      <x:c r="I2539" s="19" t="n">
        <x:v>0.05</x:v>
      </x:c>
      <x:c r="J2539" s="11" t="n">
        <x:v>0</x:v>
      </x:c>
      <x:c r="K2539" s="20" t="n">
        <x:v>72</x:v>
      </x:c>
      <x:c r="L2539" s="20" t="n">
        <x:v>3.6</x:v>
      </x:c>
      <x:c r="M2539" s="20" t="n">
        <x:v>28</x:v>
      </x:c>
      <x:c r="N2539" s="20" t="n">
        <x:f>IF(J2539=1,0,K2539-L2539)</x:f>
        <x:v>68.4</x:v>
      </x:c>
      <x:c r="O2539" s="20" t="n">
        <x:f>N2539-M2539</x:f>
        <x:v>40.400000000000006</x:v>
      </x:c>
    </x:row>
    <x:row r="2540" ht="22" customHeight="1">
      <x:c r="A2540" s="11" t="n">
        <x:v>2536</x:v>
      </x:c>
      <x:c r="B2540" s="11" t="n">
        <x:v>1276</x:v>
      </x:c>
      <x:c r="C2540" s="18" t="n">
        <x:v>45443</x:v>
      </x:c>
      <x:c r="D2540" s="11" t="str">
        <x:v>2024-05</x:v>
      </x:c>
      <x:c r="E2540" s="11" t="str">
        <x:v>East</x:v>
      </x:c>
      <x:c r="F2540" s="11" t="str">
        <x:v>Technology</x:v>
      </x:c>
      <x:c r="G2540" s="11" t="str">
        <x:v>Keyboard</x:v>
      </x:c>
      <x:c r="H2540" s="11" t="n">
        <x:v>5</x:v>
      </x:c>
      <x:c r="I2540" s="19" t="n">
        <x:v>0.1</x:v>
      </x:c>
      <x:c r="J2540" s="11" t="n">
        <x:v>0</x:v>
      </x:c>
      <x:c r="K2540" s="20" t="n">
        <x:v>325</x:v>
      </x:c>
      <x:c r="L2540" s="20" t="n">
        <x:v>32.5</x:v>
      </x:c>
      <x:c r="M2540" s="20" t="n">
        <x:v>160</x:v>
      </x:c>
      <x:c r="N2540" s="20" t="n">
        <x:f>IF(J2540=1,0,K2540-L2540)</x:f>
        <x:v>292.5</x:v>
      </x:c>
      <x:c r="O2540" s="20" t="n">
        <x:f>N2540-M2540</x:f>
        <x:v>132.5</x:v>
      </x:c>
    </x:row>
    <x:row r="2541" ht="22" customHeight="1">
      <x:c r="A2541" s="11" t="n">
        <x:v>2537</x:v>
      </x:c>
      <x:c r="B2541" s="11" t="n">
        <x:v>1277</x:v>
      </x:c>
      <x:c r="C2541" s="18" t="n">
        <x:v>45892</x:v>
      </x:c>
      <x:c r="D2541" s="11" t="str">
        <x:v>2025-08</x:v>
      </x:c>
      <x:c r="E2541" s="11" t="str">
        <x:v>South</x:v>
      </x:c>
      <x:c r="F2541" s="11" t="str">
        <x:v>Furniture</x:v>
      </x:c>
      <x:c r="G2541" s="11" t="str">
        <x:v>Desk</x:v>
      </x:c>
      <x:c r="H2541" s="11" t="n">
        <x:v>1</x:v>
      </x:c>
      <x:c r="I2541" s="19" t="n">
        <x:v>0.15</x:v>
      </x:c>
      <x:c r="J2541" s="11" t="n">
        <x:v>0</x:v>
      </x:c>
      <x:c r="K2541" s="20" t="n">
        <x:v>280</x:v>
      </x:c>
      <x:c r="L2541" s="20" t="n">
        <x:v>42</x:v>
      </x:c>
      <x:c r="M2541" s="20" t="n">
        <x:v>190</x:v>
      </x:c>
      <x:c r="N2541" s="20" t="n">
        <x:f>IF(J2541=1,0,K2541-L2541)</x:f>
        <x:v>238</x:v>
      </x:c>
      <x:c r="O2541" s="20" t="n">
        <x:f>N2541-M2541</x:f>
        <x:v>48</x:v>
      </x:c>
    </x:row>
    <x:row r="2542" ht="22" customHeight="1">
      <x:c r="A2542" s="11" t="n">
        <x:v>2538</x:v>
      </x:c>
      <x:c r="B2542" s="11" t="n">
        <x:v>1278</x:v>
      </x:c>
      <x:c r="C2542" s="18" t="n">
        <x:v>45669</x:v>
      </x:c>
      <x:c r="D2542" s="11" t="str">
        <x:v>2025-01</x:v>
      </x:c>
      <x:c r="E2542" s="11" t="str">
        <x:v>South</x:v>
      </x:c>
      <x:c r="F2542" s="11" t="str">
        <x:v>Technology</x:v>
      </x:c>
      <x:c r="G2542" s="11" t="str">
        <x:v>Keyboard</x:v>
      </x:c>
      <x:c r="H2542" s="11" t="n">
        <x:v>4</x:v>
      </x:c>
      <x:c r="I2542" s="19" t="n">
        <x:v>0.05</x:v>
      </x:c>
      <x:c r="J2542" s="11" t="n">
        <x:v>0</x:v>
      </x:c>
      <x:c r="K2542" s="20" t="n">
        <x:v>260</x:v>
      </x:c>
      <x:c r="L2542" s="20" t="n">
        <x:v>13</x:v>
      </x:c>
      <x:c r="M2542" s="20" t="n">
        <x:v>128</x:v>
      </x:c>
      <x:c r="N2542" s="20" t="n">
        <x:f>IF(J2542=1,0,K2542-L2542)</x:f>
        <x:v>247</x:v>
      </x:c>
      <x:c r="O2542" s="20" t="n">
        <x:f>N2542-M2542</x:f>
        <x:v>119</x:v>
      </x:c>
    </x:row>
    <x:row r="2543" ht="22" customHeight="1">
      <x:c r="A2543" s="11" t="n">
        <x:v>2539</x:v>
      </x:c>
      <x:c r="B2543" s="11" t="n">
        <x:v>1278</x:v>
      </x:c>
      <x:c r="C2543" s="18" t="n">
        <x:v>45669</x:v>
      </x:c>
      <x:c r="D2543" s="11" t="str">
        <x:v>2025-01</x:v>
      </x:c>
      <x:c r="E2543" s="11" t="str">
        <x:v>South</x:v>
      </x:c>
      <x:c r="F2543" s="11" t="str">
        <x:v>Office Supplies</x:v>
      </x:c>
      <x:c r="G2543" s="11" t="str">
        <x:v>Notebook pack</x:v>
      </x:c>
      <x:c r="H2543" s="11" t="n">
        <x:v>3</x:v>
      </x:c>
      <x:c r="I2543" s="19" t="n">
        <x:v>0.15</x:v>
      </x:c>
      <x:c r="J2543" s="11" t="n">
        <x:v>0</x:v>
      </x:c>
      <x:c r="K2543" s="20" t="n">
        <x:v>54</x:v>
      </x:c>
      <x:c r="L2543" s="20" t="n">
        <x:v>8.1</x:v>
      </x:c>
      <x:c r="M2543" s="20" t="n">
        <x:v>21</x:v>
      </x:c>
      <x:c r="N2543" s="20" t="n">
        <x:f>IF(J2543=1,0,K2543-L2543)</x:f>
        <x:v>45.9</x:v>
      </x:c>
      <x:c r="O2543" s="20" t="n">
        <x:f>N2543-M2543</x:f>
        <x:v>24.9</x:v>
      </x:c>
    </x:row>
    <x:row r="2544" ht="22" customHeight="1">
      <x:c r="A2544" s="11" t="n">
        <x:v>2540</x:v>
      </x:c>
      <x:c r="B2544" s="11" t="n">
        <x:v>1278</x:v>
      </x:c>
      <x:c r="C2544" s="18" t="n">
        <x:v>45669</x:v>
      </x:c>
      <x:c r="D2544" s="11" t="str">
        <x:v>2025-01</x:v>
      </x:c>
      <x:c r="E2544" s="11" t="str">
        <x:v>South</x:v>
      </x:c>
      <x:c r="F2544" s="11" t="str">
        <x:v>Furniture</x:v>
      </x:c>
      <x:c r="G2544" s="11" t="str">
        <x:v>Desk</x:v>
      </x:c>
      <x:c r="H2544" s="11" t="n">
        <x:v>1</x:v>
      </x:c>
      <x:c r="I2544" s="19" t="n">
        <x:v>0.1</x:v>
      </x:c>
      <x:c r="J2544" s="11" t="n">
        <x:v>0</x:v>
      </x:c>
      <x:c r="K2544" s="20" t="n">
        <x:v>280</x:v>
      </x:c>
      <x:c r="L2544" s="20" t="n">
        <x:v>28</x:v>
      </x:c>
      <x:c r="M2544" s="20" t="n">
        <x:v>190</x:v>
      </x:c>
      <x:c r="N2544" s="20" t="n">
        <x:f>IF(J2544=1,0,K2544-L2544)</x:f>
        <x:v>252</x:v>
      </x:c>
      <x:c r="O2544" s="20" t="n">
        <x:f>N2544-M2544</x:f>
        <x:v>62</x:v>
      </x:c>
    </x:row>
    <x:row r="2545" ht="22" customHeight="1">
      <x:c r="A2545" s="11" t="n">
        <x:v>2541</x:v>
      </x:c>
      <x:c r="B2545" s="11" t="n">
        <x:v>1279</x:v>
      </x:c>
      <x:c r="C2545" s="18" t="n">
        <x:v>45874</x:v>
      </x:c>
      <x:c r="D2545" s="11" t="str">
        <x:v>2025-08</x:v>
      </x:c>
      <x:c r="E2545" s="11" t="str">
        <x:v>East</x:v>
      </x:c>
      <x:c r="F2545" s="11" t="str">
        <x:v>Office Supplies</x:v>
      </x:c>
      <x:c r="G2545" s="11" t="str">
        <x:v>Storage box</x:v>
      </x:c>
      <x:c r="H2545" s="11" t="n">
        <x:v>1</x:v>
      </x:c>
      <x:c r="I2545" s="19" t="n">
        <x:v>0</x:v>
      </x:c>
      <x:c r="J2545" s="11" t="n">
        <x:v>0</x:v>
      </x:c>
      <x:c r="K2545" s="20" t="n">
        <x:v>26</x:v>
      </x:c>
      <x:c r="L2545" s="20" t="n">
        <x:v>0</x:v>
      </x:c>
      <x:c r="M2545" s="20" t="n">
        <x:v>12</x:v>
      </x:c>
      <x:c r="N2545" s="20" t="n">
        <x:f>IF(J2545=1,0,K2545-L2545)</x:f>
        <x:v>26</x:v>
      </x:c>
      <x:c r="O2545" s="20" t="n">
        <x:f>N2545-M2545</x:f>
        <x:v>14</x:v>
      </x:c>
    </x:row>
    <x:row r="2546" ht="22" customHeight="1">
      <x:c r="A2546" s="11" t="n">
        <x:v>2542</x:v>
      </x:c>
      <x:c r="B2546" s="11" t="n">
        <x:v>1279</x:v>
      </x:c>
      <x:c r="C2546" s="18" t="n">
        <x:v>45874</x:v>
      </x:c>
      <x:c r="D2546" s="11" t="str">
        <x:v>2025-08</x:v>
      </x:c>
      <x:c r="E2546" s="11" t="str">
        <x:v>East</x:v>
      </x:c>
      <x:c r="F2546" s="11" t="str">
        <x:v>Furniture</x:v>
      </x:c>
      <x:c r="G2546" s="11" t="str">
        <x:v>Chair</x:v>
      </x:c>
      <x:c r="H2546" s="11" t="n">
        <x:v>1</x:v>
      </x:c>
      <x:c r="I2546" s="19" t="n">
        <x:v>0</x:v>
      </x:c>
      <x:c r="J2546" s="11" t="n">
        <x:v>0</x:v>
      </x:c>
      <x:c r="K2546" s="20" t="n">
        <x:v>170</x:v>
      </x:c>
      <x:c r="L2546" s="20" t="n">
        <x:v>0</x:v>
      </x:c>
      <x:c r="M2546" s="20" t="n">
        <x:v>110</x:v>
      </x:c>
      <x:c r="N2546" s="20" t="n">
        <x:f>IF(J2546=1,0,K2546-L2546)</x:f>
        <x:v>170</x:v>
      </x:c>
      <x:c r="O2546" s="20" t="n">
        <x:f>N2546-M2546</x:f>
        <x:v>60</x:v>
      </x:c>
    </x:row>
    <x:row r="2547" ht="22" customHeight="1">
      <x:c r="A2547" s="11" t="n">
        <x:v>2543</x:v>
      </x:c>
      <x:c r="B2547" s="11" t="n">
        <x:v>1279</x:v>
      </x:c>
      <x:c r="C2547" s="18" t="n">
        <x:v>45874</x:v>
      </x:c>
      <x:c r="D2547" s="11" t="str">
        <x:v>2025-08</x:v>
      </x:c>
      <x:c r="E2547" s="11" t="str">
        <x:v>East</x:v>
      </x:c>
      <x:c r="F2547" s="11" t="str">
        <x:v>Technology</x:v>
      </x:c>
      <x:c r="G2547" s="11" t="str">
        <x:v>Keyboard</x:v>
      </x:c>
      <x:c r="H2547" s="11" t="n">
        <x:v>2</x:v>
      </x:c>
      <x:c r="I2547" s="19" t="n">
        <x:v>0</x:v>
      </x:c>
      <x:c r="J2547" s="11" t="n">
        <x:v>0</x:v>
      </x:c>
      <x:c r="K2547" s="20" t="n">
        <x:v>130</x:v>
      </x:c>
      <x:c r="L2547" s="20" t="n">
        <x:v>0</x:v>
      </x:c>
      <x:c r="M2547" s="20" t="n">
        <x:v>64</x:v>
      </x:c>
      <x:c r="N2547" s="20" t="n">
        <x:f>IF(J2547=1,0,K2547-L2547)</x:f>
        <x:v>130</x:v>
      </x:c>
      <x:c r="O2547" s="20" t="n">
        <x:f>N2547-M2547</x:f>
        <x:v>66</x:v>
      </x:c>
    </x:row>
    <x:row r="2548" ht="22" customHeight="1">
      <x:c r="A2548" s="11" t="n">
        <x:v>2544</x:v>
      </x:c>
      <x:c r="B2548" s="11" t="n">
        <x:v>1280</x:v>
      </x:c>
      <x:c r="C2548" s="18" t="n">
        <x:v>45657</x:v>
      </x:c>
      <x:c r="D2548" s="11" t="str">
        <x:v>2024-12</x:v>
      </x:c>
      <x:c r="E2548" s="11" t="str">
        <x:v>South</x:v>
      </x:c>
      <x:c r="F2548" s="11" t="str">
        <x:v>Technology</x:v>
      </x:c>
      <x:c r="G2548" s="11" t="str">
        <x:v>Monitor</x:v>
      </x:c>
      <x:c r="H2548" s="11" t="n">
        <x:v>4</x:v>
      </x:c>
      <x:c r="I2548" s="19" t="n">
        <x:v>0.1</x:v>
      </x:c>
      <x:c r="J2548" s="11" t="n">
        <x:v>0</x:v>
      </x:c>
      <x:c r="K2548" s="20" t="n">
        <x:v>960</x:v>
      </x:c>
      <x:c r="L2548" s="20" t="n">
        <x:v>96</x:v>
      </x:c>
      <x:c r="M2548" s="20" t="n">
        <x:v>640</x:v>
      </x:c>
      <x:c r="N2548" s="20" t="n">
        <x:f>IF(J2548=1,0,K2548-L2548)</x:f>
        <x:v>864</x:v>
      </x:c>
      <x:c r="O2548" s="20" t="n">
        <x:f>N2548-M2548</x:f>
        <x:v>224</x:v>
      </x:c>
    </x:row>
    <x:row r="2549" ht="22" customHeight="1">
      <x:c r="A2549" s="11" t="n">
        <x:v>2545</x:v>
      </x:c>
      <x:c r="B2549" s="11" t="n">
        <x:v>1280</x:v>
      </x:c>
      <x:c r="C2549" s="18" t="n">
        <x:v>45657</x:v>
      </x:c>
      <x:c r="D2549" s="11" t="str">
        <x:v>2024-12</x:v>
      </x:c>
      <x:c r="E2549" s="11" t="str">
        <x:v>South</x:v>
      </x:c>
      <x:c r="F2549" s="11" t="str">
        <x:v>Furniture</x:v>
      </x:c>
      <x:c r="G2549" s="11" t="str">
        <x:v>Desk</x:v>
      </x:c>
      <x:c r="H2549" s="11" t="n">
        <x:v>5</x:v>
      </x:c>
      <x:c r="I2549" s="19" t="n">
        <x:v>0.25</x:v>
      </x:c>
      <x:c r="J2549" s="11" t="n">
        <x:v>0</x:v>
      </x:c>
      <x:c r="K2549" s="20" t="n">
        <x:v>1400</x:v>
      </x:c>
      <x:c r="L2549" s="20" t="n">
        <x:v>350</x:v>
      </x:c>
      <x:c r="M2549" s="20" t="n">
        <x:v>950</x:v>
      </x:c>
      <x:c r="N2549" s="20" t="n">
        <x:f>IF(J2549=1,0,K2549-L2549)</x:f>
        <x:v>1050</x:v>
      </x:c>
      <x:c r="O2549" s="20" t="n">
        <x:f>N2549-M2549</x:f>
        <x:v>100</x:v>
      </x:c>
    </x:row>
    <x:row r="2550" ht="22" customHeight="1">
      <x:c r="A2550" s="11" t="n">
        <x:v>2546</x:v>
      </x:c>
      <x:c r="B2550" s="11" t="n">
        <x:v>1281</x:v>
      </x:c>
      <x:c r="C2550" s="18" t="n">
        <x:v>45697</x:v>
      </x:c>
      <x:c r="D2550" s="11" t="str">
        <x:v>2025-02</x:v>
      </x:c>
      <x:c r="E2550" s="11" t="str">
        <x:v>Central</x:v>
      </x:c>
      <x:c r="F2550" s="11" t="str">
        <x:v>Furniture</x:v>
      </x:c>
      <x:c r="G2550" s="11" t="str">
        <x:v>Desk</x:v>
      </x:c>
      <x:c r="H2550" s="11" t="n">
        <x:v>2</x:v>
      </x:c>
      <x:c r="I2550" s="19" t="n">
        <x:v>0</x:v>
      </x:c>
      <x:c r="J2550" s="11" t="n">
        <x:v>0</x:v>
      </x:c>
      <x:c r="K2550" s="20" t="n">
        <x:v>560</x:v>
      </x:c>
      <x:c r="L2550" s="20" t="n">
        <x:v>0</x:v>
      </x:c>
      <x:c r="M2550" s="20" t="n">
        <x:v>380</x:v>
      </x:c>
      <x:c r="N2550" s="20" t="n">
        <x:f>IF(J2550=1,0,K2550-L2550)</x:f>
        <x:v>560</x:v>
      </x:c>
      <x:c r="O2550" s="20" t="n">
        <x:f>N2550-M2550</x:f>
        <x:v>180</x:v>
      </x:c>
    </x:row>
    <x:row r="2551" ht="22" customHeight="1">
      <x:c r="A2551" s="11" t="n">
        <x:v>2547</x:v>
      </x:c>
      <x:c r="B2551" s="11" t="n">
        <x:v>1281</x:v>
      </x:c>
      <x:c r="C2551" s="18" t="n">
        <x:v>45697</x:v>
      </x:c>
      <x:c r="D2551" s="11" t="str">
        <x:v>2025-02</x:v>
      </x:c>
      <x:c r="E2551" s="11" t="str">
        <x:v>Central</x:v>
      </x:c>
      <x:c r="F2551" s="11" t="str">
        <x:v>Furniture</x:v>
      </x:c>
      <x:c r="G2551" s="11" t="str">
        <x:v>Chair</x:v>
      </x:c>
      <x:c r="H2551" s="11" t="n">
        <x:v>3</x:v>
      </x:c>
      <x:c r="I2551" s="19" t="n">
        <x:v>0.05</x:v>
      </x:c>
      <x:c r="J2551" s="11" t="n">
        <x:v>0</x:v>
      </x:c>
      <x:c r="K2551" s="20" t="n">
        <x:v>510</x:v>
      </x:c>
      <x:c r="L2551" s="20" t="n">
        <x:v>25.5</x:v>
      </x:c>
      <x:c r="M2551" s="20" t="n">
        <x:v>330</x:v>
      </x:c>
      <x:c r="N2551" s="20" t="n">
        <x:f>IF(J2551=1,0,K2551-L2551)</x:f>
        <x:v>484.5</x:v>
      </x:c>
      <x:c r="O2551" s="20" t="n">
        <x:f>N2551-M2551</x:f>
        <x:v>154.5</x:v>
      </x:c>
    </x:row>
    <x:row r="2552" ht="22" customHeight="1">
      <x:c r="A2552" s="11" t="n">
        <x:v>2548</x:v>
      </x:c>
      <x:c r="B2552" s="11" t="n">
        <x:v>1281</x:v>
      </x:c>
      <x:c r="C2552" s="18" t="n">
        <x:v>45697</x:v>
      </x:c>
      <x:c r="D2552" s="11" t="str">
        <x:v>2025-02</x:v>
      </x:c>
      <x:c r="E2552" s="11" t="str">
        <x:v>Central</x:v>
      </x:c>
      <x:c r="F2552" s="11" t="str">
        <x:v>Technology</x:v>
      </x:c>
      <x:c r="G2552" s="11" t="str">
        <x:v>Keyboard</x:v>
      </x:c>
      <x:c r="H2552" s="11" t="n">
        <x:v>5</x:v>
      </x:c>
      <x:c r="I2552" s="19" t="n">
        <x:v>0</x:v>
      </x:c>
      <x:c r="J2552" s="11" t="n">
        <x:v>1</x:v>
      </x:c>
      <x:c r="K2552" s="20" t="n">
        <x:v>325</x:v>
      </x:c>
      <x:c r="L2552" s="20" t="n">
        <x:v>0</x:v>
      </x:c>
      <x:c r="M2552" s="20" t="n">
        <x:v>0</x:v>
      </x:c>
      <x:c r="N2552" s="20" t="n">
        <x:f>IF(J2552=1,0,K2552-L2552)</x:f>
        <x:v>0</x:v>
      </x:c>
      <x:c r="O2552" s="20" t="n">
        <x:f>N2552-M2552</x:f>
        <x:v>0</x:v>
      </x:c>
    </x:row>
    <x:row r="2553" ht="22" customHeight="1">
      <x:c r="A2553" s="11" t="n">
        <x:v>2549</x:v>
      </x:c>
      <x:c r="B2553" s="11" t="n">
        <x:v>1282</x:v>
      </x:c>
      <x:c r="C2553" s="18" t="n">
        <x:v>46006</x:v>
      </x:c>
      <x:c r="D2553" s="11" t="str">
        <x:v>2025-12</x:v>
      </x:c>
      <x:c r="E2553" s="11" t="str">
        <x:v>West</x:v>
      </x:c>
      <x:c r="F2553" s="11" t="str">
        <x:v>Furniture</x:v>
      </x:c>
      <x:c r="G2553" s="11" t="str">
        <x:v>Desk</x:v>
      </x:c>
      <x:c r="H2553" s="11" t="n">
        <x:v>2</x:v>
      </x:c>
      <x:c r="I2553" s="19" t="n">
        <x:v>0.05</x:v>
      </x:c>
      <x:c r="J2553" s="11" t="n">
        <x:v>0</x:v>
      </x:c>
      <x:c r="K2553" s="20" t="n">
        <x:v>560</x:v>
      </x:c>
      <x:c r="L2553" s="20" t="n">
        <x:v>28</x:v>
      </x:c>
      <x:c r="M2553" s="20" t="n">
        <x:v>380</x:v>
      </x:c>
      <x:c r="N2553" s="20" t="n">
        <x:f>IF(J2553=1,0,K2553-L2553)</x:f>
        <x:v>532</x:v>
      </x:c>
      <x:c r="O2553" s="20" t="n">
        <x:f>N2553-M2553</x:f>
        <x:v>152</x:v>
      </x:c>
    </x:row>
    <x:row r="2554" ht="22" customHeight="1">
      <x:c r="A2554" s="11" t="n">
        <x:v>2550</x:v>
      </x:c>
      <x:c r="B2554" s="11" t="n">
        <x:v>1283</x:v>
      </x:c>
      <x:c r="C2554" s="18" t="n">
        <x:v>45432</x:v>
      </x:c>
      <x:c r="D2554" s="11" t="str">
        <x:v>2024-05</x:v>
      </x:c>
      <x:c r="E2554" s="11" t="str">
        <x:v>South</x:v>
      </x:c>
      <x:c r="F2554" s="11" t="str">
        <x:v>Technology</x:v>
      </x:c>
      <x:c r="G2554" s="11" t="str">
        <x:v>Keyboard</x:v>
      </x:c>
      <x:c r="H2554" s="11" t="n">
        <x:v>1</x:v>
      </x:c>
      <x:c r="I2554" s="19" t="n">
        <x:v>0.15</x:v>
      </x:c>
      <x:c r="J2554" s="11" t="n">
        <x:v>0</x:v>
      </x:c>
      <x:c r="K2554" s="20" t="n">
        <x:v>65</x:v>
      </x:c>
      <x:c r="L2554" s="20" t="n">
        <x:v>9.75</x:v>
      </x:c>
      <x:c r="M2554" s="20" t="n">
        <x:v>32</x:v>
      </x:c>
      <x:c r="N2554" s="20" t="n">
        <x:f>IF(J2554=1,0,K2554-L2554)</x:f>
        <x:v>55.25</x:v>
      </x:c>
      <x:c r="O2554" s="20" t="n">
        <x:f>N2554-M2554</x:f>
        <x:v>23.25</x:v>
      </x:c>
    </x:row>
    <x:row r="2555" ht="22" customHeight="1">
      <x:c r="A2555" s="11" t="n">
        <x:v>2551</x:v>
      </x:c>
      <x:c r="B2555" s="11" t="n">
        <x:v>1283</x:v>
      </x:c>
      <x:c r="C2555" s="18" t="n">
        <x:v>45432</x:v>
      </x:c>
      <x:c r="D2555" s="11" t="str">
        <x:v>2024-05</x:v>
      </x:c>
      <x:c r="E2555" s="11" t="str">
        <x:v>South</x:v>
      </x:c>
      <x:c r="F2555" s="11" t="str">
        <x:v>Office Supplies</x:v>
      </x:c>
      <x:c r="G2555" s="11" t="str">
        <x:v>Storage box</x:v>
      </x:c>
      <x:c r="H2555" s="11" t="n">
        <x:v>4</x:v>
      </x:c>
      <x:c r="I2555" s="19" t="n">
        <x:v>0</x:v>
      </x:c>
      <x:c r="J2555" s="11" t="n">
        <x:v>0</x:v>
      </x:c>
      <x:c r="K2555" s="20" t="n">
        <x:v>104</x:v>
      </x:c>
      <x:c r="L2555" s="20" t="n">
        <x:v>0</x:v>
      </x:c>
      <x:c r="M2555" s="20" t="n">
        <x:v>48</x:v>
      </x:c>
      <x:c r="N2555" s="20" t="n">
        <x:f>IF(J2555=1,0,K2555-L2555)</x:f>
        <x:v>104</x:v>
      </x:c>
      <x:c r="O2555" s="20" t="n">
        <x:f>N2555-M2555</x:f>
        <x:v>56</x:v>
      </x:c>
    </x:row>
    <x:row r="2556" ht="22" customHeight="1">
      <x:c r="A2556" s="11" t="n">
        <x:v>2552</x:v>
      </x:c>
      <x:c r="B2556" s="11" t="n">
        <x:v>1284</x:v>
      </x:c>
      <x:c r="C2556" s="18" t="n">
        <x:v>46005</x:v>
      </x:c>
      <x:c r="D2556" s="11" t="str">
        <x:v>2025-12</x:v>
      </x:c>
      <x:c r="E2556" s="11" t="str">
        <x:v>South</x:v>
      </x:c>
      <x:c r="F2556" s="11" t="str">
        <x:v>Furniture</x:v>
      </x:c>
      <x:c r="G2556" s="11" t="str">
        <x:v>Chair</x:v>
      </x:c>
      <x:c r="H2556" s="11" t="n">
        <x:v>5</x:v>
      </x:c>
      <x:c r="I2556" s="19" t="n">
        <x:v>0</x:v>
      </x:c>
      <x:c r="J2556" s="11" t="n">
        <x:v>0</x:v>
      </x:c>
      <x:c r="K2556" s="20" t="n">
        <x:v>850</x:v>
      </x:c>
      <x:c r="L2556" s="20" t="n">
        <x:v>0</x:v>
      </x:c>
      <x:c r="M2556" s="20" t="n">
        <x:v>550</x:v>
      </x:c>
      <x:c r="N2556" s="20" t="n">
        <x:f>IF(J2556=1,0,K2556-L2556)</x:f>
        <x:v>850</x:v>
      </x:c>
      <x:c r="O2556" s="20" t="n">
        <x:f>N2556-M2556</x:f>
        <x:v>300</x:v>
      </x:c>
    </x:row>
    <x:row r="2557" ht="22" customHeight="1">
      <x:c r="A2557" s="11" t="n">
        <x:v>2553</x:v>
      </x:c>
      <x:c r="B2557" s="11" t="n">
        <x:v>1285</x:v>
      </x:c>
      <x:c r="C2557" s="18" t="n">
        <x:v>45888</x:v>
      </x:c>
      <x:c r="D2557" s="11" t="str">
        <x:v>2025-08</x:v>
      </x:c>
      <x:c r="E2557" s="11" t="str">
        <x:v>West</x:v>
      </x:c>
      <x:c r="F2557" s="11" t="str">
        <x:v>Office Supplies</x:v>
      </x:c>
      <x:c r="G2557" s="11" t="str">
        <x:v>Storage box</x:v>
      </x:c>
      <x:c r="H2557" s="11" t="n">
        <x:v>5</x:v>
      </x:c>
      <x:c r="I2557" s="19" t="n">
        <x:v>0.05</x:v>
      </x:c>
      <x:c r="J2557" s="11" t="n">
        <x:v>0</x:v>
      </x:c>
      <x:c r="K2557" s="20" t="n">
        <x:v>130</x:v>
      </x:c>
      <x:c r="L2557" s="20" t="n">
        <x:v>6.5</x:v>
      </x:c>
      <x:c r="M2557" s="20" t="n">
        <x:v>60</x:v>
      </x:c>
      <x:c r="N2557" s="20" t="n">
        <x:f>IF(J2557=1,0,K2557-L2557)</x:f>
        <x:v>123.5</x:v>
      </x:c>
      <x:c r="O2557" s="20" t="n">
        <x:f>N2557-M2557</x:f>
        <x:v>63.5</x:v>
      </x:c>
    </x:row>
    <x:row r="2558" ht="22" customHeight="1">
      <x:c r="A2558" s="11" t="n">
        <x:v>2554</x:v>
      </x:c>
      <x:c r="B2558" s="11" t="n">
        <x:v>1285</x:v>
      </x:c>
      <x:c r="C2558" s="18" t="n">
        <x:v>45888</x:v>
      </x:c>
      <x:c r="D2558" s="11" t="str">
        <x:v>2025-08</x:v>
      </x:c>
      <x:c r="E2558" s="11" t="str">
        <x:v>West</x:v>
      </x:c>
      <x:c r="F2558" s="11" t="str">
        <x:v>Furniture</x:v>
      </x:c>
      <x:c r="G2558" s="11" t="str">
        <x:v>Desk</x:v>
      </x:c>
      <x:c r="H2558" s="11" t="n">
        <x:v>2</x:v>
      </x:c>
      <x:c r="I2558" s="19" t="n">
        <x:v>0.25</x:v>
      </x:c>
      <x:c r="J2558" s="11" t="n">
        <x:v>0</x:v>
      </x:c>
      <x:c r="K2558" s="20" t="n">
        <x:v>560</x:v>
      </x:c>
      <x:c r="L2558" s="20" t="n">
        <x:v>140</x:v>
      </x:c>
      <x:c r="M2558" s="20" t="n">
        <x:v>380</x:v>
      </x:c>
      <x:c r="N2558" s="20" t="n">
        <x:f>IF(J2558=1,0,K2558-L2558)</x:f>
        <x:v>420</x:v>
      </x:c>
      <x:c r="O2558" s="20" t="n">
        <x:f>N2558-M2558</x:f>
        <x:v>40</x:v>
      </x:c>
    </x:row>
    <x:row r="2559" ht="22" customHeight="1">
      <x:c r="A2559" s="11" t="n">
        <x:v>2555</x:v>
      </x:c>
      <x:c r="B2559" s="11" t="n">
        <x:v>1286</x:v>
      </x:c>
      <x:c r="C2559" s="18" t="n">
        <x:v>45841</x:v>
      </x:c>
      <x:c r="D2559" s="11" t="str">
        <x:v>2025-07</x:v>
      </x:c>
      <x:c r="E2559" s="11" t="str">
        <x:v>Central</x:v>
      </x:c>
      <x:c r="F2559" s="11" t="str">
        <x:v>Office Supplies</x:v>
      </x:c>
      <x:c r="G2559" s="11" t="str">
        <x:v>Notebook pack</x:v>
      </x:c>
      <x:c r="H2559" s="11" t="n">
        <x:v>5</x:v>
      </x:c>
      <x:c r="I2559" s="19" t="n">
        <x:v>0.1</x:v>
      </x:c>
      <x:c r="J2559" s="11" t="n">
        <x:v>0</x:v>
      </x:c>
      <x:c r="K2559" s="20" t="n">
        <x:v>90</x:v>
      </x:c>
      <x:c r="L2559" s="20" t="n">
        <x:v>9</x:v>
      </x:c>
      <x:c r="M2559" s="20" t="n">
        <x:v>35</x:v>
      </x:c>
      <x:c r="N2559" s="20" t="n">
        <x:f>IF(J2559=1,0,K2559-L2559)</x:f>
        <x:v>81</x:v>
      </x:c>
      <x:c r="O2559" s="20" t="n">
        <x:f>N2559-M2559</x:f>
        <x:v>46</x:v>
      </x:c>
    </x:row>
    <x:row r="2560" ht="22" customHeight="1">
      <x:c r="A2560" s="11" t="n">
        <x:v>2556</x:v>
      </x:c>
      <x:c r="B2560" s="11" t="n">
        <x:v>1286</x:v>
      </x:c>
      <x:c r="C2560" s="18" t="n">
        <x:v>45841</x:v>
      </x:c>
      <x:c r="D2560" s="11" t="str">
        <x:v>2025-07</x:v>
      </x:c>
      <x:c r="E2560" s="11" t="str">
        <x:v>Central</x:v>
      </x:c>
      <x:c r="F2560" s="11" t="str">
        <x:v>Technology</x:v>
      </x:c>
      <x:c r="G2560" s="11" t="str">
        <x:v>Monitor</x:v>
      </x:c>
      <x:c r="H2560" s="11" t="n">
        <x:v>2</x:v>
      </x:c>
      <x:c r="I2560" s="19" t="n">
        <x:v>0.15</x:v>
      </x:c>
      <x:c r="J2560" s="11" t="n">
        <x:v>0</x:v>
      </x:c>
      <x:c r="K2560" s="20" t="n">
        <x:v>480</x:v>
      </x:c>
      <x:c r="L2560" s="20" t="n">
        <x:v>72</x:v>
      </x:c>
      <x:c r="M2560" s="20" t="n">
        <x:v>320</x:v>
      </x:c>
      <x:c r="N2560" s="20" t="n">
        <x:f>IF(J2560=1,0,K2560-L2560)</x:f>
        <x:v>408</x:v>
      </x:c>
      <x:c r="O2560" s="20" t="n">
        <x:f>N2560-M2560</x:f>
        <x:v>88</x:v>
      </x:c>
    </x:row>
    <x:row r="2561" ht="22" customHeight="1">
      <x:c r="A2561" s="11" t="n">
        <x:v>2557</x:v>
      </x:c>
      <x:c r="B2561" s="11" t="n">
        <x:v>1287</x:v>
      </x:c>
      <x:c r="C2561" s="18" t="n">
        <x:v>45492</x:v>
      </x:c>
      <x:c r="D2561" s="11" t="str">
        <x:v>2024-07</x:v>
      </x:c>
      <x:c r="E2561" s="11" t="str">
        <x:v>South</x:v>
      </x:c>
      <x:c r="F2561" s="11" t="str">
        <x:v>Furniture</x:v>
      </x:c>
      <x:c r="G2561" s="11" t="str">
        <x:v>Desk</x:v>
      </x:c>
      <x:c r="H2561" s="11" t="n">
        <x:v>4</x:v>
      </x:c>
      <x:c r="I2561" s="19" t="n">
        <x:v>0</x:v>
      </x:c>
      <x:c r="J2561" s="11" t="n">
        <x:v>0</x:v>
      </x:c>
      <x:c r="K2561" s="20" t="n">
        <x:v>1120</x:v>
      </x:c>
      <x:c r="L2561" s="20" t="n">
        <x:v>0</x:v>
      </x:c>
      <x:c r="M2561" s="20" t="n">
        <x:v>760</x:v>
      </x:c>
      <x:c r="N2561" s="20" t="n">
        <x:f>IF(J2561=1,0,K2561-L2561)</x:f>
        <x:v>1120</x:v>
      </x:c>
      <x:c r="O2561" s="20" t="n">
        <x:f>N2561-M2561</x:f>
        <x:v>360</x:v>
      </x:c>
    </x:row>
    <x:row r="2562" ht="22" customHeight="1">
      <x:c r="A2562" s="11" t="n">
        <x:v>2558</x:v>
      </x:c>
      <x:c r="B2562" s="11" t="n">
        <x:v>1287</x:v>
      </x:c>
      <x:c r="C2562" s="18" t="n">
        <x:v>45492</x:v>
      </x:c>
      <x:c r="D2562" s="11" t="str">
        <x:v>2024-07</x:v>
      </x:c>
      <x:c r="E2562" s="11" t="str">
        <x:v>South</x:v>
      </x:c>
      <x:c r="F2562" s="11" t="str">
        <x:v>Technology</x:v>
      </x:c>
      <x:c r="G2562" s="11" t="str">
        <x:v>Monitor</x:v>
      </x:c>
      <x:c r="H2562" s="11" t="n">
        <x:v>5</x:v>
      </x:c>
      <x:c r="I2562" s="19" t="n">
        <x:v>0.1</x:v>
      </x:c>
      <x:c r="J2562" s="11" t="n">
        <x:v>0</x:v>
      </x:c>
      <x:c r="K2562" s="20" t="n">
        <x:v>1200</x:v>
      </x:c>
      <x:c r="L2562" s="20" t="n">
        <x:v>120</x:v>
      </x:c>
      <x:c r="M2562" s="20" t="n">
        <x:v>800</x:v>
      </x:c>
      <x:c r="N2562" s="20" t="n">
        <x:f>IF(J2562=1,0,K2562-L2562)</x:f>
        <x:v>1080</x:v>
      </x:c>
      <x:c r="O2562" s="20" t="n">
        <x:f>N2562-M2562</x:f>
        <x:v>280</x:v>
      </x:c>
    </x:row>
    <x:row r="2563" ht="22" customHeight="1">
      <x:c r="A2563" s="11" t="n">
        <x:v>2559</x:v>
      </x:c>
      <x:c r="B2563" s="11" t="n">
        <x:v>1288</x:v>
      </x:c>
      <x:c r="C2563" s="18" t="n">
        <x:v>45407</x:v>
      </x:c>
      <x:c r="D2563" s="11" t="str">
        <x:v>2024-04</x:v>
      </x:c>
      <x:c r="E2563" s="11" t="str">
        <x:v>East</x:v>
      </x:c>
      <x:c r="F2563" s="11" t="str">
        <x:v>Office Supplies</x:v>
      </x:c>
      <x:c r="G2563" s="11" t="str">
        <x:v>Storage box</x:v>
      </x:c>
      <x:c r="H2563" s="11" t="n">
        <x:v>2</x:v>
      </x:c>
      <x:c r="I2563" s="19" t="n">
        <x:v>0</x:v>
      </x:c>
      <x:c r="J2563" s="11" t="n">
        <x:v>0</x:v>
      </x:c>
      <x:c r="K2563" s="20" t="n">
        <x:v>52</x:v>
      </x:c>
      <x:c r="L2563" s="20" t="n">
        <x:v>0</x:v>
      </x:c>
      <x:c r="M2563" s="20" t="n">
        <x:v>24</x:v>
      </x:c>
      <x:c r="N2563" s="20" t="n">
        <x:f>IF(J2563=1,0,K2563-L2563)</x:f>
        <x:v>52</x:v>
      </x:c>
      <x:c r="O2563" s="20" t="n">
        <x:f>N2563-M2563</x:f>
        <x:v>28</x:v>
      </x:c>
    </x:row>
    <x:row r="2564" ht="22" customHeight="1">
      <x:c r="A2564" s="11" t="n">
        <x:v>2560</x:v>
      </x:c>
      <x:c r="B2564" s="11" t="n">
        <x:v>1289</x:v>
      </x:c>
      <x:c r="C2564" s="18" t="n">
        <x:v>45597</x:v>
      </x:c>
      <x:c r="D2564" s="11" t="str">
        <x:v>2024-11</x:v>
      </x:c>
      <x:c r="E2564" s="11" t="str">
        <x:v>Central</x:v>
      </x:c>
      <x:c r="F2564" s="11" t="str">
        <x:v>Technology</x:v>
      </x:c>
      <x:c r="G2564" s="11" t="str">
        <x:v>Monitor</x:v>
      </x:c>
      <x:c r="H2564" s="11" t="n">
        <x:v>1</x:v>
      </x:c>
      <x:c r="I2564" s="19" t="n">
        <x:v>0</x:v>
      </x:c>
      <x:c r="J2564" s="11" t="n">
        <x:v>0</x:v>
      </x:c>
      <x:c r="K2564" s="20" t="n">
        <x:v>240</x:v>
      </x:c>
      <x:c r="L2564" s="20" t="n">
        <x:v>0</x:v>
      </x:c>
      <x:c r="M2564" s="20" t="n">
        <x:v>160</x:v>
      </x:c>
      <x:c r="N2564" s="20" t="n">
        <x:f>IF(J2564=1,0,K2564-L2564)</x:f>
        <x:v>240</x:v>
      </x:c>
      <x:c r="O2564" s="20" t="n">
        <x:f>N2564-M2564</x:f>
        <x:v>80</x:v>
      </x:c>
    </x:row>
    <x:row r="2565" ht="22" customHeight="1">
      <x:c r="A2565" s="11" t="n">
        <x:v>2561</x:v>
      </x:c>
      <x:c r="B2565" s="11" t="n">
        <x:v>1289</x:v>
      </x:c>
      <x:c r="C2565" s="18" t="n">
        <x:v>45597</x:v>
      </x:c>
      <x:c r="D2565" s="11" t="str">
        <x:v>2024-11</x:v>
      </x:c>
      <x:c r="E2565" s="11" t="str">
        <x:v>Central</x:v>
      </x:c>
      <x:c r="F2565" s="11" t="str">
        <x:v>Office Supplies</x:v>
      </x:c>
      <x:c r="G2565" s="11" t="str">
        <x:v>Storage box</x:v>
      </x:c>
      <x:c r="H2565" s="11" t="n">
        <x:v>3</x:v>
      </x:c>
      <x:c r="I2565" s="19" t="n">
        <x:v>0</x:v>
      </x:c>
      <x:c r="J2565" s="11" t="n">
        <x:v>0</x:v>
      </x:c>
      <x:c r="K2565" s="20" t="n">
        <x:v>78</x:v>
      </x:c>
      <x:c r="L2565" s="20" t="n">
        <x:v>0</x:v>
      </x:c>
      <x:c r="M2565" s="20" t="n">
        <x:v>36</x:v>
      </x:c>
      <x:c r="N2565" s="20" t="n">
        <x:f>IF(J2565=1,0,K2565-L2565)</x:f>
        <x:v>78</x:v>
      </x:c>
      <x:c r="O2565" s="20" t="n">
        <x:f>N2565-M2565</x:f>
        <x:v>42</x:v>
      </x:c>
    </x:row>
    <x:row r="2566" ht="22" customHeight="1">
      <x:c r="A2566" s="11" t="n">
        <x:v>2562</x:v>
      </x:c>
      <x:c r="B2566" s="11" t="n">
        <x:v>1289</x:v>
      </x:c>
      <x:c r="C2566" s="18" t="n">
        <x:v>45597</x:v>
      </x:c>
      <x:c r="D2566" s="11" t="str">
        <x:v>2024-11</x:v>
      </x:c>
      <x:c r="E2566" s="11" t="str">
        <x:v>Central</x:v>
      </x:c>
      <x:c r="F2566" s="11" t="str">
        <x:v>Technology</x:v>
      </x:c>
      <x:c r="G2566" s="11" t="str">
        <x:v>Keyboard</x:v>
      </x:c>
      <x:c r="H2566" s="11" t="n">
        <x:v>3</x:v>
      </x:c>
      <x:c r="I2566" s="19" t="n">
        <x:v>0</x:v>
      </x:c>
      <x:c r="J2566" s="11" t="n">
        <x:v>0</x:v>
      </x:c>
      <x:c r="K2566" s="20" t="n">
        <x:v>195</x:v>
      </x:c>
      <x:c r="L2566" s="20" t="n">
        <x:v>0</x:v>
      </x:c>
      <x:c r="M2566" s="20" t="n">
        <x:v>96</x:v>
      </x:c>
      <x:c r="N2566" s="20" t="n">
        <x:f>IF(J2566=1,0,K2566-L2566)</x:f>
        <x:v>195</x:v>
      </x:c>
      <x:c r="O2566" s="20" t="n">
        <x:f>N2566-M2566</x:f>
        <x:v>99</x:v>
      </x:c>
    </x:row>
    <x:row r="2567" ht="22" customHeight="1">
      <x:c r="A2567" s="11" t="n">
        <x:v>2563</x:v>
      </x:c>
      <x:c r="B2567" s="11" t="n">
        <x:v>1290</x:v>
      </x:c>
      <x:c r="C2567" s="18" t="n">
        <x:v>45477</x:v>
      </x:c>
      <x:c r="D2567" s="11" t="str">
        <x:v>2024-07</x:v>
      </x:c>
      <x:c r="E2567" s="11" t="str">
        <x:v>West</x:v>
      </x:c>
      <x:c r="F2567" s="11" t="str">
        <x:v>Office Supplies</x:v>
      </x:c>
      <x:c r="G2567" s="11" t="str">
        <x:v>Storage box</x:v>
      </x:c>
      <x:c r="H2567" s="11" t="n">
        <x:v>3</x:v>
      </x:c>
      <x:c r="I2567" s="19" t="n">
        <x:v>0.1</x:v>
      </x:c>
      <x:c r="J2567" s="11" t="n">
        <x:v>0</x:v>
      </x:c>
      <x:c r="K2567" s="20" t="n">
        <x:v>78</x:v>
      </x:c>
      <x:c r="L2567" s="20" t="n">
        <x:v>7.8</x:v>
      </x:c>
      <x:c r="M2567" s="20" t="n">
        <x:v>36</x:v>
      </x:c>
      <x:c r="N2567" s="20" t="n">
        <x:f>IF(J2567=1,0,K2567-L2567)</x:f>
        <x:v>70.2</x:v>
      </x:c>
      <x:c r="O2567" s="20" t="n">
        <x:f>N2567-M2567</x:f>
        <x:v>34.2</x:v>
      </x:c>
    </x:row>
    <x:row r="2568" ht="22" customHeight="1">
      <x:c r="A2568" s="11" t="n">
        <x:v>2564</x:v>
      </x:c>
      <x:c r="B2568" s="11" t="n">
        <x:v>1290</x:v>
      </x:c>
      <x:c r="C2568" s="18" t="n">
        <x:v>45477</x:v>
      </x:c>
      <x:c r="D2568" s="11" t="str">
        <x:v>2024-07</x:v>
      </x:c>
      <x:c r="E2568" s="11" t="str">
        <x:v>West</x:v>
      </x:c>
      <x:c r="F2568" s="11" t="str">
        <x:v>Technology</x:v>
      </x:c>
      <x:c r="G2568" s="11" t="str">
        <x:v>Keyboard</x:v>
      </x:c>
      <x:c r="H2568" s="11" t="n">
        <x:v>5</x:v>
      </x:c>
      <x:c r="I2568" s="19" t="n">
        <x:v>0</x:v>
      </x:c>
      <x:c r="J2568" s="11" t="n">
        <x:v>0</x:v>
      </x:c>
      <x:c r="K2568" s="20" t="n">
        <x:v>325</x:v>
      </x:c>
      <x:c r="L2568" s="20" t="n">
        <x:v>0</x:v>
      </x:c>
      <x:c r="M2568" s="20" t="n">
        <x:v>160</x:v>
      </x:c>
      <x:c r="N2568" s="20" t="n">
        <x:f>IF(J2568=1,0,K2568-L2568)</x:f>
        <x:v>325</x:v>
      </x:c>
      <x:c r="O2568" s="20" t="n">
        <x:f>N2568-M2568</x:f>
        <x:v>165</x:v>
      </x:c>
    </x:row>
    <x:row r="2569" ht="22" customHeight="1">
      <x:c r="A2569" s="11" t="n">
        <x:v>2565</x:v>
      </x:c>
      <x:c r="B2569" s="11" t="n">
        <x:v>1291</x:v>
      </x:c>
      <x:c r="C2569" s="18" t="n">
        <x:v>45783</x:v>
      </x:c>
      <x:c r="D2569" s="11" t="str">
        <x:v>2025-05</x:v>
      </x:c>
      <x:c r="E2569" s="11" t="str">
        <x:v>East</x:v>
      </x:c>
      <x:c r="F2569" s="11" t="str">
        <x:v>Furniture</x:v>
      </x:c>
      <x:c r="G2569" s="11" t="str">
        <x:v>Chair</x:v>
      </x:c>
      <x:c r="H2569" s="11" t="n">
        <x:v>1</x:v>
      </x:c>
      <x:c r="I2569" s="19" t="n">
        <x:v>0</x:v>
      </x:c>
      <x:c r="J2569" s="11" t="n">
        <x:v>0</x:v>
      </x:c>
      <x:c r="K2569" s="20" t="n">
        <x:v>170</x:v>
      </x:c>
      <x:c r="L2569" s="20" t="n">
        <x:v>0</x:v>
      </x:c>
      <x:c r="M2569" s="20" t="n">
        <x:v>110</x:v>
      </x:c>
      <x:c r="N2569" s="20" t="n">
        <x:f>IF(J2569=1,0,K2569-L2569)</x:f>
        <x:v>170</x:v>
      </x:c>
      <x:c r="O2569" s="20" t="n">
        <x:f>N2569-M2569</x:f>
        <x:v>60</x:v>
      </x:c>
    </x:row>
    <x:row r="2570" ht="22" customHeight="1">
      <x:c r="A2570" s="11" t="n">
        <x:v>2566</x:v>
      </x:c>
      <x:c r="B2570" s="11" t="n">
        <x:v>1291</x:v>
      </x:c>
      <x:c r="C2570" s="18" t="n">
        <x:v>45783</x:v>
      </x:c>
      <x:c r="D2570" s="11" t="str">
        <x:v>2025-05</x:v>
      </x:c>
      <x:c r="E2570" s="11" t="str">
        <x:v>East</x:v>
      </x:c>
      <x:c r="F2570" s="11" t="str">
        <x:v>Furniture</x:v>
      </x:c>
      <x:c r="G2570" s="11" t="str">
        <x:v>Desk</x:v>
      </x:c>
      <x:c r="H2570" s="11" t="n">
        <x:v>1</x:v>
      </x:c>
      <x:c r="I2570" s="19" t="n">
        <x:v>0.1</x:v>
      </x:c>
      <x:c r="J2570" s="11" t="n">
        <x:v>0</x:v>
      </x:c>
      <x:c r="K2570" s="20" t="n">
        <x:v>280</x:v>
      </x:c>
      <x:c r="L2570" s="20" t="n">
        <x:v>28</x:v>
      </x:c>
      <x:c r="M2570" s="20" t="n">
        <x:v>190</x:v>
      </x:c>
      <x:c r="N2570" s="20" t="n">
        <x:f>IF(J2570=1,0,K2570-L2570)</x:f>
        <x:v>252</x:v>
      </x:c>
      <x:c r="O2570" s="20" t="n">
        <x:f>N2570-M2570</x:f>
        <x:v>62</x:v>
      </x:c>
    </x:row>
    <x:row r="2571" ht="22" customHeight="1">
      <x:c r="A2571" s="11" t="n">
        <x:v>2567</x:v>
      </x:c>
      <x:c r="B2571" s="11" t="n">
        <x:v>1291</x:v>
      </x:c>
      <x:c r="C2571" s="18" t="n">
        <x:v>45783</x:v>
      </x:c>
      <x:c r="D2571" s="11" t="str">
        <x:v>2025-05</x:v>
      </x:c>
      <x:c r="E2571" s="11" t="str">
        <x:v>East</x:v>
      </x:c>
      <x:c r="F2571" s="11" t="str">
        <x:v>Office Supplies</x:v>
      </x:c>
      <x:c r="G2571" s="11" t="str">
        <x:v>Notebook pack</x:v>
      </x:c>
      <x:c r="H2571" s="11" t="n">
        <x:v>3</x:v>
      </x:c>
      <x:c r="I2571" s="19" t="n">
        <x:v>0.1</x:v>
      </x:c>
      <x:c r="J2571" s="11" t="n">
        <x:v>0</x:v>
      </x:c>
      <x:c r="K2571" s="20" t="n">
        <x:v>54</x:v>
      </x:c>
      <x:c r="L2571" s="20" t="n">
        <x:v>5.4</x:v>
      </x:c>
      <x:c r="M2571" s="20" t="n">
        <x:v>21</x:v>
      </x:c>
      <x:c r="N2571" s="20" t="n">
        <x:f>IF(J2571=1,0,K2571-L2571)</x:f>
        <x:v>48.6</x:v>
      </x:c>
      <x:c r="O2571" s="20" t="n">
        <x:f>N2571-M2571</x:f>
        <x:v>27.6</x:v>
      </x:c>
    </x:row>
    <x:row r="2572" ht="22" customHeight="1">
      <x:c r="A2572" s="11" t="n">
        <x:v>2568</x:v>
      </x:c>
      <x:c r="B2572" s="11" t="n">
        <x:v>1292</x:v>
      </x:c>
      <x:c r="C2572" s="18" t="n">
        <x:v>45873</x:v>
      </x:c>
      <x:c r="D2572" s="11" t="str">
        <x:v>2025-08</x:v>
      </x:c>
      <x:c r="E2572" s="11" t="str">
        <x:v>South</x:v>
      </x:c>
      <x:c r="F2572" s="11" t="str">
        <x:v>Technology</x:v>
      </x:c>
      <x:c r="G2572" s="11" t="str">
        <x:v>Monitor</x:v>
      </x:c>
      <x:c r="H2572" s="11" t="n">
        <x:v>2</x:v>
      </x:c>
      <x:c r="I2572" s="19" t="n">
        <x:v>0</x:v>
      </x:c>
      <x:c r="J2572" s="11" t="n">
        <x:v>0</x:v>
      </x:c>
      <x:c r="K2572" s="20" t="n">
        <x:v>480</x:v>
      </x:c>
      <x:c r="L2572" s="20" t="n">
        <x:v>0</x:v>
      </x:c>
      <x:c r="M2572" s="20" t="n">
        <x:v>320</x:v>
      </x:c>
      <x:c r="N2572" s="20" t="n">
        <x:f>IF(J2572=1,0,K2572-L2572)</x:f>
        <x:v>480</x:v>
      </x:c>
      <x:c r="O2572" s="20" t="n">
        <x:f>N2572-M2572</x:f>
        <x:v>160</x:v>
      </x:c>
    </x:row>
    <x:row r="2573" ht="22" customHeight="1">
      <x:c r="A2573" s="11" t="n">
        <x:v>2569</x:v>
      </x:c>
      <x:c r="B2573" s="11" t="n">
        <x:v>1293</x:v>
      </x:c>
      <x:c r="C2573" s="18" t="n">
        <x:v>45673</x:v>
      </x:c>
      <x:c r="D2573" s="11" t="str">
        <x:v>2025-01</x:v>
      </x:c>
      <x:c r="E2573" s="11" t="str">
        <x:v>South</x:v>
      </x:c>
      <x:c r="F2573" s="11" t="str">
        <x:v>Office Supplies</x:v>
      </x:c>
      <x:c r="G2573" s="11" t="str">
        <x:v>Storage box</x:v>
      </x:c>
      <x:c r="H2573" s="11" t="n">
        <x:v>3</x:v>
      </x:c>
      <x:c r="I2573" s="19" t="n">
        <x:v>0</x:v>
      </x:c>
      <x:c r="J2573" s="11" t="n">
        <x:v>0</x:v>
      </x:c>
      <x:c r="K2573" s="20" t="n">
        <x:v>78</x:v>
      </x:c>
      <x:c r="L2573" s="20" t="n">
        <x:v>0</x:v>
      </x:c>
      <x:c r="M2573" s="20" t="n">
        <x:v>36</x:v>
      </x:c>
      <x:c r="N2573" s="20" t="n">
        <x:f>IF(J2573=1,0,K2573-L2573)</x:f>
        <x:v>78</x:v>
      </x:c>
      <x:c r="O2573" s="20" t="n">
        <x:f>N2573-M2573</x:f>
        <x:v>42</x:v>
      </x:c>
    </x:row>
    <x:row r="2574" ht="22" customHeight="1">
      <x:c r="A2574" s="11" t="n">
        <x:v>2570</x:v>
      </x:c>
      <x:c r="B2574" s="11" t="n">
        <x:v>1293</x:v>
      </x:c>
      <x:c r="C2574" s="18" t="n">
        <x:v>45673</x:v>
      </x:c>
      <x:c r="D2574" s="11" t="str">
        <x:v>2025-01</x:v>
      </x:c>
      <x:c r="E2574" s="11" t="str">
        <x:v>South</x:v>
      </x:c>
      <x:c r="F2574" s="11" t="str">
        <x:v>Furniture</x:v>
      </x:c>
      <x:c r="G2574" s="11" t="str">
        <x:v>Desk</x:v>
      </x:c>
      <x:c r="H2574" s="11" t="n">
        <x:v>3</x:v>
      </x:c>
      <x:c r="I2574" s="19" t="n">
        <x:v>0</x:v>
      </x:c>
      <x:c r="J2574" s="11" t="n">
        <x:v>0</x:v>
      </x:c>
      <x:c r="K2574" s="20" t="n">
        <x:v>840</x:v>
      </x:c>
      <x:c r="L2574" s="20" t="n">
        <x:v>0</x:v>
      </x:c>
      <x:c r="M2574" s="20" t="n">
        <x:v>570</x:v>
      </x:c>
      <x:c r="N2574" s="20" t="n">
        <x:f>IF(J2574=1,0,K2574-L2574)</x:f>
        <x:v>840</x:v>
      </x:c>
      <x:c r="O2574" s="20" t="n">
        <x:f>N2574-M2574</x:f>
        <x:v>270</x:v>
      </x:c>
    </x:row>
    <x:row r="2575" ht="22" customHeight="1">
      <x:c r="A2575" s="11" t="n">
        <x:v>2571</x:v>
      </x:c>
      <x:c r="B2575" s="11" t="n">
        <x:v>1294</x:v>
      </x:c>
      <x:c r="C2575" s="18" t="n">
        <x:v>45501</x:v>
      </x:c>
      <x:c r="D2575" s="11" t="str">
        <x:v>2024-07</x:v>
      </x:c>
      <x:c r="E2575" s="11" t="str">
        <x:v>West</x:v>
      </x:c>
      <x:c r="F2575" s="11" t="str">
        <x:v>Furniture</x:v>
      </x:c>
      <x:c r="G2575" s="11" t="str">
        <x:v>Chair</x:v>
      </x:c>
      <x:c r="H2575" s="11" t="n">
        <x:v>1</x:v>
      </x:c>
      <x:c r="I2575" s="19" t="n">
        <x:v>0</x:v>
      </x:c>
      <x:c r="J2575" s="11" t="n">
        <x:v>0</x:v>
      </x:c>
      <x:c r="K2575" s="20" t="n">
        <x:v>170</x:v>
      </x:c>
      <x:c r="L2575" s="20" t="n">
        <x:v>0</x:v>
      </x:c>
      <x:c r="M2575" s="20" t="n">
        <x:v>110</x:v>
      </x:c>
      <x:c r="N2575" s="20" t="n">
        <x:f>IF(J2575=1,0,K2575-L2575)</x:f>
        <x:v>170</x:v>
      </x:c>
      <x:c r="O2575" s="20" t="n">
        <x:f>N2575-M2575</x:f>
        <x:v>60</x:v>
      </x:c>
    </x:row>
    <x:row r="2576" ht="22" customHeight="1">
      <x:c r="A2576" s="11" t="n">
        <x:v>2572</x:v>
      </x:c>
      <x:c r="B2576" s="11" t="n">
        <x:v>1294</x:v>
      </x:c>
      <x:c r="C2576" s="18" t="n">
        <x:v>45501</x:v>
      </x:c>
      <x:c r="D2576" s="11" t="str">
        <x:v>2024-07</x:v>
      </x:c>
      <x:c r="E2576" s="11" t="str">
        <x:v>West</x:v>
      </x:c>
      <x:c r="F2576" s="11" t="str">
        <x:v>Furniture</x:v>
      </x:c>
      <x:c r="G2576" s="11" t="str">
        <x:v>Desk</x:v>
      </x:c>
      <x:c r="H2576" s="11" t="n">
        <x:v>4</x:v>
      </x:c>
      <x:c r="I2576" s="19" t="n">
        <x:v>0.1</x:v>
      </x:c>
      <x:c r="J2576" s="11" t="n">
        <x:v>0</x:v>
      </x:c>
      <x:c r="K2576" s="20" t="n">
        <x:v>1120</x:v>
      </x:c>
      <x:c r="L2576" s="20" t="n">
        <x:v>112</x:v>
      </x:c>
      <x:c r="M2576" s="20" t="n">
        <x:v>760</x:v>
      </x:c>
      <x:c r="N2576" s="20" t="n">
        <x:f>IF(J2576=1,0,K2576-L2576)</x:f>
        <x:v>1008</x:v>
      </x:c>
      <x:c r="O2576" s="20" t="n">
        <x:f>N2576-M2576</x:f>
        <x:v>248</x:v>
      </x:c>
    </x:row>
    <x:row r="2577" ht="22" customHeight="1">
      <x:c r="A2577" s="11" t="n">
        <x:v>2573</x:v>
      </x:c>
      <x:c r="B2577" s="11" t="n">
        <x:v>1295</x:v>
      </x:c>
      <x:c r="C2577" s="18" t="n">
        <x:v>46011</x:v>
      </x:c>
      <x:c r="D2577" s="11" t="str">
        <x:v>2025-12</x:v>
      </x:c>
      <x:c r="E2577" s="11" t="str">
        <x:v>South</x:v>
      </x:c>
      <x:c r="F2577" s="11" t="str">
        <x:v>Office Supplies</x:v>
      </x:c>
      <x:c r="G2577" s="11" t="str">
        <x:v>Storage box</x:v>
      </x:c>
      <x:c r="H2577" s="11" t="n">
        <x:v>2</x:v>
      </x:c>
      <x:c r="I2577" s="19" t="n">
        <x:v>0</x:v>
      </x:c>
      <x:c r="J2577" s="11" t="n">
        <x:v>0</x:v>
      </x:c>
      <x:c r="K2577" s="20" t="n">
        <x:v>52</x:v>
      </x:c>
      <x:c r="L2577" s="20" t="n">
        <x:v>0</x:v>
      </x:c>
      <x:c r="M2577" s="20" t="n">
        <x:v>24</x:v>
      </x:c>
      <x:c r="N2577" s="20" t="n">
        <x:f>IF(J2577=1,0,K2577-L2577)</x:f>
        <x:v>52</x:v>
      </x:c>
      <x:c r="O2577" s="20" t="n">
        <x:f>N2577-M2577</x:f>
        <x:v>28</x:v>
      </x:c>
    </x:row>
    <x:row r="2578" ht="22" customHeight="1">
      <x:c r="A2578" s="11" t="n">
        <x:v>2574</x:v>
      </x:c>
      <x:c r="B2578" s="11" t="n">
        <x:v>1296</x:v>
      </x:c>
      <x:c r="C2578" s="18" t="n">
        <x:v>45986</x:v>
      </x:c>
      <x:c r="D2578" s="11" t="str">
        <x:v>2025-11</x:v>
      </x:c>
      <x:c r="E2578" s="11" t="str">
        <x:v>South</x:v>
      </x:c>
      <x:c r="F2578" s="11" t="str">
        <x:v>Technology</x:v>
      </x:c>
      <x:c r="G2578" s="11" t="str">
        <x:v>Keyboard</x:v>
      </x:c>
      <x:c r="H2578" s="11" t="n">
        <x:v>4</x:v>
      </x:c>
      <x:c r="I2578" s="19" t="n">
        <x:v>0.1</x:v>
      </x:c>
      <x:c r="J2578" s="11" t="n">
        <x:v>0</x:v>
      </x:c>
      <x:c r="K2578" s="20" t="n">
        <x:v>260</x:v>
      </x:c>
      <x:c r="L2578" s="20" t="n">
        <x:v>26</x:v>
      </x:c>
      <x:c r="M2578" s="20" t="n">
        <x:v>128</x:v>
      </x:c>
      <x:c r="N2578" s="20" t="n">
        <x:f>IF(J2578=1,0,K2578-L2578)</x:f>
        <x:v>234</x:v>
      </x:c>
      <x:c r="O2578" s="20" t="n">
        <x:f>N2578-M2578</x:f>
        <x:v>106</x:v>
      </x:c>
    </x:row>
    <x:row r="2579" ht="22" customHeight="1">
      <x:c r="A2579" s="11" t="n">
        <x:v>2575</x:v>
      </x:c>
      <x:c r="B2579" s="11" t="n">
        <x:v>1297</x:v>
      </x:c>
      <x:c r="C2579" s="18" t="n">
        <x:v>45305</x:v>
      </x:c>
      <x:c r="D2579" s="11" t="str">
        <x:v>2024-01</x:v>
      </x:c>
      <x:c r="E2579" s="11" t="str">
        <x:v>Central</x:v>
      </x:c>
      <x:c r="F2579" s="11" t="str">
        <x:v>Furniture</x:v>
      </x:c>
      <x:c r="G2579" s="11" t="str">
        <x:v>Desk</x:v>
      </x:c>
      <x:c r="H2579" s="11" t="n">
        <x:v>4</x:v>
      </x:c>
      <x:c r="I2579" s="19" t="n">
        <x:v>0.05</x:v>
      </x:c>
      <x:c r="J2579" s="11" t="n">
        <x:v>0</x:v>
      </x:c>
      <x:c r="K2579" s="20" t="n">
        <x:v>1120</x:v>
      </x:c>
      <x:c r="L2579" s="20" t="n">
        <x:v>56</x:v>
      </x:c>
      <x:c r="M2579" s="20" t="n">
        <x:v>760</x:v>
      </x:c>
      <x:c r="N2579" s="20" t="n">
        <x:f>IF(J2579=1,0,K2579-L2579)</x:f>
        <x:v>1064</x:v>
      </x:c>
      <x:c r="O2579" s="20" t="n">
        <x:f>N2579-M2579</x:f>
        <x:v>304</x:v>
      </x:c>
    </x:row>
    <x:row r="2580" ht="22" customHeight="1">
      <x:c r="A2580" s="11" t="n">
        <x:v>2576</x:v>
      </x:c>
      <x:c r="B2580" s="11" t="n">
        <x:v>1297</x:v>
      </x:c>
      <x:c r="C2580" s="18" t="n">
        <x:v>45305</x:v>
      </x:c>
      <x:c r="D2580" s="11" t="str">
        <x:v>2024-01</x:v>
      </x:c>
      <x:c r="E2580" s="11" t="str">
        <x:v>Central</x:v>
      </x:c>
      <x:c r="F2580" s="11" t="str">
        <x:v>Technology</x:v>
      </x:c>
      <x:c r="G2580" s="11" t="str">
        <x:v>Monitor</x:v>
      </x:c>
      <x:c r="H2580" s="11" t="n">
        <x:v>1</x:v>
      </x:c>
      <x:c r="I2580" s="19" t="n">
        <x:v>0.05</x:v>
      </x:c>
      <x:c r="J2580" s="11" t="n">
        <x:v>0</x:v>
      </x:c>
      <x:c r="K2580" s="20" t="n">
        <x:v>240</x:v>
      </x:c>
      <x:c r="L2580" s="20" t="n">
        <x:v>12</x:v>
      </x:c>
      <x:c r="M2580" s="20" t="n">
        <x:v>160</x:v>
      </x:c>
      <x:c r="N2580" s="20" t="n">
        <x:f>IF(J2580=1,0,K2580-L2580)</x:f>
        <x:v>228</x:v>
      </x:c>
      <x:c r="O2580" s="20" t="n">
        <x:f>N2580-M2580</x:f>
        <x:v>68</x:v>
      </x:c>
    </x:row>
    <x:row r="2581" ht="22" customHeight="1">
      <x:c r="A2581" s="11" t="n">
        <x:v>2577</x:v>
      </x:c>
      <x:c r="B2581" s="11" t="n">
        <x:v>1297</x:v>
      </x:c>
      <x:c r="C2581" s="18" t="n">
        <x:v>45305</x:v>
      </x:c>
      <x:c r="D2581" s="11" t="str">
        <x:v>2024-01</x:v>
      </x:c>
      <x:c r="E2581" s="11" t="str">
        <x:v>Central</x:v>
      </x:c>
      <x:c r="F2581" s="11" t="str">
        <x:v>Office Supplies</x:v>
      </x:c>
      <x:c r="G2581" s="11" t="str">
        <x:v>Notebook pack</x:v>
      </x:c>
      <x:c r="H2581" s="11" t="n">
        <x:v>2</x:v>
      </x:c>
      <x:c r="I2581" s="19" t="n">
        <x:v>0</x:v>
      </x:c>
      <x:c r="J2581" s="11" t="n">
        <x:v>0</x:v>
      </x:c>
      <x:c r="K2581" s="20" t="n">
        <x:v>36</x:v>
      </x:c>
      <x:c r="L2581" s="20" t="n">
        <x:v>0</x:v>
      </x:c>
      <x:c r="M2581" s="20" t="n">
        <x:v>14</x:v>
      </x:c>
      <x:c r="N2581" s="20" t="n">
        <x:f>IF(J2581=1,0,K2581-L2581)</x:f>
        <x:v>36</x:v>
      </x:c>
      <x:c r="O2581" s="20" t="n">
        <x:f>N2581-M2581</x:f>
        <x:v>22</x:v>
      </x:c>
    </x:row>
    <x:row r="2582" ht="22" customHeight="1">
      <x:c r="A2582" s="11" t="n">
        <x:v>2578</x:v>
      </x:c>
      <x:c r="B2582" s="11" t="n">
        <x:v>1298</x:v>
      </x:c>
      <x:c r="C2582" s="18" t="n">
        <x:v>45293</x:v>
      </x:c>
      <x:c r="D2582" s="11" t="str">
        <x:v>2024-01</x:v>
      </x:c>
      <x:c r="E2582" s="11" t="str">
        <x:v>South</x:v>
      </x:c>
      <x:c r="F2582" s="11" t="str">
        <x:v>Technology</x:v>
      </x:c>
      <x:c r="G2582" s="11" t="str">
        <x:v>Keyboard</x:v>
      </x:c>
      <x:c r="H2582" s="11" t="n">
        <x:v>2</x:v>
      </x:c>
      <x:c r="I2582" s="19" t="n">
        <x:v>0</x:v>
      </x:c>
      <x:c r="J2582" s="11" t="n">
        <x:v>0</x:v>
      </x:c>
      <x:c r="K2582" s="20" t="n">
        <x:v>130</x:v>
      </x:c>
      <x:c r="L2582" s="20" t="n">
        <x:v>0</x:v>
      </x:c>
      <x:c r="M2582" s="20" t="n">
        <x:v>64</x:v>
      </x:c>
      <x:c r="N2582" s="20" t="n">
        <x:f>IF(J2582=1,0,K2582-L2582)</x:f>
        <x:v>130</x:v>
      </x:c>
      <x:c r="O2582" s="20" t="n">
        <x:f>N2582-M2582</x:f>
        <x:v>66</x:v>
      </x:c>
    </x:row>
    <x:row r="2583" ht="22" customHeight="1">
      <x:c r="A2583" s="11" t="n">
        <x:v>2579</x:v>
      </x:c>
      <x:c r="B2583" s="11" t="n">
        <x:v>1298</x:v>
      </x:c>
      <x:c r="C2583" s="18" t="n">
        <x:v>45293</x:v>
      </x:c>
      <x:c r="D2583" s="11" t="str">
        <x:v>2024-01</x:v>
      </x:c>
      <x:c r="E2583" s="11" t="str">
        <x:v>South</x:v>
      </x:c>
      <x:c r="F2583" s="11" t="str">
        <x:v>Office Supplies</x:v>
      </x:c>
      <x:c r="G2583" s="11" t="str">
        <x:v>Notebook pack</x:v>
      </x:c>
      <x:c r="H2583" s="11" t="n">
        <x:v>1</x:v>
      </x:c>
      <x:c r="I2583" s="19" t="n">
        <x:v>0.15</x:v>
      </x:c>
      <x:c r="J2583" s="11" t="n">
        <x:v>0</x:v>
      </x:c>
      <x:c r="K2583" s="20" t="n">
        <x:v>18</x:v>
      </x:c>
      <x:c r="L2583" s="20" t="n">
        <x:v>2.7</x:v>
      </x:c>
      <x:c r="M2583" s="20" t="n">
        <x:v>7</x:v>
      </x:c>
      <x:c r="N2583" s="20" t="n">
        <x:f>IF(J2583=1,0,K2583-L2583)</x:f>
        <x:v>15.3</x:v>
      </x:c>
      <x:c r="O2583" s="20" t="n">
        <x:f>N2583-M2583</x:f>
        <x:v>8.3</x:v>
      </x:c>
    </x:row>
    <x:row r="2584" ht="22" customHeight="1">
      <x:c r="A2584" s="11" t="n">
        <x:v>2580</x:v>
      </x:c>
      <x:c r="B2584" s="11" t="n">
        <x:v>1298</x:v>
      </x:c>
      <x:c r="C2584" s="18" t="n">
        <x:v>45293</x:v>
      </x:c>
      <x:c r="D2584" s="11" t="str">
        <x:v>2024-01</x:v>
      </x:c>
      <x:c r="E2584" s="11" t="str">
        <x:v>South</x:v>
      </x:c>
      <x:c r="F2584" s="11" t="str">
        <x:v>Office Supplies</x:v>
      </x:c>
      <x:c r="G2584" s="11" t="str">
        <x:v>Storage box</x:v>
      </x:c>
      <x:c r="H2584" s="11" t="n">
        <x:v>4</x:v>
      </x:c>
      <x:c r="I2584" s="19" t="n">
        <x:v>0.15</x:v>
      </x:c>
      <x:c r="J2584" s="11" t="n">
        <x:v>0</x:v>
      </x:c>
      <x:c r="K2584" s="20" t="n">
        <x:v>104</x:v>
      </x:c>
      <x:c r="L2584" s="20" t="n">
        <x:v>15.6</x:v>
      </x:c>
      <x:c r="M2584" s="20" t="n">
        <x:v>48</x:v>
      </x:c>
      <x:c r="N2584" s="20" t="n">
        <x:f>IF(J2584=1,0,K2584-L2584)</x:f>
        <x:v>88.4</x:v>
      </x:c>
      <x:c r="O2584" s="20" t="n">
        <x:f>N2584-M2584</x:f>
        <x:v>40.400000000000006</x:v>
      </x:c>
    </x:row>
    <x:row r="2585" ht="22" customHeight="1">
      <x:c r="A2585" s="11" t="n">
        <x:v>2581</x:v>
      </x:c>
      <x:c r="B2585" s="11" t="n">
        <x:v>1299</x:v>
      </x:c>
      <x:c r="C2585" s="18" t="n">
        <x:v>45966</x:v>
      </x:c>
      <x:c r="D2585" s="11" t="str">
        <x:v>2025-11</x:v>
      </x:c>
      <x:c r="E2585" s="11" t="str">
        <x:v>South</x:v>
      </x:c>
      <x:c r="F2585" s="11" t="str">
        <x:v>Office Supplies</x:v>
      </x:c>
      <x:c r="G2585" s="11" t="str">
        <x:v>Storage box</x:v>
      </x:c>
      <x:c r="H2585" s="11" t="n">
        <x:v>4</x:v>
      </x:c>
      <x:c r="I2585" s="19" t="n">
        <x:v>0</x:v>
      </x:c>
      <x:c r="J2585" s="11" t="n">
        <x:v>0</x:v>
      </x:c>
      <x:c r="K2585" s="20" t="n">
        <x:v>104</x:v>
      </x:c>
      <x:c r="L2585" s="20" t="n">
        <x:v>0</x:v>
      </x:c>
      <x:c r="M2585" s="20" t="n">
        <x:v>48</x:v>
      </x:c>
      <x:c r="N2585" s="20" t="n">
        <x:f>IF(J2585=1,0,K2585-L2585)</x:f>
        <x:v>104</x:v>
      </x:c>
      <x:c r="O2585" s="20" t="n">
        <x:f>N2585-M2585</x:f>
        <x:v>56</x:v>
      </x:c>
    </x:row>
    <x:row r="2586" ht="22" customHeight="1">
      <x:c r="A2586" s="11" t="n">
        <x:v>2582</x:v>
      </x:c>
      <x:c r="B2586" s="11" t="n">
        <x:v>1299</x:v>
      </x:c>
      <x:c r="C2586" s="18" t="n">
        <x:v>45966</x:v>
      </x:c>
      <x:c r="D2586" s="11" t="str">
        <x:v>2025-11</x:v>
      </x:c>
      <x:c r="E2586" s="11" t="str">
        <x:v>South</x:v>
      </x:c>
      <x:c r="F2586" s="11" t="str">
        <x:v>Technology</x:v>
      </x:c>
      <x:c r="G2586" s="11" t="str">
        <x:v>Monitor</x:v>
      </x:c>
      <x:c r="H2586" s="11" t="n">
        <x:v>3</x:v>
      </x:c>
      <x:c r="I2586" s="19" t="n">
        <x:v>0.1</x:v>
      </x:c>
      <x:c r="J2586" s="11" t="n">
        <x:v>0</x:v>
      </x:c>
      <x:c r="K2586" s="20" t="n">
        <x:v>720</x:v>
      </x:c>
      <x:c r="L2586" s="20" t="n">
        <x:v>72</x:v>
      </x:c>
      <x:c r="M2586" s="20" t="n">
        <x:v>480</x:v>
      </x:c>
      <x:c r="N2586" s="20" t="n">
        <x:f>IF(J2586=1,0,K2586-L2586)</x:f>
        <x:v>648</x:v>
      </x:c>
      <x:c r="O2586" s="20" t="n">
        <x:f>N2586-M2586</x:f>
        <x:v>168</x:v>
      </x:c>
    </x:row>
    <x:row r="2587" ht="22" customHeight="1">
      <x:c r="A2587" s="11" t="n">
        <x:v>2583</x:v>
      </x:c>
      <x:c r="B2587" s="11" t="n">
        <x:v>1300</x:v>
      </x:c>
      <x:c r="C2587" s="18" t="n">
        <x:v>45591</x:v>
      </x:c>
      <x:c r="D2587" s="11" t="str">
        <x:v>2024-10</x:v>
      </x:c>
      <x:c r="E2587" s="11" t="str">
        <x:v>East</x:v>
      </x:c>
      <x:c r="F2587" s="11" t="str">
        <x:v>Office Supplies</x:v>
      </x:c>
      <x:c r="G2587" s="11" t="str">
        <x:v>Notebook pack</x:v>
      </x:c>
      <x:c r="H2587" s="11" t="n">
        <x:v>4</x:v>
      </x:c>
      <x:c r="I2587" s="19" t="n">
        <x:v>0</x:v>
      </x:c>
      <x:c r="J2587" s="11" t="n">
        <x:v>0</x:v>
      </x:c>
      <x:c r="K2587" s="20" t="n">
        <x:v>72</x:v>
      </x:c>
      <x:c r="L2587" s="20" t="n">
        <x:v>0</x:v>
      </x:c>
      <x:c r="M2587" s="20" t="n">
        <x:v>28</x:v>
      </x:c>
      <x:c r="N2587" s="20" t="n">
        <x:f>IF(J2587=1,0,K2587-L2587)</x:f>
        <x:v>72</x:v>
      </x:c>
      <x:c r="O2587" s="20" t="n">
        <x:f>N2587-M2587</x:f>
        <x:v>44</x:v>
      </x:c>
    </x:row>
    <x:row r="2588" ht="22" customHeight="1">
      <x:c r="A2588" s="11" t="n">
        <x:v>2584</x:v>
      </x:c>
      <x:c r="B2588" s="11" t="n">
        <x:v>1300</x:v>
      </x:c>
      <x:c r="C2588" s="18" t="n">
        <x:v>45591</x:v>
      </x:c>
      <x:c r="D2588" s="11" t="str">
        <x:v>2024-10</x:v>
      </x:c>
      <x:c r="E2588" s="11" t="str">
        <x:v>East</x:v>
      </x:c>
      <x:c r="F2588" s="11" t="str">
        <x:v>Technology</x:v>
      </x:c>
      <x:c r="G2588" s="11" t="str">
        <x:v>Keyboard</x:v>
      </x:c>
      <x:c r="H2588" s="11" t="n">
        <x:v>2</x:v>
      </x:c>
      <x:c r="I2588" s="19" t="n">
        <x:v>0.05</x:v>
      </x:c>
      <x:c r="J2588" s="11" t="n">
        <x:v>0</x:v>
      </x:c>
      <x:c r="K2588" s="20" t="n">
        <x:v>130</x:v>
      </x:c>
      <x:c r="L2588" s="20" t="n">
        <x:v>6.5</x:v>
      </x:c>
      <x:c r="M2588" s="20" t="n">
        <x:v>64</x:v>
      </x:c>
      <x:c r="N2588" s="20" t="n">
        <x:f>IF(J2588=1,0,K2588-L2588)</x:f>
        <x:v>123.5</x:v>
      </x:c>
      <x:c r="O2588" s="20" t="n">
        <x:f>N2588-M2588</x:f>
        <x:v>59.5</x:v>
      </x:c>
    </x:row>
    <x:row r="2589" ht="22" customHeight="1">
      <x:c r="A2589" s="11" t="n">
        <x:v>2585</x:v>
      </x:c>
      <x:c r="B2589" s="11" t="n">
        <x:v>1300</x:v>
      </x:c>
      <x:c r="C2589" s="18" t="n">
        <x:v>45591</x:v>
      </x:c>
      <x:c r="D2589" s="11" t="str">
        <x:v>2024-10</x:v>
      </x:c>
      <x:c r="E2589" s="11" t="str">
        <x:v>East</x:v>
      </x:c>
      <x:c r="F2589" s="11" t="str">
        <x:v>Technology</x:v>
      </x:c>
      <x:c r="G2589" s="11" t="str">
        <x:v>Monitor</x:v>
      </x:c>
      <x:c r="H2589" s="11" t="n">
        <x:v>4</x:v>
      </x:c>
      <x:c r="I2589" s="19" t="n">
        <x:v>0.1</x:v>
      </x:c>
      <x:c r="J2589" s="11" t="n">
        <x:v>0</x:v>
      </x:c>
      <x:c r="K2589" s="20" t="n">
        <x:v>960</x:v>
      </x:c>
      <x:c r="L2589" s="20" t="n">
        <x:v>96</x:v>
      </x:c>
      <x:c r="M2589" s="20" t="n">
        <x:v>640</x:v>
      </x:c>
      <x:c r="N2589" s="20" t="n">
        <x:f>IF(J2589=1,0,K2589-L2589)</x:f>
        <x:v>864</x:v>
      </x:c>
      <x:c r="O2589" s="20" t="n">
        <x:f>N2589-M2589</x:f>
        <x:v>224</x:v>
      </x:c>
    </x:row>
    <x:row r="2590" ht="22" customHeight="1">
      <x:c r="A2590" s="11" t="n">
        <x:v>2586</x:v>
      </x:c>
      <x:c r="B2590" s="11" t="n">
        <x:v>1301</x:v>
      </x:c>
      <x:c r="C2590" s="18" t="n">
        <x:v>45988</x:v>
      </x:c>
      <x:c r="D2590" s="11" t="str">
        <x:v>2025-11</x:v>
      </x:c>
      <x:c r="E2590" s="11" t="str">
        <x:v>West</x:v>
      </x:c>
      <x:c r="F2590" s="11" t="str">
        <x:v>Office Supplies</x:v>
      </x:c>
      <x:c r="G2590" s="11" t="str">
        <x:v>Notebook pack</x:v>
      </x:c>
      <x:c r="H2590" s="11" t="n">
        <x:v>5</x:v>
      </x:c>
      <x:c r="I2590" s="19" t="n">
        <x:v>0.05</x:v>
      </x:c>
      <x:c r="J2590" s="11" t="n">
        <x:v>0</x:v>
      </x:c>
      <x:c r="K2590" s="20" t="n">
        <x:v>90</x:v>
      </x:c>
      <x:c r="L2590" s="20" t="n">
        <x:v>4.5</x:v>
      </x:c>
      <x:c r="M2590" s="20" t="n">
        <x:v>35</x:v>
      </x:c>
      <x:c r="N2590" s="20" t="n">
        <x:f>IF(J2590=1,0,K2590-L2590)</x:f>
        <x:v>85.5</x:v>
      </x:c>
      <x:c r="O2590" s="20" t="n">
        <x:f>N2590-M2590</x:f>
        <x:v>50.5</x:v>
      </x:c>
    </x:row>
    <x:row r="2591" ht="22" customHeight="1">
      <x:c r="A2591" s="11" t="n">
        <x:v>2587</x:v>
      </x:c>
      <x:c r="B2591" s="11" t="n">
        <x:v>1301</x:v>
      </x:c>
      <x:c r="C2591" s="18" t="n">
        <x:v>45988</x:v>
      </x:c>
      <x:c r="D2591" s="11" t="str">
        <x:v>2025-11</x:v>
      </x:c>
      <x:c r="E2591" s="11" t="str">
        <x:v>West</x:v>
      </x:c>
      <x:c r="F2591" s="11" t="str">
        <x:v>Furniture</x:v>
      </x:c>
      <x:c r="G2591" s="11" t="str">
        <x:v>Chair</x:v>
      </x:c>
      <x:c r="H2591" s="11" t="n">
        <x:v>2</x:v>
      </x:c>
      <x:c r="I2591" s="19" t="n">
        <x:v>0</x:v>
      </x:c>
      <x:c r="J2591" s="11" t="n">
        <x:v>0</x:v>
      </x:c>
      <x:c r="K2591" s="20" t="n">
        <x:v>340</x:v>
      </x:c>
      <x:c r="L2591" s="20" t="n">
        <x:v>0</x:v>
      </x:c>
      <x:c r="M2591" s="20" t="n">
        <x:v>220</x:v>
      </x:c>
      <x:c r="N2591" s="20" t="n">
        <x:f>IF(J2591=1,0,K2591-L2591)</x:f>
        <x:v>340</x:v>
      </x:c>
      <x:c r="O2591" s="20" t="n">
        <x:f>N2591-M2591</x:f>
        <x:v>120</x:v>
      </x:c>
    </x:row>
    <x:row r="2592" ht="22" customHeight="1">
      <x:c r="A2592" s="11" t="n">
        <x:v>2588</x:v>
      </x:c>
      <x:c r="B2592" s="11" t="n">
        <x:v>1302</x:v>
      </x:c>
      <x:c r="C2592" s="18" t="n">
        <x:v>45502</x:v>
      </x:c>
      <x:c r="D2592" s="11" t="str">
        <x:v>2024-07</x:v>
      </x:c>
      <x:c r="E2592" s="11" t="str">
        <x:v>Central</x:v>
      </x:c>
      <x:c r="F2592" s="11" t="str">
        <x:v>Technology</x:v>
      </x:c>
      <x:c r="G2592" s="11" t="str">
        <x:v>Keyboard</x:v>
      </x:c>
      <x:c r="H2592" s="11" t="n">
        <x:v>1</x:v>
      </x:c>
      <x:c r="I2592" s="19" t="n">
        <x:v>0.15</x:v>
      </x:c>
      <x:c r="J2592" s="11" t="n">
        <x:v>0</x:v>
      </x:c>
      <x:c r="K2592" s="20" t="n">
        <x:v>65</x:v>
      </x:c>
      <x:c r="L2592" s="20" t="n">
        <x:v>9.75</x:v>
      </x:c>
      <x:c r="M2592" s="20" t="n">
        <x:v>32</x:v>
      </x:c>
      <x:c r="N2592" s="20" t="n">
        <x:f>IF(J2592=1,0,K2592-L2592)</x:f>
        <x:v>55.25</x:v>
      </x:c>
      <x:c r="O2592" s="20" t="n">
        <x:f>N2592-M2592</x:f>
        <x:v>23.25</x:v>
      </x:c>
    </x:row>
    <x:row r="2593" ht="22" customHeight="1">
      <x:c r="A2593" s="11" t="n">
        <x:v>2589</x:v>
      </x:c>
      <x:c r="B2593" s="11" t="n">
        <x:v>1303</x:v>
      </x:c>
      <x:c r="C2593" s="18" t="n">
        <x:v>45824</x:v>
      </x:c>
      <x:c r="D2593" s="11" t="str">
        <x:v>2025-06</x:v>
      </x:c>
      <x:c r="E2593" s="11" t="str">
        <x:v>South</x:v>
      </x:c>
      <x:c r="F2593" s="11" t="str">
        <x:v>Office Supplies</x:v>
      </x:c>
      <x:c r="G2593" s="11" t="str">
        <x:v>Notebook pack</x:v>
      </x:c>
      <x:c r="H2593" s="11" t="n">
        <x:v>2</x:v>
      </x:c>
      <x:c r="I2593" s="19" t="n">
        <x:v>0.05</x:v>
      </x:c>
      <x:c r="J2593" s="11" t="n">
        <x:v>0</x:v>
      </x:c>
      <x:c r="K2593" s="20" t="n">
        <x:v>36</x:v>
      </x:c>
      <x:c r="L2593" s="20" t="n">
        <x:v>1.8</x:v>
      </x:c>
      <x:c r="M2593" s="20" t="n">
        <x:v>14</x:v>
      </x:c>
      <x:c r="N2593" s="20" t="n">
        <x:f>IF(J2593=1,0,K2593-L2593)</x:f>
        <x:v>34.2</x:v>
      </x:c>
      <x:c r="O2593" s="20" t="n">
        <x:f>N2593-M2593</x:f>
        <x:v>20.200000000000003</x:v>
      </x:c>
    </x:row>
    <x:row r="2594" ht="22" customHeight="1">
      <x:c r="A2594" s="11" t="n">
        <x:v>2590</x:v>
      </x:c>
      <x:c r="B2594" s="11" t="n">
        <x:v>1303</x:v>
      </x:c>
      <x:c r="C2594" s="18" t="n">
        <x:v>45824</x:v>
      </x:c>
      <x:c r="D2594" s="11" t="str">
        <x:v>2025-06</x:v>
      </x:c>
      <x:c r="E2594" s="11" t="str">
        <x:v>South</x:v>
      </x:c>
      <x:c r="F2594" s="11" t="str">
        <x:v>Furniture</x:v>
      </x:c>
      <x:c r="G2594" s="11" t="str">
        <x:v>Chair</x:v>
      </x:c>
      <x:c r="H2594" s="11" t="n">
        <x:v>3</x:v>
      </x:c>
      <x:c r="I2594" s="19" t="n">
        <x:v>0.15</x:v>
      </x:c>
      <x:c r="J2594" s="11" t="n">
        <x:v>0</x:v>
      </x:c>
      <x:c r="K2594" s="20" t="n">
        <x:v>510</x:v>
      </x:c>
      <x:c r="L2594" s="20" t="n">
        <x:v>76.5</x:v>
      </x:c>
      <x:c r="M2594" s="20" t="n">
        <x:v>330</x:v>
      </x:c>
      <x:c r="N2594" s="20" t="n">
        <x:f>IF(J2594=1,0,K2594-L2594)</x:f>
        <x:v>433.5</x:v>
      </x:c>
      <x:c r="O2594" s="20" t="n">
        <x:f>N2594-M2594</x:f>
        <x:v>103.5</x:v>
      </x:c>
    </x:row>
    <x:row r="2595" ht="22" customHeight="1">
      <x:c r="A2595" s="11" t="n">
        <x:v>2591</x:v>
      </x:c>
      <x:c r="B2595" s="11" t="n">
        <x:v>1304</x:v>
      </x:c>
      <x:c r="C2595" s="18" t="n">
        <x:v>45696</x:v>
      </x:c>
      <x:c r="D2595" s="11" t="str">
        <x:v>2025-02</x:v>
      </x:c>
      <x:c r="E2595" s="11" t="str">
        <x:v>Central</x:v>
      </x:c>
      <x:c r="F2595" s="11" t="str">
        <x:v>Office Supplies</x:v>
      </x:c>
      <x:c r="G2595" s="11" t="str">
        <x:v>Notebook pack</x:v>
      </x:c>
      <x:c r="H2595" s="11" t="n">
        <x:v>3</x:v>
      </x:c>
      <x:c r="I2595" s="19" t="n">
        <x:v>0.1</x:v>
      </x:c>
      <x:c r="J2595" s="11" t="n">
        <x:v>0</x:v>
      </x:c>
      <x:c r="K2595" s="20" t="n">
        <x:v>54</x:v>
      </x:c>
      <x:c r="L2595" s="20" t="n">
        <x:v>5.4</x:v>
      </x:c>
      <x:c r="M2595" s="20" t="n">
        <x:v>21</x:v>
      </x:c>
      <x:c r="N2595" s="20" t="n">
        <x:f>IF(J2595=1,0,K2595-L2595)</x:f>
        <x:v>48.6</x:v>
      </x:c>
      <x:c r="O2595" s="20" t="n">
        <x:f>N2595-M2595</x:f>
        <x:v>27.6</x:v>
      </x:c>
    </x:row>
    <x:row r="2596" ht="22" customHeight="1">
      <x:c r="A2596" s="11" t="n">
        <x:v>2592</x:v>
      </x:c>
      <x:c r="B2596" s="11" t="n">
        <x:v>1305</x:v>
      </x:c>
      <x:c r="C2596" s="18" t="n">
        <x:v>45400</x:v>
      </x:c>
      <x:c r="D2596" s="11" t="str">
        <x:v>2024-04</x:v>
      </x:c>
      <x:c r="E2596" s="11" t="str">
        <x:v>West</x:v>
      </x:c>
      <x:c r="F2596" s="11" t="str">
        <x:v>Office Supplies</x:v>
      </x:c>
      <x:c r="G2596" s="11" t="str">
        <x:v>Storage box</x:v>
      </x:c>
      <x:c r="H2596" s="11" t="n">
        <x:v>2</x:v>
      </x:c>
      <x:c r="I2596" s="19" t="n">
        <x:v>0</x:v>
      </x:c>
      <x:c r="J2596" s="11" t="n">
        <x:v>0</x:v>
      </x:c>
      <x:c r="K2596" s="20" t="n">
        <x:v>52</x:v>
      </x:c>
      <x:c r="L2596" s="20" t="n">
        <x:v>0</x:v>
      </x:c>
      <x:c r="M2596" s="20" t="n">
        <x:v>24</x:v>
      </x:c>
      <x:c r="N2596" s="20" t="n">
        <x:f>IF(J2596=1,0,K2596-L2596)</x:f>
        <x:v>52</x:v>
      </x:c>
      <x:c r="O2596" s="20" t="n">
        <x:f>N2596-M2596</x:f>
        <x:v>28</x:v>
      </x:c>
    </x:row>
    <x:row r="2597" ht="22" customHeight="1">
      <x:c r="A2597" s="11" t="n">
        <x:v>2593</x:v>
      </x:c>
      <x:c r="B2597" s="11" t="n">
        <x:v>1306</x:v>
      </x:c>
      <x:c r="C2597" s="18" t="n">
        <x:v>45808</x:v>
      </x:c>
      <x:c r="D2597" s="11" t="str">
        <x:v>2025-05</x:v>
      </x:c>
      <x:c r="E2597" s="11" t="str">
        <x:v>West</x:v>
      </x:c>
      <x:c r="F2597" s="11" t="str">
        <x:v>Furniture</x:v>
      </x:c>
      <x:c r="G2597" s="11" t="str">
        <x:v>Desk</x:v>
      </x:c>
      <x:c r="H2597" s="11" t="n">
        <x:v>3</x:v>
      </x:c>
      <x:c r="I2597" s="19" t="n">
        <x:v>0.05</x:v>
      </x:c>
      <x:c r="J2597" s="11" t="n">
        <x:v>0</x:v>
      </x:c>
      <x:c r="K2597" s="20" t="n">
        <x:v>840</x:v>
      </x:c>
      <x:c r="L2597" s="20" t="n">
        <x:v>42</x:v>
      </x:c>
      <x:c r="M2597" s="20" t="n">
        <x:v>570</x:v>
      </x:c>
      <x:c r="N2597" s="20" t="n">
        <x:f>IF(J2597=1,0,K2597-L2597)</x:f>
        <x:v>798</x:v>
      </x:c>
      <x:c r="O2597" s="20" t="n">
        <x:f>N2597-M2597</x:f>
        <x:v>228</x:v>
      </x:c>
    </x:row>
    <x:row r="2598" ht="22" customHeight="1">
      <x:c r="A2598" s="11" t="n">
        <x:v>2594</x:v>
      </x:c>
      <x:c r="B2598" s="11" t="n">
        <x:v>1307</x:v>
      </x:c>
      <x:c r="C2598" s="18" t="n">
        <x:v>45602</x:v>
      </x:c>
      <x:c r="D2598" s="11" t="str">
        <x:v>2024-11</x:v>
      </x:c>
      <x:c r="E2598" s="11" t="str">
        <x:v>Central</x:v>
      </x:c>
      <x:c r="F2598" s="11" t="str">
        <x:v>Furniture</x:v>
      </x:c>
      <x:c r="G2598" s="11" t="str">
        <x:v>Desk</x:v>
      </x:c>
      <x:c r="H2598" s="11" t="n">
        <x:v>1</x:v>
      </x:c>
      <x:c r="I2598" s="19" t="n">
        <x:v>0</x:v>
      </x:c>
      <x:c r="J2598" s="11" t="n">
        <x:v>0</x:v>
      </x:c>
      <x:c r="K2598" s="20" t="n">
        <x:v>280</x:v>
      </x:c>
      <x:c r="L2598" s="20" t="n">
        <x:v>0</x:v>
      </x:c>
      <x:c r="M2598" s="20" t="n">
        <x:v>190</x:v>
      </x:c>
      <x:c r="N2598" s="20" t="n">
        <x:f>IF(J2598=1,0,K2598-L2598)</x:f>
        <x:v>280</x:v>
      </x:c>
      <x:c r="O2598" s="20" t="n">
        <x:f>N2598-M2598</x:f>
        <x:v>90</x:v>
      </x:c>
    </x:row>
    <x:row r="2599" ht="22" customHeight="1">
      <x:c r="A2599" s="11" t="n">
        <x:v>2595</x:v>
      </x:c>
      <x:c r="B2599" s="11" t="n">
        <x:v>1308</x:v>
      </x:c>
      <x:c r="C2599" s="18" t="n">
        <x:v>45504</x:v>
      </x:c>
      <x:c r="D2599" s="11" t="str">
        <x:v>2024-07</x:v>
      </x:c>
      <x:c r="E2599" s="11" t="str">
        <x:v>East</x:v>
      </x:c>
      <x:c r="F2599" s="11" t="str">
        <x:v>Technology</x:v>
      </x:c>
      <x:c r="G2599" s="11" t="str">
        <x:v>Monitor</x:v>
      </x:c>
      <x:c r="H2599" s="11" t="n">
        <x:v>4</x:v>
      </x:c>
      <x:c r="I2599" s="19" t="n">
        <x:v>0</x:v>
      </x:c>
      <x:c r="J2599" s="11" t="n">
        <x:v>0</x:v>
      </x:c>
      <x:c r="K2599" s="20" t="n">
        <x:v>960</x:v>
      </x:c>
      <x:c r="L2599" s="20" t="n">
        <x:v>0</x:v>
      </x:c>
      <x:c r="M2599" s="20" t="n">
        <x:v>640</x:v>
      </x:c>
      <x:c r="N2599" s="20" t="n">
        <x:f>IF(J2599=1,0,K2599-L2599)</x:f>
        <x:v>960</x:v>
      </x:c>
      <x:c r="O2599" s="20" t="n">
        <x:f>N2599-M2599</x:f>
        <x:v>320</x:v>
      </x:c>
    </x:row>
    <x:row r="2600" ht="22" customHeight="1">
      <x:c r="A2600" s="11" t="n">
        <x:v>2596</x:v>
      </x:c>
      <x:c r="B2600" s="11" t="n">
        <x:v>1309</x:v>
      </x:c>
      <x:c r="C2600" s="18" t="n">
        <x:v>45658</x:v>
      </x:c>
      <x:c r="D2600" s="11" t="str">
        <x:v>2025-01</x:v>
      </x:c>
      <x:c r="E2600" s="11" t="str">
        <x:v>West</x:v>
      </x:c>
      <x:c r="F2600" s="11" t="str">
        <x:v>Office Supplies</x:v>
      </x:c>
      <x:c r="G2600" s="11" t="str">
        <x:v>Storage box</x:v>
      </x:c>
      <x:c r="H2600" s="11" t="n">
        <x:v>5</x:v>
      </x:c>
      <x:c r="I2600" s="19" t="n">
        <x:v>0.05</x:v>
      </x:c>
      <x:c r="J2600" s="11" t="n">
        <x:v>0</x:v>
      </x:c>
      <x:c r="K2600" s="20" t="n">
        <x:v>130</x:v>
      </x:c>
      <x:c r="L2600" s="20" t="n">
        <x:v>6.5</x:v>
      </x:c>
      <x:c r="M2600" s="20" t="n">
        <x:v>60</x:v>
      </x:c>
      <x:c r="N2600" s="20" t="n">
        <x:f>IF(J2600=1,0,K2600-L2600)</x:f>
        <x:v>123.5</x:v>
      </x:c>
      <x:c r="O2600" s="20" t="n">
        <x:f>N2600-M2600</x:f>
        <x:v>63.5</x:v>
      </x:c>
    </x:row>
    <x:row r="2601" ht="22" customHeight="1">
      <x:c r="A2601" s="11" t="n">
        <x:v>2597</x:v>
      </x:c>
      <x:c r="B2601" s="11" t="n">
        <x:v>1310</x:v>
      </x:c>
      <x:c r="C2601" s="18" t="n">
        <x:v>45675</x:v>
      </x:c>
      <x:c r="D2601" s="11" t="str">
        <x:v>2025-01</x:v>
      </x:c>
      <x:c r="E2601" s="11" t="str">
        <x:v>Central</x:v>
      </x:c>
      <x:c r="F2601" s="11" t="str">
        <x:v>Office Supplies</x:v>
      </x:c>
      <x:c r="G2601" s="11" t="str">
        <x:v>Notebook pack</x:v>
      </x:c>
      <x:c r="H2601" s="11" t="n">
        <x:v>4</x:v>
      </x:c>
      <x:c r="I2601" s="19" t="n">
        <x:v>0.15</x:v>
      </x:c>
      <x:c r="J2601" s="11" t="n">
        <x:v>0</x:v>
      </x:c>
      <x:c r="K2601" s="20" t="n">
        <x:v>72</x:v>
      </x:c>
      <x:c r="L2601" s="20" t="n">
        <x:v>10.8</x:v>
      </x:c>
      <x:c r="M2601" s="20" t="n">
        <x:v>28</x:v>
      </x:c>
      <x:c r="N2601" s="20" t="n">
        <x:f>IF(J2601=1,0,K2601-L2601)</x:f>
        <x:v>61.2</x:v>
      </x:c>
      <x:c r="O2601" s="20" t="n">
        <x:f>N2601-M2601</x:f>
        <x:v>33.2</x:v>
      </x:c>
    </x:row>
    <x:row r="2602" ht="22" customHeight="1">
      <x:c r="A2602" s="11" t="n">
        <x:v>2598</x:v>
      </x:c>
      <x:c r="B2602" s="11" t="n">
        <x:v>1310</x:v>
      </x:c>
      <x:c r="C2602" s="18" t="n">
        <x:v>45675</x:v>
      </x:c>
      <x:c r="D2602" s="11" t="str">
        <x:v>2025-01</x:v>
      </x:c>
      <x:c r="E2602" s="11" t="str">
        <x:v>Central</x:v>
      </x:c>
      <x:c r="F2602" s="11" t="str">
        <x:v>Office Supplies</x:v>
      </x:c>
      <x:c r="G2602" s="11" t="str">
        <x:v>Storage box</x:v>
      </x:c>
      <x:c r="H2602" s="11" t="n">
        <x:v>4</x:v>
      </x:c>
      <x:c r="I2602" s="19" t="n">
        <x:v>0</x:v>
      </x:c>
      <x:c r="J2602" s="11" t="n">
        <x:v>0</x:v>
      </x:c>
      <x:c r="K2602" s="20" t="n">
        <x:v>104</x:v>
      </x:c>
      <x:c r="L2602" s="20" t="n">
        <x:v>0</x:v>
      </x:c>
      <x:c r="M2602" s="20" t="n">
        <x:v>48</x:v>
      </x:c>
      <x:c r="N2602" s="20" t="n">
        <x:f>IF(J2602=1,0,K2602-L2602)</x:f>
        <x:v>104</x:v>
      </x:c>
      <x:c r="O2602" s="20" t="n">
        <x:f>N2602-M2602</x:f>
        <x:v>56</x:v>
      </x:c>
    </x:row>
    <x:row r="2603" ht="22" customHeight="1">
      <x:c r="A2603" s="11" t="n">
        <x:v>2599</x:v>
      </x:c>
      <x:c r="B2603" s="11" t="n">
        <x:v>1311</x:v>
      </x:c>
      <x:c r="C2603" s="18" t="n">
        <x:v>45651</x:v>
      </x:c>
      <x:c r="D2603" s="11" t="str">
        <x:v>2024-12</x:v>
      </x:c>
      <x:c r="E2603" s="11" t="str">
        <x:v>East</x:v>
      </x:c>
      <x:c r="F2603" s="11" t="str">
        <x:v>Technology</x:v>
      </x:c>
      <x:c r="G2603" s="11" t="str">
        <x:v>Keyboard</x:v>
      </x:c>
      <x:c r="H2603" s="11" t="n">
        <x:v>4</x:v>
      </x:c>
      <x:c r="I2603" s="19" t="n">
        <x:v>0.15</x:v>
      </x:c>
      <x:c r="J2603" s="11" t="n">
        <x:v>0</x:v>
      </x:c>
      <x:c r="K2603" s="20" t="n">
        <x:v>260</x:v>
      </x:c>
      <x:c r="L2603" s="20" t="n">
        <x:v>39</x:v>
      </x:c>
      <x:c r="M2603" s="20" t="n">
        <x:v>128</x:v>
      </x:c>
      <x:c r="N2603" s="20" t="n">
        <x:f>IF(J2603=1,0,K2603-L2603)</x:f>
        <x:v>221</x:v>
      </x:c>
      <x:c r="O2603" s="20" t="n">
        <x:f>N2603-M2603</x:f>
        <x:v>93</x:v>
      </x:c>
    </x:row>
    <x:row r="2604" ht="22" customHeight="1">
      <x:c r="A2604" s="11" t="n">
        <x:v>2600</x:v>
      </x:c>
      <x:c r="B2604" s="11" t="n">
        <x:v>1311</x:v>
      </x:c>
      <x:c r="C2604" s="18" t="n">
        <x:v>45651</x:v>
      </x:c>
      <x:c r="D2604" s="11" t="str">
        <x:v>2024-12</x:v>
      </x:c>
      <x:c r="E2604" s="11" t="str">
        <x:v>East</x:v>
      </x:c>
      <x:c r="F2604" s="11" t="str">
        <x:v>Office Supplies</x:v>
      </x:c>
      <x:c r="G2604" s="11" t="str">
        <x:v>Storage box</x:v>
      </x:c>
      <x:c r="H2604" s="11" t="n">
        <x:v>3</x:v>
      </x:c>
      <x:c r="I2604" s="19" t="n">
        <x:v>0.1</x:v>
      </x:c>
      <x:c r="J2604" s="11" t="n">
        <x:v>0</x:v>
      </x:c>
      <x:c r="K2604" s="20" t="n">
        <x:v>78</x:v>
      </x:c>
      <x:c r="L2604" s="20" t="n">
        <x:v>7.8</x:v>
      </x:c>
      <x:c r="M2604" s="20" t="n">
        <x:v>36</x:v>
      </x:c>
      <x:c r="N2604" s="20" t="n">
        <x:f>IF(J2604=1,0,K2604-L2604)</x:f>
        <x:v>70.2</x:v>
      </x:c>
      <x:c r="O2604" s="20" t="n">
        <x:f>N2604-M2604</x:f>
        <x:v>34.2</x:v>
      </x:c>
    </x:row>
    <x:row r="2605" ht="22" customHeight="1">
      <x:c r="A2605" s="11" t="n">
        <x:v>2601</x:v>
      </x:c>
      <x:c r="B2605" s="11" t="n">
        <x:v>1311</x:v>
      </x:c>
      <x:c r="C2605" s="18" t="n">
        <x:v>45651</x:v>
      </x:c>
      <x:c r="D2605" s="11" t="str">
        <x:v>2024-12</x:v>
      </x:c>
      <x:c r="E2605" s="11" t="str">
        <x:v>East</x:v>
      </x:c>
      <x:c r="F2605" s="11" t="str">
        <x:v>Furniture</x:v>
      </x:c>
      <x:c r="G2605" s="11" t="str">
        <x:v>Desk</x:v>
      </x:c>
      <x:c r="H2605" s="11" t="n">
        <x:v>4</x:v>
      </x:c>
      <x:c r="I2605" s="19" t="n">
        <x:v>0</x:v>
      </x:c>
      <x:c r="J2605" s="11" t="n">
        <x:v>0</x:v>
      </x:c>
      <x:c r="K2605" s="20" t="n">
        <x:v>1120</x:v>
      </x:c>
      <x:c r="L2605" s="20" t="n">
        <x:v>0</x:v>
      </x:c>
      <x:c r="M2605" s="20" t="n">
        <x:v>760</x:v>
      </x:c>
      <x:c r="N2605" s="20" t="n">
        <x:f>IF(J2605=1,0,K2605-L2605)</x:f>
        <x:v>1120</x:v>
      </x:c>
      <x:c r="O2605" s="20" t="n">
        <x:f>N2605-M2605</x:f>
        <x:v>360</x:v>
      </x:c>
    </x:row>
    <x:row r="2606" ht="22" customHeight="1">
      <x:c r="A2606" s="11" t="n">
        <x:v>2602</x:v>
      </x:c>
      <x:c r="B2606" s="11" t="n">
        <x:v>1312</x:v>
      </x:c>
      <x:c r="C2606" s="18" t="n">
        <x:v>45380</x:v>
      </x:c>
      <x:c r="D2606" s="11" t="str">
        <x:v>2024-03</x:v>
      </x:c>
      <x:c r="E2606" s="11" t="str">
        <x:v>South</x:v>
      </x:c>
      <x:c r="F2606" s="11" t="str">
        <x:v>Furniture</x:v>
      </x:c>
      <x:c r="G2606" s="11" t="str">
        <x:v>Desk</x:v>
      </x:c>
      <x:c r="H2606" s="11" t="n">
        <x:v>1</x:v>
      </x:c>
      <x:c r="I2606" s="19" t="n">
        <x:v>0.35</x:v>
      </x:c>
      <x:c r="J2606" s="11" t="n">
        <x:v>0</x:v>
      </x:c>
      <x:c r="K2606" s="20" t="n">
        <x:v>280</x:v>
      </x:c>
      <x:c r="L2606" s="20" t="n">
        <x:v>98</x:v>
      </x:c>
      <x:c r="M2606" s="20" t="n">
        <x:v>190</x:v>
      </x:c>
      <x:c r="N2606" s="20" t="n">
        <x:f>IF(J2606=1,0,K2606-L2606)</x:f>
        <x:v>182</x:v>
      </x:c>
      <x:c r="O2606" s="20" t="n">
        <x:f>N2606-M2606</x:f>
        <x:v>-8</x:v>
      </x:c>
    </x:row>
    <x:row r="2607" ht="22" customHeight="1">
      <x:c r="A2607" s="11" t="n">
        <x:v>2603</x:v>
      </x:c>
      <x:c r="B2607" s="11" t="n">
        <x:v>1312</x:v>
      </x:c>
      <x:c r="C2607" s="18" t="n">
        <x:v>45380</x:v>
      </x:c>
      <x:c r="D2607" s="11" t="str">
        <x:v>2024-03</x:v>
      </x:c>
      <x:c r="E2607" s="11" t="str">
        <x:v>South</x:v>
      </x:c>
      <x:c r="F2607" s="11" t="str">
        <x:v>Office Supplies</x:v>
      </x:c>
      <x:c r="G2607" s="11" t="str">
        <x:v>Storage box</x:v>
      </x:c>
      <x:c r="H2607" s="11" t="n">
        <x:v>3</x:v>
      </x:c>
      <x:c r="I2607" s="19" t="n">
        <x:v>0</x:v>
      </x:c>
      <x:c r="J2607" s="11" t="n">
        <x:v>0</x:v>
      </x:c>
      <x:c r="K2607" s="20" t="n">
        <x:v>78</x:v>
      </x:c>
      <x:c r="L2607" s="20" t="n">
        <x:v>0</x:v>
      </x:c>
      <x:c r="M2607" s="20" t="n">
        <x:v>36</x:v>
      </x:c>
      <x:c r="N2607" s="20" t="n">
        <x:f>IF(J2607=1,0,K2607-L2607)</x:f>
        <x:v>78</x:v>
      </x:c>
      <x:c r="O2607" s="20" t="n">
        <x:f>N2607-M2607</x:f>
        <x:v>42</x:v>
      </x:c>
    </x:row>
    <x:row r="2608" ht="22" customHeight="1">
      <x:c r="A2608" s="11" t="n">
        <x:v>2604</x:v>
      </x:c>
      <x:c r="B2608" s="11" t="n">
        <x:v>1312</x:v>
      </x:c>
      <x:c r="C2608" s="18" t="n">
        <x:v>45380</x:v>
      </x:c>
      <x:c r="D2608" s="11" t="str">
        <x:v>2024-03</x:v>
      </x:c>
      <x:c r="E2608" s="11" t="str">
        <x:v>South</x:v>
      </x:c>
      <x:c r="F2608" s="11" t="str">
        <x:v>Furniture</x:v>
      </x:c>
      <x:c r="G2608" s="11" t="str">
        <x:v>Chair</x:v>
      </x:c>
      <x:c r="H2608" s="11" t="n">
        <x:v>4</x:v>
      </x:c>
      <x:c r="I2608" s="19" t="n">
        <x:v>0</x:v>
      </x:c>
      <x:c r="J2608" s="11" t="n">
        <x:v>0</x:v>
      </x:c>
      <x:c r="K2608" s="20" t="n">
        <x:v>680</x:v>
      </x:c>
      <x:c r="L2608" s="20" t="n">
        <x:v>0</x:v>
      </x:c>
      <x:c r="M2608" s="20" t="n">
        <x:v>440</x:v>
      </x:c>
      <x:c r="N2608" s="20" t="n">
        <x:f>IF(J2608=1,0,K2608-L2608)</x:f>
        <x:v>680</x:v>
      </x:c>
      <x:c r="O2608" s="20" t="n">
        <x:f>N2608-M2608</x:f>
        <x:v>240</x:v>
      </x:c>
    </x:row>
    <x:row r="2609" ht="22" customHeight="1">
      <x:c r="A2609" s="11" t="n">
        <x:v>2605</x:v>
      </x:c>
      <x:c r="B2609" s="11" t="n">
        <x:v>1313</x:v>
      </x:c>
      <x:c r="C2609" s="18" t="n">
        <x:v>45857</x:v>
      </x:c>
      <x:c r="D2609" s="11" t="str">
        <x:v>2025-07</x:v>
      </x:c>
      <x:c r="E2609" s="11" t="str">
        <x:v>South</x:v>
      </x:c>
      <x:c r="F2609" s="11" t="str">
        <x:v>Office Supplies</x:v>
      </x:c>
      <x:c r="G2609" s="11" t="str">
        <x:v>Notebook pack</x:v>
      </x:c>
      <x:c r="H2609" s="11" t="n">
        <x:v>4</x:v>
      </x:c>
      <x:c r="I2609" s="19" t="n">
        <x:v>0</x:v>
      </x:c>
      <x:c r="J2609" s="11" t="n">
        <x:v>1</x:v>
      </x:c>
      <x:c r="K2609" s="20" t="n">
        <x:v>72</x:v>
      </x:c>
      <x:c r="L2609" s="20" t="n">
        <x:v>0</x:v>
      </x:c>
      <x:c r="M2609" s="20" t="n">
        <x:v>0</x:v>
      </x:c>
      <x:c r="N2609" s="20" t="n">
        <x:f>IF(J2609=1,0,K2609-L2609)</x:f>
        <x:v>0</x:v>
      </x:c>
      <x:c r="O2609" s="20" t="n">
        <x:f>N2609-M2609</x:f>
        <x:v>0</x:v>
      </x:c>
    </x:row>
    <x:row r="2610" ht="22" customHeight="1">
      <x:c r="A2610" s="11" t="n">
        <x:v>2606</x:v>
      </x:c>
      <x:c r="B2610" s="11" t="n">
        <x:v>1314</x:v>
      </x:c>
      <x:c r="C2610" s="18" t="n">
        <x:v>45423</x:v>
      </x:c>
      <x:c r="D2610" s="11" t="str">
        <x:v>2024-05</x:v>
      </x:c>
      <x:c r="E2610" s="11" t="str">
        <x:v>East</x:v>
      </x:c>
      <x:c r="F2610" s="11" t="str">
        <x:v>Technology</x:v>
      </x:c>
      <x:c r="G2610" s="11" t="str">
        <x:v>Keyboard</x:v>
      </x:c>
      <x:c r="H2610" s="11" t="n">
        <x:v>4</x:v>
      </x:c>
      <x:c r="I2610" s="19" t="n">
        <x:v>0.05</x:v>
      </x:c>
      <x:c r="J2610" s="11" t="n">
        <x:v>0</x:v>
      </x:c>
      <x:c r="K2610" s="20" t="n">
        <x:v>260</x:v>
      </x:c>
      <x:c r="L2610" s="20" t="n">
        <x:v>13</x:v>
      </x:c>
      <x:c r="M2610" s="20" t="n">
        <x:v>128</x:v>
      </x:c>
      <x:c r="N2610" s="20" t="n">
        <x:f>IF(J2610=1,0,K2610-L2610)</x:f>
        <x:v>247</x:v>
      </x:c>
      <x:c r="O2610" s="20" t="n">
        <x:f>N2610-M2610</x:f>
        <x:v>119</x:v>
      </x:c>
    </x:row>
    <x:row r="2611" ht="22" customHeight="1">
      <x:c r="A2611" s="11" t="n">
        <x:v>2607</x:v>
      </x:c>
      <x:c r="B2611" s="11" t="n">
        <x:v>1314</x:v>
      </x:c>
      <x:c r="C2611" s="18" t="n">
        <x:v>45423</x:v>
      </x:c>
      <x:c r="D2611" s="11" t="str">
        <x:v>2024-05</x:v>
      </x:c>
      <x:c r="E2611" s="11" t="str">
        <x:v>East</x:v>
      </x:c>
      <x:c r="F2611" s="11" t="str">
        <x:v>Furniture</x:v>
      </x:c>
      <x:c r="G2611" s="11" t="str">
        <x:v>Desk</x:v>
      </x:c>
      <x:c r="H2611" s="11" t="n">
        <x:v>4</x:v>
      </x:c>
      <x:c r="I2611" s="19" t="n">
        <x:v>0</x:v>
      </x:c>
      <x:c r="J2611" s="11" t="n">
        <x:v>0</x:v>
      </x:c>
      <x:c r="K2611" s="20" t="n">
        <x:v>1120</x:v>
      </x:c>
      <x:c r="L2611" s="20" t="n">
        <x:v>0</x:v>
      </x:c>
      <x:c r="M2611" s="20" t="n">
        <x:v>760</x:v>
      </x:c>
      <x:c r="N2611" s="20" t="n">
        <x:f>IF(J2611=1,0,K2611-L2611)</x:f>
        <x:v>1120</x:v>
      </x:c>
      <x:c r="O2611" s="20" t="n">
        <x:f>N2611-M2611</x:f>
        <x:v>360</x:v>
      </x:c>
    </x:row>
    <x:row r="2612" ht="22" customHeight="1">
      <x:c r="A2612" s="11" t="n">
        <x:v>2608</x:v>
      </x:c>
      <x:c r="B2612" s="11" t="n">
        <x:v>1314</x:v>
      </x:c>
      <x:c r="C2612" s="18" t="n">
        <x:v>45423</x:v>
      </x:c>
      <x:c r="D2612" s="11" t="str">
        <x:v>2024-05</x:v>
      </x:c>
      <x:c r="E2612" s="11" t="str">
        <x:v>East</x:v>
      </x:c>
      <x:c r="F2612" s="11" t="str">
        <x:v>Furniture</x:v>
      </x:c>
      <x:c r="G2612" s="11" t="str">
        <x:v>Chair</x:v>
      </x:c>
      <x:c r="H2612" s="11" t="n">
        <x:v>1</x:v>
      </x:c>
      <x:c r="I2612" s="19" t="n">
        <x:v>0.35</x:v>
      </x:c>
      <x:c r="J2612" s="11" t="n">
        <x:v>0</x:v>
      </x:c>
      <x:c r="K2612" s="20" t="n">
        <x:v>170</x:v>
      </x:c>
      <x:c r="L2612" s="20" t="n">
        <x:v>59.5</x:v>
      </x:c>
      <x:c r="M2612" s="20" t="n">
        <x:v>110</x:v>
      </x:c>
      <x:c r="N2612" s="20" t="n">
        <x:f>IF(J2612=1,0,K2612-L2612)</x:f>
        <x:v>110.5</x:v>
      </x:c>
      <x:c r="O2612" s="20" t="n">
        <x:f>N2612-M2612</x:f>
        <x:v>0.5</x:v>
      </x:c>
    </x:row>
    <x:row r="2613" ht="22" customHeight="1">
      <x:c r="A2613" s="11" t="n">
        <x:v>2609</x:v>
      </x:c>
      <x:c r="B2613" s="11" t="n">
        <x:v>1315</x:v>
      </x:c>
      <x:c r="C2613" s="18" t="n">
        <x:v>45754</x:v>
      </x:c>
      <x:c r="D2613" s="11" t="str">
        <x:v>2025-04</x:v>
      </x:c>
      <x:c r="E2613" s="11" t="str">
        <x:v>West</x:v>
      </x:c>
      <x:c r="F2613" s="11" t="str">
        <x:v>Technology</x:v>
      </x:c>
      <x:c r="G2613" s="11" t="str">
        <x:v>Monitor</x:v>
      </x:c>
      <x:c r="H2613" s="11" t="n">
        <x:v>5</x:v>
      </x:c>
      <x:c r="I2613" s="19" t="n">
        <x:v>0.05</x:v>
      </x:c>
      <x:c r="J2613" s="11" t="n">
        <x:v>0</x:v>
      </x:c>
      <x:c r="K2613" s="20" t="n">
        <x:v>1200</x:v>
      </x:c>
      <x:c r="L2613" s="20" t="n">
        <x:v>60</x:v>
      </x:c>
      <x:c r="M2613" s="20" t="n">
        <x:v>800</x:v>
      </x:c>
      <x:c r="N2613" s="20" t="n">
        <x:f>IF(J2613=1,0,K2613-L2613)</x:f>
        <x:v>1140</x:v>
      </x:c>
      <x:c r="O2613" s="20" t="n">
        <x:f>N2613-M2613</x:f>
        <x:v>340</x:v>
      </x:c>
    </x:row>
    <x:row r="2614" ht="22" customHeight="1">
      <x:c r="A2614" s="11" t="n">
        <x:v>2610</x:v>
      </x:c>
      <x:c r="B2614" s="11" t="n">
        <x:v>1316</x:v>
      </x:c>
      <x:c r="C2614" s="18" t="n">
        <x:v>45995</x:v>
      </x:c>
      <x:c r="D2614" s="11" t="str">
        <x:v>2025-12</x:v>
      </x:c>
      <x:c r="E2614" s="11" t="str">
        <x:v>South</x:v>
      </x:c>
      <x:c r="F2614" s="11" t="str">
        <x:v>Technology</x:v>
      </x:c>
      <x:c r="G2614" s="11" t="str">
        <x:v>Keyboard</x:v>
      </x:c>
      <x:c r="H2614" s="11" t="n">
        <x:v>4</x:v>
      </x:c>
      <x:c r="I2614" s="19" t="n">
        <x:v>0</x:v>
      </x:c>
      <x:c r="J2614" s="11" t="n">
        <x:v>1</x:v>
      </x:c>
      <x:c r="K2614" s="20" t="n">
        <x:v>260</x:v>
      </x:c>
      <x:c r="L2614" s="20" t="n">
        <x:v>0</x:v>
      </x:c>
      <x:c r="M2614" s="20" t="n">
        <x:v>0</x:v>
      </x:c>
      <x:c r="N2614" s="20" t="n">
        <x:f>IF(J2614=1,0,K2614-L2614)</x:f>
        <x:v>0</x:v>
      </x:c>
      <x:c r="O2614" s="20" t="n">
        <x:f>N2614-M2614</x:f>
        <x:v>0</x:v>
      </x:c>
    </x:row>
    <x:row r="2615" ht="22" customHeight="1">
      <x:c r="A2615" s="11" t="n">
        <x:v>2611</x:v>
      </x:c>
      <x:c r="B2615" s="11" t="n">
        <x:v>1317</x:v>
      </x:c>
      <x:c r="C2615" s="18" t="n">
        <x:v>45961</x:v>
      </x:c>
      <x:c r="D2615" s="11" t="str">
        <x:v>2025-10</x:v>
      </x:c>
      <x:c r="E2615" s="11" t="str">
        <x:v>West</x:v>
      </x:c>
      <x:c r="F2615" s="11" t="str">
        <x:v>Technology</x:v>
      </x:c>
      <x:c r="G2615" s="11" t="str">
        <x:v>Monitor</x:v>
      </x:c>
      <x:c r="H2615" s="11" t="n">
        <x:v>2</x:v>
      </x:c>
      <x:c r="I2615" s="19" t="n">
        <x:v>0</x:v>
      </x:c>
      <x:c r="J2615" s="11" t="n">
        <x:v>0</x:v>
      </x:c>
      <x:c r="K2615" s="20" t="n">
        <x:v>480</x:v>
      </x:c>
      <x:c r="L2615" s="20" t="n">
        <x:v>0</x:v>
      </x:c>
      <x:c r="M2615" s="20" t="n">
        <x:v>320</x:v>
      </x:c>
      <x:c r="N2615" s="20" t="n">
        <x:f>IF(J2615=1,0,K2615-L2615)</x:f>
        <x:v>480</x:v>
      </x:c>
      <x:c r="O2615" s="20" t="n">
        <x:f>N2615-M2615</x:f>
        <x:v>160</x:v>
      </x:c>
    </x:row>
    <x:row r="2616" ht="22" customHeight="1">
      <x:c r="A2616" s="11" t="n">
        <x:v>2612</x:v>
      </x:c>
      <x:c r="B2616" s="11" t="n">
        <x:v>1318</x:v>
      </x:c>
      <x:c r="C2616" s="18" t="n">
        <x:v>45991</x:v>
      </x:c>
      <x:c r="D2616" s="11" t="str">
        <x:v>2025-11</x:v>
      </x:c>
      <x:c r="E2616" s="11" t="str">
        <x:v>East</x:v>
      </x:c>
      <x:c r="F2616" s="11" t="str">
        <x:v>Office Supplies</x:v>
      </x:c>
      <x:c r="G2616" s="11" t="str">
        <x:v>Storage box</x:v>
      </x:c>
      <x:c r="H2616" s="11" t="n">
        <x:v>4</x:v>
      </x:c>
      <x:c r="I2616" s="19" t="n">
        <x:v>0</x:v>
      </x:c>
      <x:c r="J2616" s="11" t="n">
        <x:v>0</x:v>
      </x:c>
      <x:c r="K2616" s="20" t="n">
        <x:v>104</x:v>
      </x:c>
      <x:c r="L2616" s="20" t="n">
        <x:v>0</x:v>
      </x:c>
      <x:c r="M2616" s="20" t="n">
        <x:v>48</x:v>
      </x:c>
      <x:c r="N2616" s="20" t="n">
        <x:f>IF(J2616=1,0,K2616-L2616)</x:f>
        <x:v>104</x:v>
      </x:c>
      <x:c r="O2616" s="20" t="n">
        <x:f>N2616-M2616</x:f>
        <x:v>56</x:v>
      </x:c>
    </x:row>
    <x:row r="2617" ht="22" customHeight="1">
      <x:c r="A2617" s="11" t="n">
        <x:v>2613</x:v>
      </x:c>
      <x:c r="B2617" s="11" t="n">
        <x:v>1319</x:v>
      </x:c>
      <x:c r="C2617" s="18" t="n">
        <x:v>45434</x:v>
      </x:c>
      <x:c r="D2617" s="11" t="str">
        <x:v>2024-05</x:v>
      </x:c>
      <x:c r="E2617" s="11" t="str">
        <x:v>West</x:v>
      </x:c>
      <x:c r="F2617" s="11" t="str">
        <x:v>Technology</x:v>
      </x:c>
      <x:c r="G2617" s="11" t="str">
        <x:v>Keyboard</x:v>
      </x:c>
      <x:c r="H2617" s="11" t="n">
        <x:v>4</x:v>
      </x:c>
      <x:c r="I2617" s="19" t="n">
        <x:v>0</x:v>
      </x:c>
      <x:c r="J2617" s="11" t="n">
        <x:v>0</x:v>
      </x:c>
      <x:c r="K2617" s="20" t="n">
        <x:v>260</x:v>
      </x:c>
      <x:c r="L2617" s="20" t="n">
        <x:v>0</x:v>
      </x:c>
      <x:c r="M2617" s="20" t="n">
        <x:v>128</x:v>
      </x:c>
      <x:c r="N2617" s="20" t="n">
        <x:f>IF(J2617=1,0,K2617-L2617)</x:f>
        <x:v>260</x:v>
      </x:c>
      <x:c r="O2617" s="20" t="n">
        <x:f>N2617-M2617</x:f>
        <x:v>132</x:v>
      </x:c>
    </x:row>
    <x:row r="2618" ht="22" customHeight="1">
      <x:c r="A2618" s="11" t="n">
        <x:v>2614</x:v>
      </x:c>
      <x:c r="B2618" s="11" t="n">
        <x:v>1319</x:v>
      </x:c>
      <x:c r="C2618" s="18" t="n">
        <x:v>45434</x:v>
      </x:c>
      <x:c r="D2618" s="11" t="str">
        <x:v>2024-05</x:v>
      </x:c>
      <x:c r="E2618" s="11" t="str">
        <x:v>West</x:v>
      </x:c>
      <x:c r="F2618" s="11" t="str">
        <x:v>Technology</x:v>
      </x:c>
      <x:c r="G2618" s="11" t="str">
        <x:v>Monitor</x:v>
      </x:c>
      <x:c r="H2618" s="11" t="n">
        <x:v>3</x:v>
      </x:c>
      <x:c r="I2618" s="19" t="n">
        <x:v>0.15</x:v>
      </x:c>
      <x:c r="J2618" s="11" t="n">
        <x:v>0</x:v>
      </x:c>
      <x:c r="K2618" s="20" t="n">
        <x:v>720</x:v>
      </x:c>
      <x:c r="L2618" s="20" t="n">
        <x:v>108</x:v>
      </x:c>
      <x:c r="M2618" s="20" t="n">
        <x:v>480</x:v>
      </x:c>
      <x:c r="N2618" s="20" t="n">
        <x:f>IF(J2618=1,0,K2618-L2618)</x:f>
        <x:v>612</x:v>
      </x:c>
      <x:c r="O2618" s="20" t="n">
        <x:f>N2618-M2618</x:f>
        <x:v>132</x:v>
      </x:c>
    </x:row>
    <x:row r="2619" ht="22" customHeight="1">
      <x:c r="A2619" s="11" t="n">
        <x:v>2615</x:v>
      </x:c>
      <x:c r="B2619" s="11" t="n">
        <x:v>1320</x:v>
      </x:c>
      <x:c r="C2619" s="18" t="n">
        <x:v>45777</x:v>
      </x:c>
      <x:c r="D2619" s="11" t="str">
        <x:v>2025-04</x:v>
      </x:c>
      <x:c r="E2619" s="11" t="str">
        <x:v>South</x:v>
      </x:c>
      <x:c r="F2619" s="11" t="str">
        <x:v>Office Supplies</x:v>
      </x:c>
      <x:c r="G2619" s="11" t="str">
        <x:v>Notebook pack</x:v>
      </x:c>
      <x:c r="H2619" s="11" t="n">
        <x:v>1</x:v>
      </x:c>
      <x:c r="I2619" s="19" t="n">
        <x:v>0</x:v>
      </x:c>
      <x:c r="J2619" s="11" t="n">
        <x:v>0</x:v>
      </x:c>
      <x:c r="K2619" s="20" t="n">
        <x:v>18</x:v>
      </x:c>
      <x:c r="L2619" s="20" t="n">
        <x:v>0</x:v>
      </x:c>
      <x:c r="M2619" s="20" t="n">
        <x:v>7</x:v>
      </x:c>
      <x:c r="N2619" s="20" t="n">
        <x:f>IF(J2619=1,0,K2619-L2619)</x:f>
        <x:v>18</x:v>
      </x:c>
      <x:c r="O2619" s="20" t="n">
        <x:f>N2619-M2619</x:f>
        <x:v>11</x:v>
      </x:c>
    </x:row>
    <x:row r="2620" ht="22" customHeight="1">
      <x:c r="A2620" s="11" t="n">
        <x:v>2616</x:v>
      </x:c>
      <x:c r="B2620" s="11" t="n">
        <x:v>1320</x:v>
      </x:c>
      <x:c r="C2620" s="18" t="n">
        <x:v>45777</x:v>
      </x:c>
      <x:c r="D2620" s="11" t="str">
        <x:v>2025-04</x:v>
      </x:c>
      <x:c r="E2620" s="11" t="str">
        <x:v>South</x:v>
      </x:c>
      <x:c r="F2620" s="11" t="str">
        <x:v>Technology</x:v>
      </x:c>
      <x:c r="G2620" s="11" t="str">
        <x:v>Keyboard</x:v>
      </x:c>
      <x:c r="H2620" s="11" t="n">
        <x:v>3</x:v>
      </x:c>
      <x:c r="I2620" s="19" t="n">
        <x:v>0.1</x:v>
      </x:c>
      <x:c r="J2620" s="11" t="n">
        <x:v>0</x:v>
      </x:c>
      <x:c r="K2620" s="20" t="n">
        <x:v>195</x:v>
      </x:c>
      <x:c r="L2620" s="20" t="n">
        <x:v>19.5</x:v>
      </x:c>
      <x:c r="M2620" s="20" t="n">
        <x:v>96</x:v>
      </x:c>
      <x:c r="N2620" s="20" t="n">
        <x:f>IF(J2620=1,0,K2620-L2620)</x:f>
        <x:v>175.5</x:v>
      </x:c>
      <x:c r="O2620" s="20" t="n">
        <x:f>N2620-M2620</x:f>
        <x:v>79.5</x:v>
      </x:c>
    </x:row>
    <x:row r="2621" ht="22" customHeight="1">
      <x:c r="A2621" s="11" t="n">
        <x:v>2617</x:v>
      </x:c>
      <x:c r="B2621" s="11" t="n">
        <x:v>1321</x:v>
      </x:c>
      <x:c r="C2621" s="18" t="n">
        <x:v>45541</x:v>
      </x:c>
      <x:c r="D2621" s="11" t="str">
        <x:v>2024-09</x:v>
      </x:c>
      <x:c r="E2621" s="11" t="str">
        <x:v>East</x:v>
      </x:c>
      <x:c r="F2621" s="11" t="str">
        <x:v>Furniture</x:v>
      </x:c>
      <x:c r="G2621" s="11" t="str">
        <x:v>Chair</x:v>
      </x:c>
      <x:c r="H2621" s="11" t="n">
        <x:v>1</x:v>
      </x:c>
      <x:c r="I2621" s="19" t="n">
        <x:v>0</x:v>
      </x:c>
      <x:c r="J2621" s="11" t="n">
        <x:v>0</x:v>
      </x:c>
      <x:c r="K2621" s="20" t="n">
        <x:v>170</x:v>
      </x:c>
      <x:c r="L2621" s="20" t="n">
        <x:v>0</x:v>
      </x:c>
      <x:c r="M2621" s="20" t="n">
        <x:v>110</x:v>
      </x:c>
      <x:c r="N2621" s="20" t="n">
        <x:f>IF(J2621=1,0,K2621-L2621)</x:f>
        <x:v>170</x:v>
      </x:c>
      <x:c r="O2621" s="20" t="n">
        <x:f>N2621-M2621</x:f>
        <x:v>60</x:v>
      </x:c>
    </x:row>
    <x:row r="2622" ht="22" customHeight="1">
      <x:c r="A2622" s="11" t="n">
        <x:v>2618</x:v>
      </x:c>
      <x:c r="B2622" s="11" t="n">
        <x:v>1322</x:v>
      </x:c>
      <x:c r="C2622" s="18" t="n">
        <x:v>45748</x:v>
      </x:c>
      <x:c r="D2622" s="11" t="str">
        <x:v>2025-04</x:v>
      </x:c>
      <x:c r="E2622" s="11" t="str">
        <x:v>Central</x:v>
      </x:c>
      <x:c r="F2622" s="11" t="str">
        <x:v>Technology</x:v>
      </x:c>
      <x:c r="G2622" s="11" t="str">
        <x:v>Monitor</x:v>
      </x:c>
      <x:c r="H2622" s="11" t="n">
        <x:v>2</x:v>
      </x:c>
      <x:c r="I2622" s="19" t="n">
        <x:v>0.15</x:v>
      </x:c>
      <x:c r="J2622" s="11" t="n">
        <x:v>0</x:v>
      </x:c>
      <x:c r="K2622" s="20" t="n">
        <x:v>480</x:v>
      </x:c>
      <x:c r="L2622" s="20" t="n">
        <x:v>72</x:v>
      </x:c>
      <x:c r="M2622" s="20" t="n">
        <x:v>320</x:v>
      </x:c>
      <x:c r="N2622" s="20" t="n">
        <x:f>IF(J2622=1,0,K2622-L2622)</x:f>
        <x:v>408</x:v>
      </x:c>
      <x:c r="O2622" s="20" t="n">
        <x:f>N2622-M2622</x:f>
        <x:v>88</x:v>
      </x:c>
    </x:row>
    <x:row r="2623" ht="22" customHeight="1">
      <x:c r="A2623" s="11" t="n">
        <x:v>2619</x:v>
      </x:c>
      <x:c r="B2623" s="11" t="n">
        <x:v>1322</x:v>
      </x:c>
      <x:c r="C2623" s="18" t="n">
        <x:v>45748</x:v>
      </x:c>
      <x:c r="D2623" s="11" t="str">
        <x:v>2025-04</x:v>
      </x:c>
      <x:c r="E2623" s="11" t="str">
        <x:v>Central</x:v>
      </x:c>
      <x:c r="F2623" s="11" t="str">
        <x:v>Technology</x:v>
      </x:c>
      <x:c r="G2623" s="11" t="str">
        <x:v>Keyboard</x:v>
      </x:c>
      <x:c r="H2623" s="11" t="n">
        <x:v>5</x:v>
      </x:c>
      <x:c r="I2623" s="19" t="n">
        <x:v>0</x:v>
      </x:c>
      <x:c r="J2623" s="11" t="n">
        <x:v>0</x:v>
      </x:c>
      <x:c r="K2623" s="20" t="n">
        <x:v>325</x:v>
      </x:c>
      <x:c r="L2623" s="20" t="n">
        <x:v>0</x:v>
      </x:c>
      <x:c r="M2623" s="20" t="n">
        <x:v>160</x:v>
      </x:c>
      <x:c r="N2623" s="20" t="n">
        <x:f>IF(J2623=1,0,K2623-L2623)</x:f>
        <x:v>325</x:v>
      </x:c>
      <x:c r="O2623" s="20" t="n">
        <x:f>N2623-M2623</x:f>
        <x:v>165</x:v>
      </x:c>
    </x:row>
    <x:row r="2624" ht="22" customHeight="1">
      <x:c r="A2624" s="11" t="n">
        <x:v>2620</x:v>
      </x:c>
      <x:c r="B2624" s="11" t="n">
        <x:v>1322</x:v>
      </x:c>
      <x:c r="C2624" s="18" t="n">
        <x:v>45748</x:v>
      </x:c>
      <x:c r="D2624" s="11" t="str">
        <x:v>2025-04</x:v>
      </x:c>
      <x:c r="E2624" s="11" t="str">
        <x:v>Central</x:v>
      </x:c>
      <x:c r="F2624" s="11" t="str">
        <x:v>Furniture</x:v>
      </x:c>
      <x:c r="G2624" s="11" t="str">
        <x:v>Desk</x:v>
      </x:c>
      <x:c r="H2624" s="11" t="n">
        <x:v>2</x:v>
      </x:c>
      <x:c r="I2624" s="19" t="n">
        <x:v>0.1</x:v>
      </x:c>
      <x:c r="J2624" s="11" t="n">
        <x:v>0</x:v>
      </x:c>
      <x:c r="K2624" s="20" t="n">
        <x:v>560</x:v>
      </x:c>
      <x:c r="L2624" s="20" t="n">
        <x:v>56</x:v>
      </x:c>
      <x:c r="M2624" s="20" t="n">
        <x:v>380</x:v>
      </x:c>
      <x:c r="N2624" s="20" t="n">
        <x:f>IF(J2624=1,0,K2624-L2624)</x:f>
        <x:v>504</x:v>
      </x:c>
      <x:c r="O2624" s="20" t="n">
        <x:f>N2624-M2624</x:f>
        <x:v>124</x:v>
      </x:c>
    </x:row>
    <x:row r="2625" ht="22" customHeight="1">
      <x:c r="A2625" s="11" t="n">
        <x:v>2621</x:v>
      </x:c>
      <x:c r="B2625" s="11" t="n">
        <x:v>1323</x:v>
      </x:c>
      <x:c r="C2625" s="18" t="n">
        <x:v>46010</x:v>
      </x:c>
      <x:c r="D2625" s="11" t="str">
        <x:v>2025-12</x:v>
      </x:c>
      <x:c r="E2625" s="11" t="str">
        <x:v>East</x:v>
      </x:c>
      <x:c r="F2625" s="11" t="str">
        <x:v>Furniture</x:v>
      </x:c>
      <x:c r="G2625" s="11" t="str">
        <x:v>Desk</x:v>
      </x:c>
      <x:c r="H2625" s="11" t="n">
        <x:v>1</x:v>
      </x:c>
      <x:c r="I2625" s="19" t="n">
        <x:v>0</x:v>
      </x:c>
      <x:c r="J2625" s="11" t="n">
        <x:v>0</x:v>
      </x:c>
      <x:c r="K2625" s="20" t="n">
        <x:v>280</x:v>
      </x:c>
      <x:c r="L2625" s="20" t="n">
        <x:v>0</x:v>
      </x:c>
      <x:c r="M2625" s="20" t="n">
        <x:v>190</x:v>
      </x:c>
      <x:c r="N2625" s="20" t="n">
        <x:f>IF(J2625=1,0,K2625-L2625)</x:f>
        <x:v>280</x:v>
      </x:c>
      <x:c r="O2625" s="20" t="n">
        <x:f>N2625-M2625</x:f>
        <x:v>90</x:v>
      </x:c>
    </x:row>
    <x:row r="2626" ht="22" customHeight="1">
      <x:c r="A2626" s="11" t="n">
        <x:v>2622</x:v>
      </x:c>
      <x:c r="B2626" s="11" t="n">
        <x:v>1323</x:v>
      </x:c>
      <x:c r="C2626" s="18" t="n">
        <x:v>46010</x:v>
      </x:c>
      <x:c r="D2626" s="11" t="str">
        <x:v>2025-12</x:v>
      </x:c>
      <x:c r="E2626" s="11" t="str">
        <x:v>East</x:v>
      </x:c>
      <x:c r="F2626" s="11" t="str">
        <x:v>Office Supplies</x:v>
      </x:c>
      <x:c r="G2626" s="11" t="str">
        <x:v>Notebook pack</x:v>
      </x:c>
      <x:c r="H2626" s="11" t="n">
        <x:v>3</x:v>
      </x:c>
      <x:c r="I2626" s="19" t="n">
        <x:v>0.15</x:v>
      </x:c>
      <x:c r="J2626" s="11" t="n">
        <x:v>0</x:v>
      </x:c>
      <x:c r="K2626" s="20" t="n">
        <x:v>54</x:v>
      </x:c>
      <x:c r="L2626" s="20" t="n">
        <x:v>8.1</x:v>
      </x:c>
      <x:c r="M2626" s="20" t="n">
        <x:v>21</x:v>
      </x:c>
      <x:c r="N2626" s="20" t="n">
        <x:f>IF(J2626=1,0,K2626-L2626)</x:f>
        <x:v>45.9</x:v>
      </x:c>
      <x:c r="O2626" s="20" t="n">
        <x:f>N2626-M2626</x:f>
        <x:v>24.9</x:v>
      </x:c>
    </x:row>
    <x:row r="2627" ht="22" customHeight="1">
      <x:c r="A2627" s="11" t="n">
        <x:v>2623</x:v>
      </x:c>
      <x:c r="B2627" s="11" t="n">
        <x:v>1324</x:v>
      </x:c>
      <x:c r="C2627" s="18" t="n">
        <x:v>45602</x:v>
      </x:c>
      <x:c r="D2627" s="11" t="str">
        <x:v>2024-11</x:v>
      </x:c>
      <x:c r="E2627" s="11" t="str">
        <x:v>East</x:v>
      </x:c>
      <x:c r="F2627" s="11" t="str">
        <x:v>Technology</x:v>
      </x:c>
      <x:c r="G2627" s="11" t="str">
        <x:v>Keyboard</x:v>
      </x:c>
      <x:c r="H2627" s="11" t="n">
        <x:v>2</x:v>
      </x:c>
      <x:c r="I2627" s="19" t="n">
        <x:v>0</x:v>
      </x:c>
      <x:c r="J2627" s="11" t="n">
        <x:v>0</x:v>
      </x:c>
      <x:c r="K2627" s="20" t="n">
        <x:v>130</x:v>
      </x:c>
      <x:c r="L2627" s="20" t="n">
        <x:v>0</x:v>
      </x:c>
      <x:c r="M2627" s="20" t="n">
        <x:v>64</x:v>
      </x:c>
      <x:c r="N2627" s="20" t="n">
        <x:f>IF(J2627=1,0,K2627-L2627)</x:f>
        <x:v>130</x:v>
      </x:c>
      <x:c r="O2627" s="20" t="n">
        <x:f>N2627-M2627</x:f>
        <x:v>66</x:v>
      </x:c>
    </x:row>
    <x:row r="2628" ht="22" customHeight="1">
      <x:c r="A2628" s="11" t="n">
        <x:v>2624</x:v>
      </x:c>
      <x:c r="B2628" s="11" t="n">
        <x:v>1325</x:v>
      </x:c>
      <x:c r="C2628" s="18" t="n">
        <x:v>45781</x:v>
      </x:c>
      <x:c r="D2628" s="11" t="str">
        <x:v>2025-05</x:v>
      </x:c>
      <x:c r="E2628" s="11" t="str">
        <x:v>Central</x:v>
      </x:c>
      <x:c r="F2628" s="11" t="str">
        <x:v>Furniture</x:v>
      </x:c>
      <x:c r="G2628" s="11" t="str">
        <x:v>Chair</x:v>
      </x:c>
      <x:c r="H2628" s="11" t="n">
        <x:v>4</x:v>
      </x:c>
      <x:c r="I2628" s="19" t="n">
        <x:v>0</x:v>
      </x:c>
      <x:c r="J2628" s="11" t="n">
        <x:v>0</x:v>
      </x:c>
      <x:c r="K2628" s="20" t="n">
        <x:v>680</x:v>
      </x:c>
      <x:c r="L2628" s="20" t="n">
        <x:v>0</x:v>
      </x:c>
      <x:c r="M2628" s="20" t="n">
        <x:v>440</x:v>
      </x:c>
      <x:c r="N2628" s="20" t="n">
        <x:f>IF(J2628=1,0,K2628-L2628)</x:f>
        <x:v>680</x:v>
      </x:c>
      <x:c r="O2628" s="20" t="n">
        <x:f>N2628-M2628</x:f>
        <x:v>240</x:v>
      </x:c>
    </x:row>
    <x:row r="2629" ht="22" customHeight="1">
      <x:c r="A2629" s="11" t="n">
        <x:v>2625</x:v>
      </x:c>
      <x:c r="B2629" s="11" t="n">
        <x:v>1326</x:v>
      </x:c>
      <x:c r="C2629" s="18" t="n">
        <x:v>45422</x:v>
      </x:c>
      <x:c r="D2629" s="11" t="str">
        <x:v>2024-05</x:v>
      </x:c>
      <x:c r="E2629" s="11" t="str">
        <x:v>Central</x:v>
      </x:c>
      <x:c r="F2629" s="11" t="str">
        <x:v>Technology</x:v>
      </x:c>
      <x:c r="G2629" s="11" t="str">
        <x:v>Keyboard</x:v>
      </x:c>
      <x:c r="H2629" s="11" t="n">
        <x:v>5</x:v>
      </x:c>
      <x:c r="I2629" s="19" t="n">
        <x:v>0</x:v>
      </x:c>
      <x:c r="J2629" s="11" t="n">
        <x:v>0</x:v>
      </x:c>
      <x:c r="K2629" s="20" t="n">
        <x:v>325</x:v>
      </x:c>
      <x:c r="L2629" s="20" t="n">
        <x:v>0</x:v>
      </x:c>
      <x:c r="M2629" s="20" t="n">
        <x:v>160</x:v>
      </x:c>
      <x:c r="N2629" s="20" t="n">
        <x:f>IF(J2629=1,0,K2629-L2629)</x:f>
        <x:v>325</x:v>
      </x:c>
      <x:c r="O2629" s="20" t="n">
        <x:f>N2629-M2629</x:f>
        <x:v>165</x:v>
      </x:c>
    </x:row>
    <x:row r="2630" ht="22" customHeight="1">
      <x:c r="A2630" s="11" t="n">
        <x:v>2626</x:v>
      </x:c>
      <x:c r="B2630" s="11" t="n">
        <x:v>1327</x:v>
      </x:c>
      <x:c r="C2630" s="18" t="n">
        <x:v>45544</x:v>
      </x:c>
      <x:c r="D2630" s="11" t="str">
        <x:v>2024-09</x:v>
      </x:c>
      <x:c r="E2630" s="11" t="str">
        <x:v>West</x:v>
      </x:c>
      <x:c r="F2630" s="11" t="str">
        <x:v>Technology</x:v>
      </x:c>
      <x:c r="G2630" s="11" t="str">
        <x:v>Monitor</x:v>
      </x:c>
      <x:c r="H2630" s="11" t="n">
        <x:v>4</x:v>
      </x:c>
      <x:c r="I2630" s="19" t="n">
        <x:v>0</x:v>
      </x:c>
      <x:c r="J2630" s="11" t="n">
        <x:v>0</x:v>
      </x:c>
      <x:c r="K2630" s="20" t="n">
        <x:v>960</x:v>
      </x:c>
      <x:c r="L2630" s="20" t="n">
        <x:v>0</x:v>
      </x:c>
      <x:c r="M2630" s="20" t="n">
        <x:v>640</x:v>
      </x:c>
      <x:c r="N2630" s="20" t="n">
        <x:f>IF(J2630=1,0,K2630-L2630)</x:f>
        <x:v>960</x:v>
      </x:c>
      <x:c r="O2630" s="20" t="n">
        <x:f>N2630-M2630</x:f>
        <x:v>320</x:v>
      </x:c>
    </x:row>
    <x:row r="2631" ht="22" customHeight="1">
      <x:c r="A2631" s="11" t="n">
        <x:v>2627</x:v>
      </x:c>
      <x:c r="B2631" s="11" t="n">
        <x:v>1327</x:v>
      </x:c>
      <x:c r="C2631" s="18" t="n">
        <x:v>45544</x:v>
      </x:c>
      <x:c r="D2631" s="11" t="str">
        <x:v>2024-09</x:v>
      </x:c>
      <x:c r="E2631" s="11" t="str">
        <x:v>West</x:v>
      </x:c>
      <x:c r="F2631" s="11" t="str">
        <x:v>Furniture</x:v>
      </x:c>
      <x:c r="G2631" s="11" t="str">
        <x:v>Chair</x:v>
      </x:c>
      <x:c r="H2631" s="11" t="n">
        <x:v>1</x:v>
      </x:c>
      <x:c r="I2631" s="19" t="n">
        <x:v>0.15</x:v>
      </x:c>
      <x:c r="J2631" s="11" t="n">
        <x:v>0</x:v>
      </x:c>
      <x:c r="K2631" s="20" t="n">
        <x:v>170</x:v>
      </x:c>
      <x:c r="L2631" s="20" t="n">
        <x:v>25.5</x:v>
      </x:c>
      <x:c r="M2631" s="20" t="n">
        <x:v>110</x:v>
      </x:c>
      <x:c r="N2631" s="20" t="n">
        <x:f>IF(J2631=1,0,K2631-L2631)</x:f>
        <x:v>144.5</x:v>
      </x:c>
      <x:c r="O2631" s="20" t="n">
        <x:f>N2631-M2631</x:f>
        <x:v>34.5</x:v>
      </x:c>
    </x:row>
    <x:row r="2632" ht="22" customHeight="1">
      <x:c r="A2632" s="11" t="n">
        <x:v>2628</x:v>
      </x:c>
      <x:c r="B2632" s="11" t="n">
        <x:v>1327</x:v>
      </x:c>
      <x:c r="C2632" s="18" t="n">
        <x:v>45544</x:v>
      </x:c>
      <x:c r="D2632" s="11" t="str">
        <x:v>2024-09</x:v>
      </x:c>
      <x:c r="E2632" s="11" t="str">
        <x:v>West</x:v>
      </x:c>
      <x:c r="F2632" s="11" t="str">
        <x:v>Office Supplies</x:v>
      </x:c>
      <x:c r="G2632" s="11" t="str">
        <x:v>Storage box</x:v>
      </x:c>
      <x:c r="H2632" s="11" t="n">
        <x:v>1</x:v>
      </x:c>
      <x:c r="I2632" s="19" t="n">
        <x:v>0</x:v>
      </x:c>
      <x:c r="J2632" s="11" t="n">
        <x:v>0</x:v>
      </x:c>
      <x:c r="K2632" s="20" t="n">
        <x:v>26</x:v>
      </x:c>
      <x:c r="L2632" s="20" t="n">
        <x:v>0</x:v>
      </x:c>
      <x:c r="M2632" s="20" t="n">
        <x:v>12</x:v>
      </x:c>
      <x:c r="N2632" s="20" t="n">
        <x:f>IF(J2632=1,0,K2632-L2632)</x:f>
        <x:v>26</x:v>
      </x:c>
      <x:c r="O2632" s="20" t="n">
        <x:f>N2632-M2632</x:f>
        <x:v>14</x:v>
      </x:c>
    </x:row>
    <x:row r="2633" ht="22" customHeight="1">
      <x:c r="A2633" s="11" t="n">
        <x:v>2629</x:v>
      </x:c>
      <x:c r="B2633" s="11" t="n">
        <x:v>1328</x:v>
      </x:c>
      <x:c r="C2633" s="18" t="n">
        <x:v>45674</x:v>
      </x:c>
      <x:c r="D2633" s="11" t="str">
        <x:v>2025-01</x:v>
      </x:c>
      <x:c r="E2633" s="11" t="str">
        <x:v>East</x:v>
      </x:c>
      <x:c r="F2633" s="11" t="str">
        <x:v>Furniture</x:v>
      </x:c>
      <x:c r="G2633" s="11" t="str">
        <x:v>Chair</x:v>
      </x:c>
      <x:c r="H2633" s="11" t="n">
        <x:v>5</x:v>
      </x:c>
      <x:c r="I2633" s="19" t="n">
        <x:v>0.25</x:v>
      </x:c>
      <x:c r="J2633" s="11" t="n">
        <x:v>0</x:v>
      </x:c>
      <x:c r="K2633" s="20" t="n">
        <x:v>850</x:v>
      </x:c>
      <x:c r="L2633" s="20" t="n">
        <x:v>212.5</x:v>
      </x:c>
      <x:c r="M2633" s="20" t="n">
        <x:v>550</x:v>
      </x:c>
      <x:c r="N2633" s="20" t="n">
        <x:f>IF(J2633=1,0,K2633-L2633)</x:f>
        <x:v>637.5</x:v>
      </x:c>
      <x:c r="O2633" s="20" t="n">
        <x:f>N2633-M2633</x:f>
        <x:v>87.5</x:v>
      </x:c>
    </x:row>
    <x:row r="2634" ht="22" customHeight="1">
      <x:c r="A2634" s="11" t="n">
        <x:v>2630</x:v>
      </x:c>
      <x:c r="B2634" s="11" t="n">
        <x:v>1328</x:v>
      </x:c>
      <x:c r="C2634" s="18" t="n">
        <x:v>45674</x:v>
      </x:c>
      <x:c r="D2634" s="11" t="str">
        <x:v>2025-01</x:v>
      </x:c>
      <x:c r="E2634" s="11" t="str">
        <x:v>East</x:v>
      </x:c>
      <x:c r="F2634" s="11" t="str">
        <x:v>Office Supplies</x:v>
      </x:c>
      <x:c r="G2634" s="11" t="str">
        <x:v>Storage box</x:v>
      </x:c>
      <x:c r="H2634" s="11" t="n">
        <x:v>2</x:v>
      </x:c>
      <x:c r="I2634" s="19" t="n">
        <x:v>0</x:v>
      </x:c>
      <x:c r="J2634" s="11" t="n">
        <x:v>0</x:v>
      </x:c>
      <x:c r="K2634" s="20" t="n">
        <x:v>52</x:v>
      </x:c>
      <x:c r="L2634" s="20" t="n">
        <x:v>0</x:v>
      </x:c>
      <x:c r="M2634" s="20" t="n">
        <x:v>24</x:v>
      </x:c>
      <x:c r="N2634" s="20" t="n">
        <x:f>IF(J2634=1,0,K2634-L2634)</x:f>
        <x:v>52</x:v>
      </x:c>
      <x:c r="O2634" s="20" t="n">
        <x:f>N2634-M2634</x:f>
        <x:v>28</x:v>
      </x:c>
    </x:row>
    <x:row r="2635" ht="22" customHeight="1">
      <x:c r="A2635" s="11" t="n">
        <x:v>2631</x:v>
      </x:c>
      <x:c r="B2635" s="11" t="n">
        <x:v>1328</x:v>
      </x:c>
      <x:c r="C2635" s="18" t="n">
        <x:v>45674</x:v>
      </x:c>
      <x:c r="D2635" s="11" t="str">
        <x:v>2025-01</x:v>
      </x:c>
      <x:c r="E2635" s="11" t="str">
        <x:v>East</x:v>
      </x:c>
      <x:c r="F2635" s="11" t="str">
        <x:v>Technology</x:v>
      </x:c>
      <x:c r="G2635" s="11" t="str">
        <x:v>Keyboard</x:v>
      </x:c>
      <x:c r="H2635" s="11" t="n">
        <x:v>3</x:v>
      </x:c>
      <x:c r="I2635" s="19" t="n">
        <x:v>0.1</x:v>
      </x:c>
      <x:c r="J2635" s="11" t="n">
        <x:v>0</x:v>
      </x:c>
      <x:c r="K2635" s="20" t="n">
        <x:v>195</x:v>
      </x:c>
      <x:c r="L2635" s="20" t="n">
        <x:v>19.5</x:v>
      </x:c>
      <x:c r="M2635" s="20" t="n">
        <x:v>96</x:v>
      </x:c>
      <x:c r="N2635" s="20" t="n">
        <x:f>IF(J2635=1,0,K2635-L2635)</x:f>
        <x:v>175.5</x:v>
      </x:c>
      <x:c r="O2635" s="20" t="n">
        <x:f>N2635-M2635</x:f>
        <x:v>79.5</x:v>
      </x:c>
    </x:row>
    <x:row r="2636" ht="22" customHeight="1">
      <x:c r="A2636" s="11" t="n">
        <x:v>2632</x:v>
      </x:c>
      <x:c r="B2636" s="11" t="n">
        <x:v>1329</x:v>
      </x:c>
      <x:c r="C2636" s="18" t="n">
        <x:v>45735</x:v>
      </x:c>
      <x:c r="D2636" s="11" t="str">
        <x:v>2025-03</x:v>
      </x:c>
      <x:c r="E2636" s="11" t="str">
        <x:v>West</x:v>
      </x:c>
      <x:c r="F2636" s="11" t="str">
        <x:v>Furniture</x:v>
      </x:c>
      <x:c r="G2636" s="11" t="str">
        <x:v>Desk</x:v>
      </x:c>
      <x:c r="H2636" s="11" t="n">
        <x:v>1</x:v>
      </x:c>
      <x:c r="I2636" s="19" t="n">
        <x:v>0</x:v>
      </x:c>
      <x:c r="J2636" s="11" t="n">
        <x:v>0</x:v>
      </x:c>
      <x:c r="K2636" s="20" t="n">
        <x:v>280</x:v>
      </x:c>
      <x:c r="L2636" s="20" t="n">
        <x:v>0</x:v>
      </x:c>
      <x:c r="M2636" s="20" t="n">
        <x:v>190</x:v>
      </x:c>
      <x:c r="N2636" s="20" t="n">
        <x:f>IF(J2636=1,0,K2636-L2636)</x:f>
        <x:v>280</x:v>
      </x:c>
      <x:c r="O2636" s="20" t="n">
        <x:f>N2636-M2636</x:f>
        <x:v>90</x:v>
      </x:c>
    </x:row>
    <x:row r="2637" ht="22" customHeight="1">
      <x:c r="A2637" s="11" t="n">
        <x:v>2633</x:v>
      </x:c>
      <x:c r="B2637" s="11" t="n">
        <x:v>1329</x:v>
      </x:c>
      <x:c r="C2637" s="18" t="n">
        <x:v>45735</x:v>
      </x:c>
      <x:c r="D2637" s="11" t="str">
        <x:v>2025-03</x:v>
      </x:c>
      <x:c r="E2637" s="11" t="str">
        <x:v>West</x:v>
      </x:c>
      <x:c r="F2637" s="11" t="str">
        <x:v>Office Supplies</x:v>
      </x:c>
      <x:c r="G2637" s="11" t="str">
        <x:v>Notebook pack</x:v>
      </x:c>
      <x:c r="H2637" s="11" t="n">
        <x:v>1</x:v>
      </x:c>
      <x:c r="I2637" s="19" t="n">
        <x:v>0.05</x:v>
      </x:c>
      <x:c r="J2637" s="11" t="n">
        <x:v>0</x:v>
      </x:c>
      <x:c r="K2637" s="20" t="n">
        <x:v>18</x:v>
      </x:c>
      <x:c r="L2637" s="20" t="n">
        <x:v>0.9</x:v>
      </x:c>
      <x:c r="M2637" s="20" t="n">
        <x:v>7</x:v>
      </x:c>
      <x:c r="N2637" s="20" t="n">
        <x:f>IF(J2637=1,0,K2637-L2637)</x:f>
        <x:v>17.1</x:v>
      </x:c>
      <x:c r="O2637" s="20" t="n">
        <x:f>N2637-M2637</x:f>
        <x:v>10.100000000000001</x:v>
      </x:c>
    </x:row>
    <x:row r="2638" ht="22" customHeight="1">
      <x:c r="A2638" s="11" t="n">
        <x:v>2634</x:v>
      </x:c>
      <x:c r="B2638" s="11" t="n">
        <x:v>1330</x:v>
      </x:c>
      <x:c r="C2638" s="18" t="n">
        <x:v>45579</x:v>
      </x:c>
      <x:c r="D2638" s="11" t="str">
        <x:v>2024-10</x:v>
      </x:c>
      <x:c r="E2638" s="11" t="str">
        <x:v>West</x:v>
      </x:c>
      <x:c r="F2638" s="11" t="str">
        <x:v>Office Supplies</x:v>
      </x:c>
      <x:c r="G2638" s="11" t="str">
        <x:v>Notebook pack</x:v>
      </x:c>
      <x:c r="H2638" s="11" t="n">
        <x:v>3</x:v>
      </x:c>
      <x:c r="I2638" s="19" t="n">
        <x:v>0.05</x:v>
      </x:c>
      <x:c r="J2638" s="11" t="n">
        <x:v>0</x:v>
      </x:c>
      <x:c r="K2638" s="20" t="n">
        <x:v>54</x:v>
      </x:c>
      <x:c r="L2638" s="20" t="n">
        <x:v>2.7</x:v>
      </x:c>
      <x:c r="M2638" s="20" t="n">
        <x:v>21</x:v>
      </x:c>
      <x:c r="N2638" s="20" t="n">
        <x:f>IF(J2638=1,0,K2638-L2638)</x:f>
        <x:v>51.3</x:v>
      </x:c>
      <x:c r="O2638" s="20" t="n">
        <x:f>N2638-M2638</x:f>
        <x:v>30.299999999999997</x:v>
      </x:c>
    </x:row>
    <x:row r="2639" ht="22" customHeight="1">
      <x:c r="A2639" s="11" t="n">
        <x:v>2635</x:v>
      </x:c>
      <x:c r="B2639" s="11" t="n">
        <x:v>1330</x:v>
      </x:c>
      <x:c r="C2639" s="18" t="n">
        <x:v>45579</x:v>
      </x:c>
      <x:c r="D2639" s="11" t="str">
        <x:v>2024-10</x:v>
      </x:c>
      <x:c r="E2639" s="11" t="str">
        <x:v>West</x:v>
      </x:c>
      <x:c r="F2639" s="11" t="str">
        <x:v>Office Supplies</x:v>
      </x:c>
      <x:c r="G2639" s="11" t="str">
        <x:v>Storage box</x:v>
      </x:c>
      <x:c r="H2639" s="11" t="n">
        <x:v>4</x:v>
      </x:c>
      <x:c r="I2639" s="19" t="n">
        <x:v>0.15</x:v>
      </x:c>
      <x:c r="J2639" s="11" t="n">
        <x:v>0</x:v>
      </x:c>
      <x:c r="K2639" s="20" t="n">
        <x:v>104</x:v>
      </x:c>
      <x:c r="L2639" s="20" t="n">
        <x:v>15.6</x:v>
      </x:c>
      <x:c r="M2639" s="20" t="n">
        <x:v>48</x:v>
      </x:c>
      <x:c r="N2639" s="20" t="n">
        <x:f>IF(J2639=1,0,K2639-L2639)</x:f>
        <x:v>88.4</x:v>
      </x:c>
      <x:c r="O2639" s="20" t="n">
        <x:f>N2639-M2639</x:f>
        <x:v>40.400000000000006</x:v>
      </x:c>
    </x:row>
    <x:row r="2640" ht="22" customHeight="1">
      <x:c r="A2640" s="11" t="n">
        <x:v>2636</x:v>
      </x:c>
      <x:c r="B2640" s="11" t="n">
        <x:v>1331</x:v>
      </x:c>
      <x:c r="C2640" s="18" t="n">
        <x:v>45996</x:v>
      </x:c>
      <x:c r="D2640" s="11" t="str">
        <x:v>2025-12</x:v>
      </x:c>
      <x:c r="E2640" s="11" t="str">
        <x:v>East</x:v>
      </x:c>
      <x:c r="F2640" s="11" t="str">
        <x:v>Technology</x:v>
      </x:c>
      <x:c r="G2640" s="11" t="str">
        <x:v>Monitor</x:v>
      </x:c>
      <x:c r="H2640" s="11" t="n">
        <x:v>4</x:v>
      </x:c>
      <x:c r="I2640" s="19" t="n">
        <x:v>0.05</x:v>
      </x:c>
      <x:c r="J2640" s="11" t="n">
        <x:v>0</x:v>
      </x:c>
      <x:c r="K2640" s="20" t="n">
        <x:v>960</x:v>
      </x:c>
      <x:c r="L2640" s="20" t="n">
        <x:v>48</x:v>
      </x:c>
      <x:c r="M2640" s="20" t="n">
        <x:v>640</x:v>
      </x:c>
      <x:c r="N2640" s="20" t="n">
        <x:f>IF(J2640=1,0,K2640-L2640)</x:f>
        <x:v>912</x:v>
      </x:c>
      <x:c r="O2640" s="20" t="n">
        <x:f>N2640-M2640</x:f>
        <x:v>272</x:v>
      </x:c>
    </x:row>
    <x:row r="2641" ht="22" customHeight="1">
      <x:c r="A2641" s="11" t="n">
        <x:v>2637</x:v>
      </x:c>
      <x:c r="B2641" s="11" t="n">
        <x:v>1331</x:v>
      </x:c>
      <x:c r="C2641" s="18" t="n">
        <x:v>45996</x:v>
      </x:c>
      <x:c r="D2641" s="11" t="str">
        <x:v>2025-12</x:v>
      </x:c>
      <x:c r="E2641" s="11" t="str">
        <x:v>East</x:v>
      </x:c>
      <x:c r="F2641" s="11" t="str">
        <x:v>Furniture</x:v>
      </x:c>
      <x:c r="G2641" s="11" t="str">
        <x:v>Desk</x:v>
      </x:c>
      <x:c r="H2641" s="11" t="n">
        <x:v>5</x:v>
      </x:c>
      <x:c r="I2641" s="19" t="n">
        <x:v>0</x:v>
      </x:c>
      <x:c r="J2641" s="11" t="n">
        <x:v>0</x:v>
      </x:c>
      <x:c r="K2641" s="20" t="n">
        <x:v>1400</x:v>
      </x:c>
      <x:c r="L2641" s="20" t="n">
        <x:v>0</x:v>
      </x:c>
      <x:c r="M2641" s="20" t="n">
        <x:v>950</x:v>
      </x:c>
      <x:c r="N2641" s="20" t="n">
        <x:f>IF(J2641=1,0,K2641-L2641)</x:f>
        <x:v>1400</x:v>
      </x:c>
      <x:c r="O2641" s="20" t="n">
        <x:f>N2641-M2641</x:f>
        <x:v>450</x:v>
      </x:c>
    </x:row>
    <x:row r="2642" ht="22" customHeight="1">
      <x:c r="A2642" s="11" t="n">
        <x:v>2638</x:v>
      </x:c>
      <x:c r="B2642" s="11" t="n">
        <x:v>1332</x:v>
      </x:c>
      <x:c r="C2642" s="18" t="n">
        <x:v>45566</x:v>
      </x:c>
      <x:c r="D2642" s="11" t="str">
        <x:v>2024-10</x:v>
      </x:c>
      <x:c r="E2642" s="11" t="str">
        <x:v>West</x:v>
      </x:c>
      <x:c r="F2642" s="11" t="str">
        <x:v>Office Supplies</x:v>
      </x:c>
      <x:c r="G2642" s="11" t="str">
        <x:v>Notebook pack</x:v>
      </x:c>
      <x:c r="H2642" s="11" t="n">
        <x:v>3</x:v>
      </x:c>
      <x:c r="I2642" s="19" t="n">
        <x:v>0</x:v>
      </x:c>
      <x:c r="J2642" s="11" t="n">
        <x:v>0</x:v>
      </x:c>
      <x:c r="K2642" s="20" t="n">
        <x:v>54</x:v>
      </x:c>
      <x:c r="L2642" s="20" t="n">
        <x:v>0</x:v>
      </x:c>
      <x:c r="M2642" s="20" t="n">
        <x:v>21</x:v>
      </x:c>
      <x:c r="N2642" s="20" t="n">
        <x:f>IF(J2642=1,0,K2642-L2642)</x:f>
        <x:v>54</x:v>
      </x:c>
      <x:c r="O2642" s="20" t="n">
        <x:f>N2642-M2642</x:f>
        <x:v>33</x:v>
      </x:c>
    </x:row>
    <x:row r="2643" ht="22" customHeight="1">
      <x:c r="A2643" s="11" t="n">
        <x:v>2639</x:v>
      </x:c>
      <x:c r="B2643" s="11" t="n">
        <x:v>1332</x:v>
      </x:c>
      <x:c r="C2643" s="18" t="n">
        <x:v>45566</x:v>
      </x:c>
      <x:c r="D2643" s="11" t="str">
        <x:v>2024-10</x:v>
      </x:c>
      <x:c r="E2643" s="11" t="str">
        <x:v>West</x:v>
      </x:c>
      <x:c r="F2643" s="11" t="str">
        <x:v>Furniture</x:v>
      </x:c>
      <x:c r="G2643" s="11" t="str">
        <x:v>Chair</x:v>
      </x:c>
      <x:c r="H2643" s="11" t="n">
        <x:v>3</x:v>
      </x:c>
      <x:c r="I2643" s="19" t="n">
        <x:v>0.1</x:v>
      </x:c>
      <x:c r="J2643" s="11" t="n">
        <x:v>0</x:v>
      </x:c>
      <x:c r="K2643" s="20" t="n">
        <x:v>510</x:v>
      </x:c>
      <x:c r="L2643" s="20" t="n">
        <x:v>51</x:v>
      </x:c>
      <x:c r="M2643" s="20" t="n">
        <x:v>330</x:v>
      </x:c>
      <x:c r="N2643" s="20" t="n">
        <x:f>IF(J2643=1,0,K2643-L2643)</x:f>
        <x:v>459</x:v>
      </x:c>
      <x:c r="O2643" s="20" t="n">
        <x:f>N2643-M2643</x:f>
        <x:v>129</x:v>
      </x:c>
    </x:row>
    <x:row r="2644" ht="22" customHeight="1">
      <x:c r="A2644" s="11" t="n">
        <x:v>2640</x:v>
      </x:c>
      <x:c r="B2644" s="11" t="n">
        <x:v>1332</x:v>
      </x:c>
      <x:c r="C2644" s="18" t="n">
        <x:v>45566</x:v>
      </x:c>
      <x:c r="D2644" s="11" t="str">
        <x:v>2024-10</x:v>
      </x:c>
      <x:c r="E2644" s="11" t="str">
        <x:v>West</x:v>
      </x:c>
      <x:c r="F2644" s="11" t="str">
        <x:v>Technology</x:v>
      </x:c>
      <x:c r="G2644" s="11" t="str">
        <x:v>Monitor</x:v>
      </x:c>
      <x:c r="H2644" s="11" t="n">
        <x:v>3</x:v>
      </x:c>
      <x:c r="I2644" s="19" t="n">
        <x:v>0.15</x:v>
      </x:c>
      <x:c r="J2644" s="11" t="n">
        <x:v>0</x:v>
      </x:c>
      <x:c r="K2644" s="20" t="n">
        <x:v>720</x:v>
      </x:c>
      <x:c r="L2644" s="20" t="n">
        <x:v>108</x:v>
      </x:c>
      <x:c r="M2644" s="20" t="n">
        <x:v>480</x:v>
      </x:c>
      <x:c r="N2644" s="20" t="n">
        <x:f>IF(J2644=1,0,K2644-L2644)</x:f>
        <x:v>612</x:v>
      </x:c>
      <x:c r="O2644" s="20" t="n">
        <x:f>N2644-M2644</x:f>
        <x:v>132</x:v>
      </x:c>
    </x:row>
    <x:row r="2645" ht="22" customHeight="1">
      <x:c r="A2645" s="11" t="n">
        <x:v>2641</x:v>
      </x:c>
      <x:c r="B2645" s="11" t="n">
        <x:v>1333</x:v>
      </x:c>
      <x:c r="C2645" s="18" t="n">
        <x:v>45577</x:v>
      </x:c>
      <x:c r="D2645" s="11" t="str">
        <x:v>2024-10</x:v>
      </x:c>
      <x:c r="E2645" s="11" t="str">
        <x:v>East</x:v>
      </x:c>
      <x:c r="F2645" s="11" t="str">
        <x:v>Office Supplies</x:v>
      </x:c>
      <x:c r="G2645" s="11" t="str">
        <x:v>Storage box</x:v>
      </x:c>
      <x:c r="H2645" s="11" t="n">
        <x:v>3</x:v>
      </x:c>
      <x:c r="I2645" s="19" t="n">
        <x:v>0</x:v>
      </x:c>
      <x:c r="J2645" s="11" t="n">
        <x:v>0</x:v>
      </x:c>
      <x:c r="K2645" s="20" t="n">
        <x:v>78</x:v>
      </x:c>
      <x:c r="L2645" s="20" t="n">
        <x:v>0</x:v>
      </x:c>
      <x:c r="M2645" s="20" t="n">
        <x:v>36</x:v>
      </x:c>
      <x:c r="N2645" s="20" t="n">
        <x:f>IF(J2645=1,0,K2645-L2645)</x:f>
        <x:v>78</x:v>
      </x:c>
      <x:c r="O2645" s="20" t="n">
        <x:f>N2645-M2645</x:f>
        <x:v>42</x:v>
      </x:c>
    </x:row>
    <x:row r="2646" ht="22" customHeight="1">
      <x:c r="A2646" s="11" t="n">
        <x:v>2642</x:v>
      </x:c>
      <x:c r="B2646" s="11" t="n">
        <x:v>1333</x:v>
      </x:c>
      <x:c r="C2646" s="18" t="n">
        <x:v>45577</x:v>
      </x:c>
      <x:c r="D2646" s="11" t="str">
        <x:v>2024-10</x:v>
      </x:c>
      <x:c r="E2646" s="11" t="str">
        <x:v>East</x:v>
      </x:c>
      <x:c r="F2646" s="11" t="str">
        <x:v>Furniture</x:v>
      </x:c>
      <x:c r="G2646" s="11" t="str">
        <x:v>Chair</x:v>
      </x:c>
      <x:c r="H2646" s="11" t="n">
        <x:v>3</x:v>
      </x:c>
      <x:c r="I2646" s="19" t="n">
        <x:v>0.15</x:v>
      </x:c>
      <x:c r="J2646" s="11" t="n">
        <x:v>0</x:v>
      </x:c>
      <x:c r="K2646" s="20" t="n">
        <x:v>510</x:v>
      </x:c>
      <x:c r="L2646" s="20" t="n">
        <x:v>76.5</x:v>
      </x:c>
      <x:c r="M2646" s="20" t="n">
        <x:v>330</x:v>
      </x:c>
      <x:c r="N2646" s="20" t="n">
        <x:f>IF(J2646=1,0,K2646-L2646)</x:f>
        <x:v>433.5</x:v>
      </x:c>
      <x:c r="O2646" s="20" t="n">
        <x:f>N2646-M2646</x:f>
        <x:v>103.5</x:v>
      </x:c>
    </x:row>
    <x:row r="2647" ht="22" customHeight="1">
      <x:c r="A2647" s="11" t="n">
        <x:v>2643</x:v>
      </x:c>
      <x:c r="B2647" s="11" t="n">
        <x:v>1333</x:v>
      </x:c>
      <x:c r="C2647" s="18" t="n">
        <x:v>45577</x:v>
      </x:c>
      <x:c r="D2647" s="11" t="str">
        <x:v>2024-10</x:v>
      </x:c>
      <x:c r="E2647" s="11" t="str">
        <x:v>East</x:v>
      </x:c>
      <x:c r="F2647" s="11" t="str">
        <x:v>Office Supplies</x:v>
      </x:c>
      <x:c r="G2647" s="11" t="str">
        <x:v>Notebook pack</x:v>
      </x:c>
      <x:c r="H2647" s="11" t="n">
        <x:v>4</x:v>
      </x:c>
      <x:c r="I2647" s="19" t="n">
        <x:v>0.15</x:v>
      </x:c>
      <x:c r="J2647" s="11" t="n">
        <x:v>0</x:v>
      </x:c>
      <x:c r="K2647" s="20" t="n">
        <x:v>72</x:v>
      </x:c>
      <x:c r="L2647" s="20" t="n">
        <x:v>10.8</x:v>
      </x:c>
      <x:c r="M2647" s="20" t="n">
        <x:v>28</x:v>
      </x:c>
      <x:c r="N2647" s="20" t="n">
        <x:f>IF(J2647=1,0,K2647-L2647)</x:f>
        <x:v>61.2</x:v>
      </x:c>
      <x:c r="O2647" s="20" t="n">
        <x:f>N2647-M2647</x:f>
        <x:v>33.2</x:v>
      </x:c>
    </x:row>
    <x:row r="2648" ht="22" customHeight="1">
      <x:c r="A2648" s="11" t="n">
        <x:v>2644</x:v>
      </x:c>
      <x:c r="B2648" s="11" t="n">
        <x:v>1334</x:v>
      </x:c>
      <x:c r="C2648" s="18" t="n">
        <x:v>45412</x:v>
      </x:c>
      <x:c r="D2648" s="11" t="str">
        <x:v>2024-04</x:v>
      </x:c>
      <x:c r="E2648" s="11" t="str">
        <x:v>South</x:v>
      </x:c>
      <x:c r="F2648" s="11" t="str">
        <x:v>Furniture</x:v>
      </x:c>
      <x:c r="G2648" s="11" t="str">
        <x:v>Chair</x:v>
      </x:c>
      <x:c r="H2648" s="11" t="n">
        <x:v>2</x:v>
      </x:c>
      <x:c r="I2648" s="19" t="n">
        <x:v>0.35</x:v>
      </x:c>
      <x:c r="J2648" s="11" t="n">
        <x:v>0</x:v>
      </x:c>
      <x:c r="K2648" s="20" t="n">
        <x:v>340</x:v>
      </x:c>
      <x:c r="L2648" s="20" t="n">
        <x:v>119</x:v>
      </x:c>
      <x:c r="M2648" s="20" t="n">
        <x:v>220</x:v>
      </x:c>
      <x:c r="N2648" s="20" t="n">
        <x:f>IF(J2648=1,0,K2648-L2648)</x:f>
        <x:v>221</x:v>
      </x:c>
      <x:c r="O2648" s="20" t="n">
        <x:f>N2648-M2648</x:f>
        <x:v>1</x:v>
      </x:c>
    </x:row>
    <x:row r="2649" ht="22" customHeight="1">
      <x:c r="A2649" s="11" t="n">
        <x:v>2645</x:v>
      </x:c>
      <x:c r="B2649" s="11" t="n">
        <x:v>1334</x:v>
      </x:c>
      <x:c r="C2649" s="18" t="n">
        <x:v>45412</x:v>
      </x:c>
      <x:c r="D2649" s="11" t="str">
        <x:v>2024-04</x:v>
      </x:c>
      <x:c r="E2649" s="11" t="str">
        <x:v>South</x:v>
      </x:c>
      <x:c r="F2649" s="11" t="str">
        <x:v>Office Supplies</x:v>
      </x:c>
      <x:c r="G2649" s="11" t="str">
        <x:v>Storage box</x:v>
      </x:c>
      <x:c r="H2649" s="11" t="n">
        <x:v>4</x:v>
      </x:c>
      <x:c r="I2649" s="19" t="n">
        <x:v>0.1</x:v>
      </x:c>
      <x:c r="J2649" s="11" t="n">
        <x:v>0</x:v>
      </x:c>
      <x:c r="K2649" s="20" t="n">
        <x:v>104</x:v>
      </x:c>
      <x:c r="L2649" s="20" t="n">
        <x:v>10.4</x:v>
      </x:c>
      <x:c r="M2649" s="20" t="n">
        <x:v>48</x:v>
      </x:c>
      <x:c r="N2649" s="20" t="n">
        <x:f>IF(J2649=1,0,K2649-L2649)</x:f>
        <x:v>93.6</x:v>
      </x:c>
      <x:c r="O2649" s="20" t="n">
        <x:f>N2649-M2649</x:f>
        <x:v>45.599999999999994</x:v>
      </x:c>
    </x:row>
    <x:row r="2650" ht="22" customHeight="1">
      <x:c r="A2650" s="11" t="n">
        <x:v>2646</x:v>
      </x:c>
      <x:c r="B2650" s="11" t="n">
        <x:v>1334</x:v>
      </x:c>
      <x:c r="C2650" s="18" t="n">
        <x:v>45412</x:v>
      </x:c>
      <x:c r="D2650" s="11" t="str">
        <x:v>2024-04</x:v>
      </x:c>
      <x:c r="E2650" s="11" t="str">
        <x:v>South</x:v>
      </x:c>
      <x:c r="F2650" s="11" t="str">
        <x:v>Technology</x:v>
      </x:c>
      <x:c r="G2650" s="11" t="str">
        <x:v>Monitor</x:v>
      </x:c>
      <x:c r="H2650" s="11" t="n">
        <x:v>5</x:v>
      </x:c>
      <x:c r="I2650" s="19" t="n">
        <x:v>0.1</x:v>
      </x:c>
      <x:c r="J2650" s="11" t="n">
        <x:v>0</x:v>
      </x:c>
      <x:c r="K2650" s="20" t="n">
        <x:v>1200</x:v>
      </x:c>
      <x:c r="L2650" s="20" t="n">
        <x:v>120</x:v>
      </x:c>
      <x:c r="M2650" s="20" t="n">
        <x:v>800</x:v>
      </x:c>
      <x:c r="N2650" s="20" t="n">
        <x:f>IF(J2650=1,0,K2650-L2650)</x:f>
        <x:v>1080</x:v>
      </x:c>
      <x:c r="O2650" s="20" t="n">
        <x:f>N2650-M2650</x:f>
        <x:v>280</x:v>
      </x:c>
    </x:row>
    <x:row r="2651" ht="22" customHeight="1">
      <x:c r="A2651" s="11" t="n">
        <x:v>2647</x:v>
      </x:c>
      <x:c r="B2651" s="11" t="n">
        <x:v>1335</x:v>
      </x:c>
      <x:c r="C2651" s="18" t="n">
        <x:v>45441</x:v>
      </x:c>
      <x:c r="D2651" s="11" t="str">
        <x:v>2024-05</x:v>
      </x:c>
      <x:c r="E2651" s="11" t="str">
        <x:v>West</x:v>
      </x:c>
      <x:c r="F2651" s="11" t="str">
        <x:v>Furniture</x:v>
      </x:c>
      <x:c r="G2651" s="11" t="str">
        <x:v>Desk</x:v>
      </x:c>
      <x:c r="H2651" s="11" t="n">
        <x:v>5</x:v>
      </x:c>
      <x:c r="I2651" s="19" t="n">
        <x:v>0.25</x:v>
      </x:c>
      <x:c r="J2651" s="11" t="n">
        <x:v>1</x:v>
      </x:c>
      <x:c r="K2651" s="20" t="n">
        <x:v>1400</x:v>
      </x:c>
      <x:c r="L2651" s="20" t="n">
        <x:v>350</x:v>
      </x:c>
      <x:c r="M2651" s="20" t="n">
        <x:v>0</x:v>
      </x:c>
      <x:c r="N2651" s="20" t="n">
        <x:f>IF(J2651=1,0,K2651-L2651)</x:f>
        <x:v>0</x:v>
      </x:c>
      <x:c r="O2651" s="20" t="n">
        <x:f>N2651-M2651</x:f>
        <x:v>0</x:v>
      </x:c>
    </x:row>
    <x:row r="2652" ht="22" customHeight="1">
      <x:c r="A2652" s="11" t="n">
        <x:v>2648</x:v>
      </x:c>
      <x:c r="B2652" s="11" t="n">
        <x:v>1335</x:v>
      </x:c>
      <x:c r="C2652" s="18" t="n">
        <x:v>45441</x:v>
      </x:c>
      <x:c r="D2652" s="11" t="str">
        <x:v>2024-05</x:v>
      </x:c>
      <x:c r="E2652" s="11" t="str">
        <x:v>West</x:v>
      </x:c>
      <x:c r="F2652" s="11" t="str">
        <x:v>Technology</x:v>
      </x:c>
      <x:c r="G2652" s="11" t="str">
        <x:v>Keyboard</x:v>
      </x:c>
      <x:c r="H2652" s="11" t="n">
        <x:v>2</x:v>
      </x:c>
      <x:c r="I2652" s="19" t="n">
        <x:v>0.05</x:v>
      </x:c>
      <x:c r="J2652" s="11" t="n">
        <x:v>0</x:v>
      </x:c>
      <x:c r="K2652" s="20" t="n">
        <x:v>130</x:v>
      </x:c>
      <x:c r="L2652" s="20" t="n">
        <x:v>6.5</x:v>
      </x:c>
      <x:c r="M2652" s="20" t="n">
        <x:v>64</x:v>
      </x:c>
      <x:c r="N2652" s="20" t="n">
        <x:f>IF(J2652=1,0,K2652-L2652)</x:f>
        <x:v>123.5</x:v>
      </x:c>
      <x:c r="O2652" s="20" t="n">
        <x:f>N2652-M2652</x:f>
        <x:v>59.5</x:v>
      </x:c>
    </x:row>
    <x:row r="2653" ht="22" customHeight="1">
      <x:c r="A2653" s="11" t="n">
        <x:v>2649</x:v>
      </x:c>
      <x:c r="B2653" s="11" t="n">
        <x:v>1336</x:v>
      </x:c>
      <x:c r="C2653" s="18" t="n">
        <x:v>45757</x:v>
      </x:c>
      <x:c r="D2653" s="11" t="str">
        <x:v>2025-04</x:v>
      </x:c>
      <x:c r="E2653" s="11" t="str">
        <x:v>West</x:v>
      </x:c>
      <x:c r="F2653" s="11" t="str">
        <x:v>Office Supplies</x:v>
      </x:c>
      <x:c r="G2653" s="11" t="str">
        <x:v>Notebook pack</x:v>
      </x:c>
      <x:c r="H2653" s="11" t="n">
        <x:v>3</x:v>
      </x:c>
      <x:c r="I2653" s="19" t="n">
        <x:v>0</x:v>
      </x:c>
      <x:c r="J2653" s="11" t="n">
        <x:v>0</x:v>
      </x:c>
      <x:c r="K2653" s="20" t="n">
        <x:v>54</x:v>
      </x:c>
      <x:c r="L2653" s="20" t="n">
        <x:v>0</x:v>
      </x:c>
      <x:c r="M2653" s="20" t="n">
        <x:v>21</x:v>
      </x:c>
      <x:c r="N2653" s="20" t="n">
        <x:f>IF(J2653=1,0,K2653-L2653)</x:f>
        <x:v>54</x:v>
      </x:c>
      <x:c r="O2653" s="20" t="n">
        <x:f>N2653-M2653</x:f>
        <x:v>33</x:v>
      </x:c>
    </x:row>
    <x:row r="2654" ht="22" customHeight="1">
      <x:c r="A2654" s="11" t="n">
        <x:v>2650</x:v>
      </x:c>
      <x:c r="B2654" s="11" t="n">
        <x:v>1336</x:v>
      </x:c>
      <x:c r="C2654" s="18" t="n">
        <x:v>45757</x:v>
      </x:c>
      <x:c r="D2654" s="11" t="str">
        <x:v>2025-04</x:v>
      </x:c>
      <x:c r="E2654" s="11" t="str">
        <x:v>West</x:v>
      </x:c>
      <x:c r="F2654" s="11" t="str">
        <x:v>Technology</x:v>
      </x:c>
      <x:c r="G2654" s="11" t="str">
        <x:v>Keyboard</x:v>
      </x:c>
      <x:c r="H2654" s="11" t="n">
        <x:v>4</x:v>
      </x:c>
      <x:c r="I2654" s="19" t="n">
        <x:v>0.15</x:v>
      </x:c>
      <x:c r="J2654" s="11" t="n">
        <x:v>0</x:v>
      </x:c>
      <x:c r="K2654" s="20" t="n">
        <x:v>260</x:v>
      </x:c>
      <x:c r="L2654" s="20" t="n">
        <x:v>39</x:v>
      </x:c>
      <x:c r="M2654" s="20" t="n">
        <x:v>128</x:v>
      </x:c>
      <x:c r="N2654" s="20" t="n">
        <x:f>IF(J2654=1,0,K2654-L2654)</x:f>
        <x:v>221</x:v>
      </x:c>
      <x:c r="O2654" s="20" t="n">
        <x:f>N2654-M2654</x:f>
        <x:v>93</x:v>
      </x:c>
    </x:row>
    <x:row r="2655" ht="22" customHeight="1">
      <x:c r="A2655" s="11" t="n">
        <x:v>2651</x:v>
      </x:c>
      <x:c r="B2655" s="11" t="n">
        <x:v>1336</x:v>
      </x:c>
      <x:c r="C2655" s="18" t="n">
        <x:v>45757</x:v>
      </x:c>
      <x:c r="D2655" s="11" t="str">
        <x:v>2025-04</x:v>
      </x:c>
      <x:c r="E2655" s="11" t="str">
        <x:v>West</x:v>
      </x:c>
      <x:c r="F2655" s="11" t="str">
        <x:v>Furniture</x:v>
      </x:c>
      <x:c r="G2655" s="11" t="str">
        <x:v>Chair</x:v>
      </x:c>
      <x:c r="H2655" s="11" t="n">
        <x:v>4</x:v>
      </x:c>
      <x:c r="I2655" s="19" t="n">
        <x:v>0.25</x:v>
      </x:c>
      <x:c r="J2655" s="11" t="n">
        <x:v>0</x:v>
      </x:c>
      <x:c r="K2655" s="20" t="n">
        <x:v>680</x:v>
      </x:c>
      <x:c r="L2655" s="20" t="n">
        <x:v>170</x:v>
      </x:c>
      <x:c r="M2655" s="20" t="n">
        <x:v>440</x:v>
      </x:c>
      <x:c r="N2655" s="20" t="n">
        <x:f>IF(J2655=1,0,K2655-L2655)</x:f>
        <x:v>510</x:v>
      </x:c>
      <x:c r="O2655" s="20" t="n">
        <x:f>N2655-M2655</x:f>
        <x:v>70</x:v>
      </x:c>
    </x:row>
    <x:row r="2656" ht="22" customHeight="1">
      <x:c r="A2656" s="11" t="n">
        <x:v>2652</x:v>
      </x:c>
      <x:c r="B2656" s="11" t="n">
        <x:v>1337</x:v>
      </x:c>
      <x:c r="C2656" s="18" t="n">
        <x:v>45435</x:v>
      </x:c>
      <x:c r="D2656" s="11" t="str">
        <x:v>2024-05</x:v>
      </x:c>
      <x:c r="E2656" s="11" t="str">
        <x:v>East</x:v>
      </x:c>
      <x:c r="F2656" s="11" t="str">
        <x:v>Furniture</x:v>
      </x:c>
      <x:c r="G2656" s="11" t="str">
        <x:v>Desk</x:v>
      </x:c>
      <x:c r="H2656" s="11" t="n">
        <x:v>1</x:v>
      </x:c>
      <x:c r="I2656" s="19" t="n">
        <x:v>0.1</x:v>
      </x:c>
      <x:c r="J2656" s="11" t="n">
        <x:v>0</x:v>
      </x:c>
      <x:c r="K2656" s="20" t="n">
        <x:v>280</x:v>
      </x:c>
      <x:c r="L2656" s="20" t="n">
        <x:v>28</x:v>
      </x:c>
      <x:c r="M2656" s="20" t="n">
        <x:v>190</x:v>
      </x:c>
      <x:c r="N2656" s="20" t="n">
        <x:f>IF(J2656=1,0,K2656-L2656)</x:f>
        <x:v>252</x:v>
      </x:c>
      <x:c r="O2656" s="20" t="n">
        <x:f>N2656-M2656</x:f>
        <x:v>62</x:v>
      </x:c>
    </x:row>
    <x:row r="2657" ht="22" customHeight="1">
      <x:c r="A2657" s="11" t="n">
        <x:v>2653</x:v>
      </x:c>
      <x:c r="B2657" s="11" t="n">
        <x:v>1337</x:v>
      </x:c>
      <x:c r="C2657" s="18" t="n">
        <x:v>45435</x:v>
      </x:c>
      <x:c r="D2657" s="11" t="str">
        <x:v>2024-05</x:v>
      </x:c>
      <x:c r="E2657" s="11" t="str">
        <x:v>East</x:v>
      </x:c>
      <x:c r="F2657" s="11" t="str">
        <x:v>Office Supplies</x:v>
      </x:c>
      <x:c r="G2657" s="11" t="str">
        <x:v>Storage box</x:v>
      </x:c>
      <x:c r="H2657" s="11" t="n">
        <x:v>5</x:v>
      </x:c>
      <x:c r="I2657" s="19" t="n">
        <x:v>0.05</x:v>
      </x:c>
      <x:c r="J2657" s="11" t="n">
        <x:v>0</x:v>
      </x:c>
      <x:c r="K2657" s="20" t="n">
        <x:v>130</x:v>
      </x:c>
      <x:c r="L2657" s="20" t="n">
        <x:v>6.5</x:v>
      </x:c>
      <x:c r="M2657" s="20" t="n">
        <x:v>60</x:v>
      </x:c>
      <x:c r="N2657" s="20" t="n">
        <x:f>IF(J2657=1,0,K2657-L2657)</x:f>
        <x:v>123.5</x:v>
      </x:c>
      <x:c r="O2657" s="20" t="n">
        <x:f>N2657-M2657</x:f>
        <x:v>63.5</x:v>
      </x:c>
    </x:row>
    <x:row r="2658" ht="22" customHeight="1">
      <x:c r="A2658" s="11" t="n">
        <x:v>2654</x:v>
      </x:c>
      <x:c r="B2658" s="11" t="n">
        <x:v>1338</x:v>
      </x:c>
      <x:c r="C2658" s="18" t="n">
        <x:v>45390</x:v>
      </x:c>
      <x:c r="D2658" s="11" t="str">
        <x:v>2024-04</x:v>
      </x:c>
      <x:c r="E2658" s="11" t="str">
        <x:v>Central</x:v>
      </x:c>
      <x:c r="F2658" s="11" t="str">
        <x:v>Furniture</x:v>
      </x:c>
      <x:c r="G2658" s="11" t="str">
        <x:v>Desk</x:v>
      </x:c>
      <x:c r="H2658" s="11" t="n">
        <x:v>5</x:v>
      </x:c>
      <x:c r="I2658" s="19" t="n">
        <x:v>0</x:v>
      </x:c>
      <x:c r="J2658" s="11" t="n">
        <x:v>1</x:v>
      </x:c>
      <x:c r="K2658" s="20" t="n">
        <x:v>1400</x:v>
      </x:c>
      <x:c r="L2658" s="20" t="n">
        <x:v>0</x:v>
      </x:c>
      <x:c r="M2658" s="20" t="n">
        <x:v>0</x:v>
      </x:c>
      <x:c r="N2658" s="20" t="n">
        <x:f>IF(J2658=1,0,K2658-L2658)</x:f>
        <x:v>0</x:v>
      </x:c>
      <x:c r="O2658" s="20" t="n">
        <x:f>N2658-M2658</x:f>
        <x:v>0</x:v>
      </x:c>
    </x:row>
    <x:row r="2659" ht="22" customHeight="1">
      <x:c r="A2659" s="11" t="n">
        <x:v>2655</x:v>
      </x:c>
      <x:c r="B2659" s="11" t="n">
        <x:v>1339</x:v>
      </x:c>
      <x:c r="C2659" s="18" t="n">
        <x:v>45637</x:v>
      </x:c>
      <x:c r="D2659" s="11" t="str">
        <x:v>2024-12</x:v>
      </x:c>
      <x:c r="E2659" s="11" t="str">
        <x:v>West</x:v>
      </x:c>
      <x:c r="F2659" s="11" t="str">
        <x:v>Technology</x:v>
      </x:c>
      <x:c r="G2659" s="11" t="str">
        <x:v>Keyboard</x:v>
      </x:c>
      <x:c r="H2659" s="11" t="n">
        <x:v>2</x:v>
      </x:c>
      <x:c r="I2659" s="19" t="n">
        <x:v>0</x:v>
      </x:c>
      <x:c r="J2659" s="11" t="n">
        <x:v>0</x:v>
      </x:c>
      <x:c r="K2659" s="20" t="n">
        <x:v>130</x:v>
      </x:c>
      <x:c r="L2659" s="20" t="n">
        <x:v>0</x:v>
      </x:c>
      <x:c r="M2659" s="20" t="n">
        <x:v>64</x:v>
      </x:c>
      <x:c r="N2659" s="20" t="n">
        <x:f>IF(J2659=1,0,K2659-L2659)</x:f>
        <x:v>130</x:v>
      </x:c>
      <x:c r="O2659" s="20" t="n">
        <x:f>N2659-M2659</x:f>
        <x:v>66</x:v>
      </x:c>
    </x:row>
    <x:row r="2660" ht="22" customHeight="1">
      <x:c r="A2660" s="11" t="n">
        <x:v>2656</x:v>
      </x:c>
      <x:c r="B2660" s="11" t="n">
        <x:v>1339</x:v>
      </x:c>
      <x:c r="C2660" s="18" t="n">
        <x:v>45637</x:v>
      </x:c>
      <x:c r="D2660" s="11" t="str">
        <x:v>2024-12</x:v>
      </x:c>
      <x:c r="E2660" s="11" t="str">
        <x:v>West</x:v>
      </x:c>
      <x:c r="F2660" s="11" t="str">
        <x:v>Furniture</x:v>
      </x:c>
      <x:c r="G2660" s="11" t="str">
        <x:v>Chair</x:v>
      </x:c>
      <x:c r="H2660" s="11" t="n">
        <x:v>5</x:v>
      </x:c>
      <x:c r="I2660" s="19" t="n">
        <x:v>0.1</x:v>
      </x:c>
      <x:c r="J2660" s="11" t="n">
        <x:v>0</x:v>
      </x:c>
      <x:c r="K2660" s="20" t="n">
        <x:v>850</x:v>
      </x:c>
      <x:c r="L2660" s="20" t="n">
        <x:v>85</x:v>
      </x:c>
      <x:c r="M2660" s="20" t="n">
        <x:v>550</x:v>
      </x:c>
      <x:c r="N2660" s="20" t="n">
        <x:f>IF(J2660=1,0,K2660-L2660)</x:f>
        <x:v>765</x:v>
      </x:c>
      <x:c r="O2660" s="20" t="n">
        <x:f>N2660-M2660</x:f>
        <x:v>215</x:v>
      </x:c>
    </x:row>
    <x:row r="2661" ht="22" customHeight="1">
      <x:c r="A2661" s="11" t="n">
        <x:v>2657</x:v>
      </x:c>
      <x:c r="B2661" s="11" t="n">
        <x:v>1340</x:v>
      </x:c>
      <x:c r="C2661" s="18" t="n">
        <x:v>45654</x:v>
      </x:c>
      <x:c r="D2661" s="11" t="str">
        <x:v>2024-12</x:v>
      </x:c>
      <x:c r="E2661" s="11" t="str">
        <x:v>West</x:v>
      </x:c>
      <x:c r="F2661" s="11" t="str">
        <x:v>Office Supplies</x:v>
      </x:c>
      <x:c r="G2661" s="11" t="str">
        <x:v>Notebook pack</x:v>
      </x:c>
      <x:c r="H2661" s="11" t="n">
        <x:v>5</x:v>
      </x:c>
      <x:c r="I2661" s="19" t="n">
        <x:v>0.05</x:v>
      </x:c>
      <x:c r="J2661" s="11" t="n">
        <x:v>0</x:v>
      </x:c>
      <x:c r="K2661" s="20" t="n">
        <x:v>90</x:v>
      </x:c>
      <x:c r="L2661" s="20" t="n">
        <x:v>4.5</x:v>
      </x:c>
      <x:c r="M2661" s="20" t="n">
        <x:v>35</x:v>
      </x:c>
      <x:c r="N2661" s="20" t="n">
        <x:f>IF(J2661=1,0,K2661-L2661)</x:f>
        <x:v>85.5</x:v>
      </x:c>
      <x:c r="O2661" s="20" t="n">
        <x:f>N2661-M2661</x:f>
        <x:v>50.5</x:v>
      </x:c>
    </x:row>
    <x:row r="2662" ht="22" customHeight="1">
      <x:c r="A2662" s="11" t="n">
        <x:v>2658</x:v>
      </x:c>
      <x:c r="B2662" s="11" t="n">
        <x:v>1341</x:v>
      </x:c>
      <x:c r="C2662" s="18" t="n">
        <x:v>45467</x:v>
      </x:c>
      <x:c r="D2662" s="11" t="str">
        <x:v>2024-06</x:v>
      </x:c>
      <x:c r="E2662" s="11" t="str">
        <x:v>West</x:v>
      </x:c>
      <x:c r="F2662" s="11" t="str">
        <x:v>Office Supplies</x:v>
      </x:c>
      <x:c r="G2662" s="11" t="str">
        <x:v>Notebook pack</x:v>
      </x:c>
      <x:c r="H2662" s="11" t="n">
        <x:v>1</x:v>
      </x:c>
      <x:c r="I2662" s="19" t="n">
        <x:v>0.15</x:v>
      </x:c>
      <x:c r="J2662" s="11" t="n">
        <x:v>0</x:v>
      </x:c>
      <x:c r="K2662" s="20" t="n">
        <x:v>18</x:v>
      </x:c>
      <x:c r="L2662" s="20" t="n">
        <x:v>2.7</x:v>
      </x:c>
      <x:c r="M2662" s="20" t="n">
        <x:v>7</x:v>
      </x:c>
      <x:c r="N2662" s="20" t="n">
        <x:f>IF(J2662=1,0,K2662-L2662)</x:f>
        <x:v>15.3</x:v>
      </x:c>
      <x:c r="O2662" s="20" t="n">
        <x:f>N2662-M2662</x:f>
        <x:v>8.3</x:v>
      </x:c>
    </x:row>
    <x:row r="2663" ht="22" customHeight="1">
      <x:c r="A2663" s="11" t="n">
        <x:v>2659</x:v>
      </x:c>
      <x:c r="B2663" s="11" t="n">
        <x:v>1341</x:v>
      </x:c>
      <x:c r="C2663" s="18" t="n">
        <x:v>45467</x:v>
      </x:c>
      <x:c r="D2663" s="11" t="str">
        <x:v>2024-06</x:v>
      </x:c>
      <x:c r="E2663" s="11" t="str">
        <x:v>West</x:v>
      </x:c>
      <x:c r="F2663" s="11" t="str">
        <x:v>Furniture</x:v>
      </x:c>
      <x:c r="G2663" s="11" t="str">
        <x:v>Desk</x:v>
      </x:c>
      <x:c r="H2663" s="11" t="n">
        <x:v>3</x:v>
      </x:c>
      <x:c r="I2663" s="19" t="n">
        <x:v>0.35</x:v>
      </x:c>
      <x:c r="J2663" s="11" t="n">
        <x:v>0</x:v>
      </x:c>
      <x:c r="K2663" s="20" t="n">
        <x:v>840</x:v>
      </x:c>
      <x:c r="L2663" s="20" t="n">
        <x:v>294</x:v>
      </x:c>
      <x:c r="M2663" s="20" t="n">
        <x:v>570</x:v>
      </x:c>
      <x:c r="N2663" s="20" t="n">
        <x:f>IF(J2663=1,0,K2663-L2663)</x:f>
        <x:v>546</x:v>
      </x:c>
      <x:c r="O2663" s="20" t="n">
        <x:f>N2663-M2663</x:f>
        <x:v>-24</x:v>
      </x:c>
    </x:row>
    <x:row r="2664" ht="22" customHeight="1">
      <x:c r="A2664" s="11" t="n">
        <x:v>2660</x:v>
      </x:c>
      <x:c r="B2664" s="11" t="n">
        <x:v>1341</x:v>
      </x:c>
      <x:c r="C2664" s="18" t="n">
        <x:v>45467</x:v>
      </x:c>
      <x:c r="D2664" s="11" t="str">
        <x:v>2024-06</x:v>
      </x:c>
      <x:c r="E2664" s="11" t="str">
        <x:v>West</x:v>
      </x:c>
      <x:c r="F2664" s="11" t="str">
        <x:v>Furniture</x:v>
      </x:c>
      <x:c r="G2664" s="11" t="str">
        <x:v>Chair</x:v>
      </x:c>
      <x:c r="H2664" s="11" t="n">
        <x:v>2</x:v>
      </x:c>
      <x:c r="I2664" s="19" t="n">
        <x:v>0.25</x:v>
      </x:c>
      <x:c r="J2664" s="11" t="n">
        <x:v>0</x:v>
      </x:c>
      <x:c r="K2664" s="20" t="n">
        <x:v>340</x:v>
      </x:c>
      <x:c r="L2664" s="20" t="n">
        <x:v>85</x:v>
      </x:c>
      <x:c r="M2664" s="20" t="n">
        <x:v>220</x:v>
      </x:c>
      <x:c r="N2664" s="20" t="n">
        <x:f>IF(J2664=1,0,K2664-L2664)</x:f>
        <x:v>255</x:v>
      </x:c>
      <x:c r="O2664" s="20" t="n">
        <x:f>N2664-M2664</x:f>
        <x:v>35</x:v>
      </x:c>
    </x:row>
    <x:row r="2665" ht="22" customHeight="1">
      <x:c r="A2665" s="11" t="n">
        <x:v>2661</x:v>
      </x:c>
      <x:c r="B2665" s="11" t="n">
        <x:v>1342</x:v>
      </x:c>
      <x:c r="C2665" s="18" t="n">
        <x:v>45762</x:v>
      </x:c>
      <x:c r="D2665" s="11" t="str">
        <x:v>2025-04</x:v>
      </x:c>
      <x:c r="E2665" s="11" t="str">
        <x:v>West</x:v>
      </x:c>
      <x:c r="F2665" s="11" t="str">
        <x:v>Furniture</x:v>
      </x:c>
      <x:c r="G2665" s="11" t="str">
        <x:v>Chair</x:v>
      </x:c>
      <x:c r="H2665" s="11" t="n">
        <x:v>3</x:v>
      </x:c>
      <x:c r="I2665" s="19" t="n">
        <x:v>0</x:v>
      </x:c>
      <x:c r="J2665" s="11" t="n">
        <x:v>1</x:v>
      </x:c>
      <x:c r="K2665" s="20" t="n">
        <x:v>510</x:v>
      </x:c>
      <x:c r="L2665" s="20" t="n">
        <x:v>0</x:v>
      </x:c>
      <x:c r="M2665" s="20" t="n">
        <x:v>0</x:v>
      </x:c>
      <x:c r="N2665" s="20" t="n">
        <x:f>IF(J2665=1,0,K2665-L2665)</x:f>
        <x:v>0</x:v>
      </x:c>
      <x:c r="O2665" s="20" t="n">
        <x:f>N2665-M2665</x:f>
        <x:v>0</x:v>
      </x:c>
    </x:row>
    <x:row r="2666" ht="22" customHeight="1">
      <x:c r="A2666" s="11" t="n">
        <x:v>2662</x:v>
      </x:c>
      <x:c r="B2666" s="11" t="n">
        <x:v>1343</x:v>
      </x:c>
      <x:c r="C2666" s="18" t="n">
        <x:v>45979</x:v>
      </x:c>
      <x:c r="D2666" s="11" t="str">
        <x:v>2025-11</x:v>
      </x:c>
      <x:c r="E2666" s="11" t="str">
        <x:v>East</x:v>
      </x:c>
      <x:c r="F2666" s="11" t="str">
        <x:v>Office Supplies</x:v>
      </x:c>
      <x:c r="G2666" s="11" t="str">
        <x:v>Notebook pack</x:v>
      </x:c>
      <x:c r="H2666" s="11" t="n">
        <x:v>2</x:v>
      </x:c>
      <x:c r="I2666" s="19" t="n">
        <x:v>0</x:v>
      </x:c>
      <x:c r="J2666" s="11" t="n">
        <x:v>0</x:v>
      </x:c>
      <x:c r="K2666" s="20" t="n">
        <x:v>36</x:v>
      </x:c>
      <x:c r="L2666" s="20" t="n">
        <x:v>0</x:v>
      </x:c>
      <x:c r="M2666" s="20" t="n">
        <x:v>14</x:v>
      </x:c>
      <x:c r="N2666" s="20" t="n">
        <x:f>IF(J2666=1,0,K2666-L2666)</x:f>
        <x:v>36</x:v>
      </x:c>
      <x:c r="O2666" s="20" t="n">
        <x:f>N2666-M2666</x:f>
        <x:v>22</x:v>
      </x:c>
    </x:row>
    <x:row r="2667" ht="22" customHeight="1">
      <x:c r="A2667" s="11" t="n">
        <x:v>2663</x:v>
      </x:c>
      <x:c r="B2667" s="11" t="n">
        <x:v>1343</x:v>
      </x:c>
      <x:c r="C2667" s="18" t="n">
        <x:v>45979</x:v>
      </x:c>
      <x:c r="D2667" s="11" t="str">
        <x:v>2025-11</x:v>
      </x:c>
      <x:c r="E2667" s="11" t="str">
        <x:v>East</x:v>
      </x:c>
      <x:c r="F2667" s="11" t="str">
        <x:v>Technology</x:v>
      </x:c>
      <x:c r="G2667" s="11" t="str">
        <x:v>Keyboard</x:v>
      </x:c>
      <x:c r="H2667" s="11" t="n">
        <x:v>1</x:v>
      </x:c>
      <x:c r="I2667" s="19" t="n">
        <x:v>0.1</x:v>
      </x:c>
      <x:c r="J2667" s="11" t="n">
        <x:v>0</x:v>
      </x:c>
      <x:c r="K2667" s="20" t="n">
        <x:v>65</x:v>
      </x:c>
      <x:c r="L2667" s="20" t="n">
        <x:v>6.5</x:v>
      </x:c>
      <x:c r="M2667" s="20" t="n">
        <x:v>32</x:v>
      </x:c>
      <x:c r="N2667" s="20" t="n">
        <x:f>IF(J2667=1,0,K2667-L2667)</x:f>
        <x:v>58.5</x:v>
      </x:c>
      <x:c r="O2667" s="20" t="n">
        <x:f>N2667-M2667</x:f>
        <x:v>26.5</x:v>
      </x:c>
    </x:row>
    <x:row r="2668" ht="22" customHeight="1">
      <x:c r="A2668" s="11" t="n">
        <x:v>2664</x:v>
      </x:c>
      <x:c r="B2668" s="11" t="n">
        <x:v>1343</x:v>
      </x:c>
      <x:c r="C2668" s="18" t="n">
        <x:v>45979</x:v>
      </x:c>
      <x:c r="D2668" s="11" t="str">
        <x:v>2025-11</x:v>
      </x:c>
      <x:c r="E2668" s="11" t="str">
        <x:v>East</x:v>
      </x:c>
      <x:c r="F2668" s="11" t="str">
        <x:v>Office Supplies</x:v>
      </x:c>
      <x:c r="G2668" s="11" t="str">
        <x:v>Storage box</x:v>
      </x:c>
      <x:c r="H2668" s="11" t="n">
        <x:v>4</x:v>
      </x:c>
      <x:c r="I2668" s="19" t="n">
        <x:v>0</x:v>
      </x:c>
      <x:c r="J2668" s="11" t="n">
        <x:v>0</x:v>
      </x:c>
      <x:c r="K2668" s="20" t="n">
        <x:v>104</x:v>
      </x:c>
      <x:c r="L2668" s="20" t="n">
        <x:v>0</x:v>
      </x:c>
      <x:c r="M2668" s="20" t="n">
        <x:v>48</x:v>
      </x:c>
      <x:c r="N2668" s="20" t="n">
        <x:f>IF(J2668=1,0,K2668-L2668)</x:f>
        <x:v>104</x:v>
      </x:c>
      <x:c r="O2668" s="20" t="n">
        <x:f>N2668-M2668</x:f>
        <x:v>56</x:v>
      </x:c>
    </x:row>
    <x:row r="2669" ht="22" customHeight="1">
      <x:c r="A2669" s="11" t="n">
        <x:v>2665</x:v>
      </x:c>
      <x:c r="B2669" s="11" t="n">
        <x:v>1344</x:v>
      </x:c>
      <x:c r="C2669" s="18" t="n">
        <x:v>45685</x:v>
      </x:c>
      <x:c r="D2669" s="11" t="str">
        <x:v>2025-01</x:v>
      </x:c>
      <x:c r="E2669" s="11" t="str">
        <x:v>East</x:v>
      </x:c>
      <x:c r="F2669" s="11" t="str">
        <x:v>Office Supplies</x:v>
      </x:c>
      <x:c r="G2669" s="11" t="str">
        <x:v>Notebook pack</x:v>
      </x:c>
      <x:c r="H2669" s="11" t="n">
        <x:v>3</x:v>
      </x:c>
      <x:c r="I2669" s="19" t="n">
        <x:v>0</x:v>
      </x:c>
      <x:c r="J2669" s="11" t="n">
        <x:v>0</x:v>
      </x:c>
      <x:c r="K2669" s="20" t="n">
        <x:v>54</x:v>
      </x:c>
      <x:c r="L2669" s="20" t="n">
        <x:v>0</x:v>
      </x:c>
      <x:c r="M2669" s="20" t="n">
        <x:v>21</x:v>
      </x:c>
      <x:c r="N2669" s="20" t="n">
        <x:f>IF(J2669=1,0,K2669-L2669)</x:f>
        <x:v>54</x:v>
      </x:c>
      <x:c r="O2669" s="20" t="n">
        <x:f>N2669-M2669</x:f>
        <x:v>33</x:v>
      </x:c>
    </x:row>
    <x:row r="2670" ht="22" customHeight="1">
      <x:c r="A2670" s="11" t="n">
        <x:v>2666</x:v>
      </x:c>
      <x:c r="B2670" s="11" t="n">
        <x:v>1345</x:v>
      </x:c>
      <x:c r="C2670" s="18" t="n">
        <x:v>45795</x:v>
      </x:c>
      <x:c r="D2670" s="11" t="str">
        <x:v>2025-05</x:v>
      </x:c>
      <x:c r="E2670" s="11" t="str">
        <x:v>Central</x:v>
      </x:c>
      <x:c r="F2670" s="11" t="str">
        <x:v>Furniture</x:v>
      </x:c>
      <x:c r="G2670" s="11" t="str">
        <x:v>Desk</x:v>
      </x:c>
      <x:c r="H2670" s="11" t="n">
        <x:v>5</x:v>
      </x:c>
      <x:c r="I2670" s="19" t="n">
        <x:v>0.25</x:v>
      </x:c>
      <x:c r="J2670" s="11" t="n">
        <x:v>0</x:v>
      </x:c>
      <x:c r="K2670" s="20" t="n">
        <x:v>1400</x:v>
      </x:c>
      <x:c r="L2670" s="20" t="n">
        <x:v>350</x:v>
      </x:c>
      <x:c r="M2670" s="20" t="n">
        <x:v>950</x:v>
      </x:c>
      <x:c r="N2670" s="20" t="n">
        <x:f>IF(J2670=1,0,K2670-L2670)</x:f>
        <x:v>1050</x:v>
      </x:c>
      <x:c r="O2670" s="20" t="n">
        <x:f>N2670-M2670</x:f>
        <x:v>100</x:v>
      </x:c>
    </x:row>
    <x:row r="2671" ht="22" customHeight="1">
      <x:c r="A2671" s="11" t="n">
        <x:v>2667</x:v>
      </x:c>
      <x:c r="B2671" s="11" t="n">
        <x:v>1345</x:v>
      </x:c>
      <x:c r="C2671" s="18" t="n">
        <x:v>45795</x:v>
      </x:c>
      <x:c r="D2671" s="11" t="str">
        <x:v>2025-05</x:v>
      </x:c>
      <x:c r="E2671" s="11" t="str">
        <x:v>Central</x:v>
      </x:c>
      <x:c r="F2671" s="11" t="str">
        <x:v>Technology</x:v>
      </x:c>
      <x:c r="G2671" s="11" t="str">
        <x:v>Keyboard</x:v>
      </x:c>
      <x:c r="H2671" s="11" t="n">
        <x:v>5</x:v>
      </x:c>
      <x:c r="I2671" s="19" t="n">
        <x:v>0</x:v>
      </x:c>
      <x:c r="J2671" s="11" t="n">
        <x:v>0</x:v>
      </x:c>
      <x:c r="K2671" s="20" t="n">
        <x:v>325</x:v>
      </x:c>
      <x:c r="L2671" s="20" t="n">
        <x:v>0</x:v>
      </x:c>
      <x:c r="M2671" s="20" t="n">
        <x:v>160</x:v>
      </x:c>
      <x:c r="N2671" s="20" t="n">
        <x:f>IF(J2671=1,0,K2671-L2671)</x:f>
        <x:v>325</x:v>
      </x:c>
      <x:c r="O2671" s="20" t="n">
        <x:f>N2671-M2671</x:f>
        <x:v>165</x:v>
      </x:c>
    </x:row>
    <x:row r="2672" ht="22" customHeight="1">
      <x:c r="A2672" s="11" t="n">
        <x:v>2668</x:v>
      </x:c>
      <x:c r="B2672" s="11" t="n">
        <x:v>1346</x:v>
      </x:c>
      <x:c r="C2672" s="18" t="n">
        <x:v>46012</x:v>
      </x:c>
      <x:c r="D2672" s="11" t="str">
        <x:v>2025-12</x:v>
      </x:c>
      <x:c r="E2672" s="11" t="str">
        <x:v>South</x:v>
      </x:c>
      <x:c r="F2672" s="11" t="str">
        <x:v>Technology</x:v>
      </x:c>
      <x:c r="G2672" s="11" t="str">
        <x:v>Keyboard</x:v>
      </x:c>
      <x:c r="H2672" s="11" t="n">
        <x:v>2</x:v>
      </x:c>
      <x:c r="I2672" s="19" t="n">
        <x:v>0</x:v>
      </x:c>
      <x:c r="J2672" s="11" t="n">
        <x:v>0</x:v>
      </x:c>
      <x:c r="K2672" s="20" t="n">
        <x:v>130</x:v>
      </x:c>
      <x:c r="L2672" s="20" t="n">
        <x:v>0</x:v>
      </x:c>
      <x:c r="M2672" s="20" t="n">
        <x:v>64</x:v>
      </x:c>
      <x:c r="N2672" s="20" t="n">
        <x:f>IF(J2672=1,0,K2672-L2672)</x:f>
        <x:v>130</x:v>
      </x:c>
      <x:c r="O2672" s="20" t="n">
        <x:f>N2672-M2672</x:f>
        <x:v>66</x:v>
      </x:c>
    </x:row>
    <x:row r="2673" ht="22" customHeight="1">
      <x:c r="A2673" s="11" t="n">
        <x:v>2669</x:v>
      </x:c>
      <x:c r="B2673" s="11" t="n">
        <x:v>1347</x:v>
      </x:c>
      <x:c r="C2673" s="18" t="n">
        <x:v>45706</x:v>
      </x:c>
      <x:c r="D2673" s="11" t="str">
        <x:v>2025-02</x:v>
      </x:c>
      <x:c r="E2673" s="11" t="str">
        <x:v>South</x:v>
      </x:c>
      <x:c r="F2673" s="11" t="str">
        <x:v>Technology</x:v>
      </x:c>
      <x:c r="G2673" s="11" t="str">
        <x:v>Monitor</x:v>
      </x:c>
      <x:c r="H2673" s="11" t="n">
        <x:v>5</x:v>
      </x:c>
      <x:c r="I2673" s="19" t="n">
        <x:v>0.1</x:v>
      </x:c>
      <x:c r="J2673" s="11" t="n">
        <x:v>0</x:v>
      </x:c>
      <x:c r="K2673" s="20" t="n">
        <x:v>1200</x:v>
      </x:c>
      <x:c r="L2673" s="20" t="n">
        <x:v>120</x:v>
      </x:c>
      <x:c r="M2673" s="20" t="n">
        <x:v>800</x:v>
      </x:c>
      <x:c r="N2673" s="20" t="n">
        <x:f>IF(J2673=1,0,K2673-L2673)</x:f>
        <x:v>1080</x:v>
      </x:c>
      <x:c r="O2673" s="20" t="n">
        <x:f>N2673-M2673</x:f>
        <x:v>280</x:v>
      </x:c>
    </x:row>
    <x:row r="2674" ht="22" customHeight="1">
      <x:c r="A2674" s="11" t="n">
        <x:v>2670</x:v>
      </x:c>
      <x:c r="B2674" s="11" t="n">
        <x:v>1347</x:v>
      </x:c>
      <x:c r="C2674" s="18" t="n">
        <x:v>45706</x:v>
      </x:c>
      <x:c r="D2674" s="11" t="str">
        <x:v>2025-02</x:v>
      </x:c>
      <x:c r="E2674" s="11" t="str">
        <x:v>South</x:v>
      </x:c>
      <x:c r="F2674" s="11" t="str">
        <x:v>Furniture</x:v>
      </x:c>
      <x:c r="G2674" s="11" t="str">
        <x:v>Chair</x:v>
      </x:c>
      <x:c r="H2674" s="11" t="n">
        <x:v>5</x:v>
      </x:c>
      <x:c r="I2674" s="19" t="n">
        <x:v>0.05</x:v>
      </x:c>
      <x:c r="J2674" s="11" t="n">
        <x:v>0</x:v>
      </x:c>
      <x:c r="K2674" s="20" t="n">
        <x:v>850</x:v>
      </x:c>
      <x:c r="L2674" s="20" t="n">
        <x:v>42.5</x:v>
      </x:c>
      <x:c r="M2674" s="20" t="n">
        <x:v>550</x:v>
      </x:c>
      <x:c r="N2674" s="20" t="n">
        <x:f>IF(J2674=1,0,K2674-L2674)</x:f>
        <x:v>807.5</x:v>
      </x:c>
      <x:c r="O2674" s="20" t="n">
        <x:f>N2674-M2674</x:f>
        <x:v>257.5</x:v>
      </x:c>
    </x:row>
    <x:row r="2675" ht="22" customHeight="1">
      <x:c r="A2675" s="11" t="n">
        <x:v>2671</x:v>
      </x:c>
      <x:c r="B2675" s="11" t="n">
        <x:v>1347</x:v>
      </x:c>
      <x:c r="C2675" s="18" t="n">
        <x:v>45706</x:v>
      </x:c>
      <x:c r="D2675" s="11" t="str">
        <x:v>2025-02</x:v>
      </x:c>
      <x:c r="E2675" s="11" t="str">
        <x:v>South</x:v>
      </x:c>
      <x:c r="F2675" s="11" t="str">
        <x:v>Technology</x:v>
      </x:c>
      <x:c r="G2675" s="11" t="str">
        <x:v>Keyboard</x:v>
      </x:c>
      <x:c r="H2675" s="11" t="n">
        <x:v>1</x:v>
      </x:c>
      <x:c r="I2675" s="19" t="n">
        <x:v>0.1</x:v>
      </x:c>
      <x:c r="J2675" s="11" t="n">
        <x:v>0</x:v>
      </x:c>
      <x:c r="K2675" s="20" t="n">
        <x:v>65</x:v>
      </x:c>
      <x:c r="L2675" s="20" t="n">
        <x:v>6.5</x:v>
      </x:c>
      <x:c r="M2675" s="20" t="n">
        <x:v>32</x:v>
      </x:c>
      <x:c r="N2675" s="20" t="n">
        <x:f>IF(J2675=1,0,K2675-L2675)</x:f>
        <x:v>58.5</x:v>
      </x:c>
      <x:c r="O2675" s="20" t="n">
        <x:f>N2675-M2675</x:f>
        <x:v>26.5</x:v>
      </x:c>
    </x:row>
    <x:row r="2676" ht="22" customHeight="1">
      <x:c r="A2676" s="11" t="n">
        <x:v>2672</x:v>
      </x:c>
      <x:c r="B2676" s="11" t="n">
        <x:v>1348</x:v>
      </x:c>
      <x:c r="C2676" s="18" t="n">
        <x:v>45314</x:v>
      </x:c>
      <x:c r="D2676" s="11" t="str">
        <x:v>2024-01</x:v>
      </x:c>
      <x:c r="E2676" s="11" t="str">
        <x:v>South</x:v>
      </x:c>
      <x:c r="F2676" s="11" t="str">
        <x:v>Technology</x:v>
      </x:c>
      <x:c r="G2676" s="11" t="str">
        <x:v>Keyboard</x:v>
      </x:c>
      <x:c r="H2676" s="11" t="n">
        <x:v>4</x:v>
      </x:c>
      <x:c r="I2676" s="19" t="n">
        <x:v>0.1</x:v>
      </x:c>
      <x:c r="J2676" s="11" t="n">
        <x:v>0</x:v>
      </x:c>
      <x:c r="K2676" s="20" t="n">
        <x:v>260</x:v>
      </x:c>
      <x:c r="L2676" s="20" t="n">
        <x:v>26</x:v>
      </x:c>
      <x:c r="M2676" s="20" t="n">
        <x:v>128</x:v>
      </x:c>
      <x:c r="N2676" s="20" t="n">
        <x:f>IF(J2676=1,0,K2676-L2676)</x:f>
        <x:v>234</x:v>
      </x:c>
      <x:c r="O2676" s="20" t="n">
        <x:f>N2676-M2676</x:f>
        <x:v>106</x:v>
      </x:c>
    </x:row>
    <x:row r="2677" ht="22" customHeight="1">
      <x:c r="A2677" s="11" t="n">
        <x:v>2673</x:v>
      </x:c>
      <x:c r="B2677" s="11" t="n">
        <x:v>1348</x:v>
      </x:c>
      <x:c r="C2677" s="18" t="n">
        <x:v>45314</x:v>
      </x:c>
      <x:c r="D2677" s="11" t="str">
        <x:v>2024-01</x:v>
      </x:c>
      <x:c r="E2677" s="11" t="str">
        <x:v>South</x:v>
      </x:c>
      <x:c r="F2677" s="11" t="str">
        <x:v>Furniture</x:v>
      </x:c>
      <x:c r="G2677" s="11" t="str">
        <x:v>Desk</x:v>
      </x:c>
      <x:c r="H2677" s="11" t="n">
        <x:v>4</x:v>
      </x:c>
      <x:c r="I2677" s="19" t="n">
        <x:v>0</x:v>
      </x:c>
      <x:c r="J2677" s="11" t="n">
        <x:v>0</x:v>
      </x:c>
      <x:c r="K2677" s="20" t="n">
        <x:v>1120</x:v>
      </x:c>
      <x:c r="L2677" s="20" t="n">
        <x:v>0</x:v>
      </x:c>
      <x:c r="M2677" s="20" t="n">
        <x:v>760</x:v>
      </x:c>
      <x:c r="N2677" s="20" t="n">
        <x:f>IF(J2677=1,0,K2677-L2677)</x:f>
        <x:v>1120</x:v>
      </x:c>
      <x:c r="O2677" s="20" t="n">
        <x:f>N2677-M2677</x:f>
        <x:v>360</x:v>
      </x:c>
    </x:row>
    <x:row r="2678" ht="22" customHeight="1">
      <x:c r="A2678" s="11" t="n">
        <x:v>2674</x:v>
      </x:c>
      <x:c r="B2678" s="11" t="n">
        <x:v>1349</x:v>
      </x:c>
      <x:c r="C2678" s="18" t="n">
        <x:v>45648</x:v>
      </x:c>
      <x:c r="D2678" s="11" t="str">
        <x:v>2024-12</x:v>
      </x:c>
      <x:c r="E2678" s="11" t="str">
        <x:v>Central</x:v>
      </x:c>
      <x:c r="F2678" s="11" t="str">
        <x:v>Technology</x:v>
      </x:c>
      <x:c r="G2678" s="11" t="str">
        <x:v>Monitor</x:v>
      </x:c>
      <x:c r="H2678" s="11" t="n">
        <x:v>2</x:v>
      </x:c>
      <x:c r="I2678" s="19" t="n">
        <x:v>0</x:v>
      </x:c>
      <x:c r="J2678" s="11" t="n">
        <x:v>0</x:v>
      </x:c>
      <x:c r="K2678" s="20" t="n">
        <x:v>480</x:v>
      </x:c>
      <x:c r="L2678" s="20" t="n">
        <x:v>0</x:v>
      </x:c>
      <x:c r="M2678" s="20" t="n">
        <x:v>320</x:v>
      </x:c>
      <x:c r="N2678" s="20" t="n">
        <x:f>IF(J2678=1,0,K2678-L2678)</x:f>
        <x:v>480</x:v>
      </x:c>
      <x:c r="O2678" s="20" t="n">
        <x:f>N2678-M2678</x:f>
        <x:v>160</x:v>
      </x:c>
    </x:row>
    <x:row r="2679" ht="22" customHeight="1">
      <x:c r="A2679" s="11" t="n">
        <x:v>2675</x:v>
      </x:c>
      <x:c r="B2679" s="11" t="n">
        <x:v>1349</x:v>
      </x:c>
      <x:c r="C2679" s="18" t="n">
        <x:v>45648</x:v>
      </x:c>
      <x:c r="D2679" s="11" t="str">
        <x:v>2024-12</x:v>
      </x:c>
      <x:c r="E2679" s="11" t="str">
        <x:v>Central</x:v>
      </x:c>
      <x:c r="F2679" s="11" t="str">
        <x:v>Technology</x:v>
      </x:c>
      <x:c r="G2679" s="11" t="str">
        <x:v>Keyboard</x:v>
      </x:c>
      <x:c r="H2679" s="11" t="n">
        <x:v>5</x:v>
      </x:c>
      <x:c r="I2679" s="19" t="n">
        <x:v>0.15</x:v>
      </x:c>
      <x:c r="J2679" s="11" t="n">
        <x:v>0</x:v>
      </x:c>
      <x:c r="K2679" s="20" t="n">
        <x:v>325</x:v>
      </x:c>
      <x:c r="L2679" s="20" t="n">
        <x:v>48.75</x:v>
      </x:c>
      <x:c r="M2679" s="20" t="n">
        <x:v>160</x:v>
      </x:c>
      <x:c r="N2679" s="20" t="n">
        <x:f>IF(J2679=1,0,K2679-L2679)</x:f>
        <x:v>276.25</x:v>
      </x:c>
      <x:c r="O2679" s="20" t="n">
        <x:f>N2679-M2679</x:f>
        <x:v>116.25</x:v>
      </x:c>
    </x:row>
    <x:row r="2680" ht="22" customHeight="1">
      <x:c r="A2680" s="11" t="n">
        <x:v>2676</x:v>
      </x:c>
      <x:c r="B2680" s="11" t="n">
        <x:v>1350</x:v>
      </x:c>
      <x:c r="C2680" s="18" t="n">
        <x:v>45492</x:v>
      </x:c>
      <x:c r="D2680" s="11" t="str">
        <x:v>2024-07</x:v>
      </x:c>
      <x:c r="E2680" s="11" t="str">
        <x:v>South</x:v>
      </x:c>
      <x:c r="F2680" s="11" t="str">
        <x:v>Furniture</x:v>
      </x:c>
      <x:c r="G2680" s="11" t="str">
        <x:v>Desk</x:v>
      </x:c>
      <x:c r="H2680" s="11" t="n">
        <x:v>1</x:v>
      </x:c>
      <x:c r="I2680" s="19" t="n">
        <x:v>0</x:v>
      </x:c>
      <x:c r="J2680" s="11" t="n">
        <x:v>0</x:v>
      </x:c>
      <x:c r="K2680" s="20" t="n">
        <x:v>280</x:v>
      </x:c>
      <x:c r="L2680" s="20" t="n">
        <x:v>0</x:v>
      </x:c>
      <x:c r="M2680" s="20" t="n">
        <x:v>190</x:v>
      </x:c>
      <x:c r="N2680" s="20" t="n">
        <x:f>IF(J2680=1,0,K2680-L2680)</x:f>
        <x:v>280</x:v>
      </x:c>
      <x:c r="O2680" s="20" t="n">
        <x:f>N2680-M2680</x:f>
        <x:v>90</x:v>
      </x:c>
    </x:row>
    <x:row r="2681" ht="22" customHeight="1">
      <x:c r="A2681" s="11" t="n">
        <x:v>2677</x:v>
      </x:c>
      <x:c r="B2681" s="11" t="n">
        <x:v>1350</x:v>
      </x:c>
      <x:c r="C2681" s="18" t="n">
        <x:v>45492</x:v>
      </x:c>
      <x:c r="D2681" s="11" t="str">
        <x:v>2024-07</x:v>
      </x:c>
      <x:c r="E2681" s="11" t="str">
        <x:v>South</x:v>
      </x:c>
      <x:c r="F2681" s="11" t="str">
        <x:v>Furniture</x:v>
      </x:c>
      <x:c r="G2681" s="11" t="str">
        <x:v>Chair</x:v>
      </x:c>
      <x:c r="H2681" s="11" t="n">
        <x:v>5</x:v>
      </x:c>
      <x:c r="I2681" s="19" t="n">
        <x:v>0</x:v>
      </x:c>
      <x:c r="J2681" s="11" t="n">
        <x:v>0</x:v>
      </x:c>
      <x:c r="K2681" s="20" t="n">
        <x:v>850</x:v>
      </x:c>
      <x:c r="L2681" s="20" t="n">
        <x:v>0</x:v>
      </x:c>
      <x:c r="M2681" s="20" t="n">
        <x:v>550</x:v>
      </x:c>
      <x:c r="N2681" s="20" t="n">
        <x:f>IF(J2681=1,0,K2681-L2681)</x:f>
        <x:v>850</x:v>
      </x:c>
      <x:c r="O2681" s="20" t="n">
        <x:f>N2681-M2681</x:f>
        <x:v>300</x:v>
      </x:c>
    </x:row>
    <x:row r="2682" ht="22" customHeight="1">
      <x:c r="A2682" s="11" t="n">
        <x:v>2678</x:v>
      </x:c>
      <x:c r="B2682" s="11" t="n">
        <x:v>1351</x:v>
      </x:c>
      <x:c r="C2682" s="18" t="n">
        <x:v>45829</x:v>
      </x:c>
      <x:c r="D2682" s="11" t="str">
        <x:v>2025-06</x:v>
      </x:c>
      <x:c r="E2682" s="11" t="str">
        <x:v>West</x:v>
      </x:c>
      <x:c r="F2682" s="11" t="str">
        <x:v>Technology</x:v>
      </x:c>
      <x:c r="G2682" s="11" t="str">
        <x:v>Monitor</x:v>
      </x:c>
      <x:c r="H2682" s="11" t="n">
        <x:v>2</x:v>
      </x:c>
      <x:c r="I2682" s="19" t="n">
        <x:v>0.1</x:v>
      </x:c>
      <x:c r="J2682" s="11" t="n">
        <x:v>0</x:v>
      </x:c>
      <x:c r="K2682" s="20" t="n">
        <x:v>480</x:v>
      </x:c>
      <x:c r="L2682" s="20" t="n">
        <x:v>48</x:v>
      </x:c>
      <x:c r="M2682" s="20" t="n">
        <x:v>320</x:v>
      </x:c>
      <x:c r="N2682" s="20" t="n">
        <x:f>IF(J2682=1,0,K2682-L2682)</x:f>
        <x:v>432</x:v>
      </x:c>
      <x:c r="O2682" s="20" t="n">
        <x:f>N2682-M2682</x:f>
        <x:v>112</x:v>
      </x:c>
    </x:row>
    <x:row r="2683" ht="22" customHeight="1">
      <x:c r="A2683" s="11" t="n">
        <x:v>2679</x:v>
      </x:c>
      <x:c r="B2683" s="11" t="n">
        <x:v>1352</x:v>
      </x:c>
      <x:c r="C2683" s="18" t="n">
        <x:v>45482</x:v>
      </x:c>
      <x:c r="D2683" s="11" t="str">
        <x:v>2024-07</x:v>
      </x:c>
      <x:c r="E2683" s="11" t="str">
        <x:v>Central</x:v>
      </x:c>
      <x:c r="F2683" s="11" t="str">
        <x:v>Furniture</x:v>
      </x:c>
      <x:c r="G2683" s="11" t="str">
        <x:v>Chair</x:v>
      </x:c>
      <x:c r="H2683" s="11" t="n">
        <x:v>1</x:v>
      </x:c>
      <x:c r="I2683" s="19" t="n">
        <x:v>0.05</x:v>
      </x:c>
      <x:c r="J2683" s="11" t="n">
        <x:v>0</x:v>
      </x:c>
      <x:c r="K2683" s="20" t="n">
        <x:v>170</x:v>
      </x:c>
      <x:c r="L2683" s="20" t="n">
        <x:v>8.5</x:v>
      </x:c>
      <x:c r="M2683" s="20" t="n">
        <x:v>110</x:v>
      </x:c>
      <x:c r="N2683" s="20" t="n">
        <x:f>IF(J2683=1,0,K2683-L2683)</x:f>
        <x:v>161.5</x:v>
      </x:c>
      <x:c r="O2683" s="20" t="n">
        <x:f>N2683-M2683</x:f>
        <x:v>51.5</x:v>
      </x:c>
    </x:row>
    <x:row r="2684" ht="22" customHeight="1">
      <x:c r="A2684" s="11" t="n">
        <x:v>2680</x:v>
      </x:c>
      <x:c r="B2684" s="11" t="n">
        <x:v>1352</x:v>
      </x:c>
      <x:c r="C2684" s="18" t="n">
        <x:v>45482</x:v>
      </x:c>
      <x:c r="D2684" s="11" t="str">
        <x:v>2024-07</x:v>
      </x:c>
      <x:c r="E2684" s="11" t="str">
        <x:v>Central</x:v>
      </x:c>
      <x:c r="F2684" s="11" t="str">
        <x:v>Office Supplies</x:v>
      </x:c>
      <x:c r="G2684" s="11" t="str">
        <x:v>Notebook pack</x:v>
      </x:c>
      <x:c r="H2684" s="11" t="n">
        <x:v>5</x:v>
      </x:c>
      <x:c r="I2684" s="19" t="n">
        <x:v>0</x:v>
      </x:c>
      <x:c r="J2684" s="11" t="n">
        <x:v>0</x:v>
      </x:c>
      <x:c r="K2684" s="20" t="n">
        <x:v>90</x:v>
      </x:c>
      <x:c r="L2684" s="20" t="n">
        <x:v>0</x:v>
      </x:c>
      <x:c r="M2684" s="20" t="n">
        <x:v>35</x:v>
      </x:c>
      <x:c r="N2684" s="20" t="n">
        <x:f>IF(J2684=1,0,K2684-L2684)</x:f>
        <x:v>90</x:v>
      </x:c>
      <x:c r="O2684" s="20" t="n">
        <x:f>N2684-M2684</x:f>
        <x:v>55</x:v>
      </x:c>
    </x:row>
    <x:row r="2685" ht="22" customHeight="1">
      <x:c r="A2685" s="11" t="n">
        <x:v>2681</x:v>
      </x:c>
      <x:c r="B2685" s="11" t="n">
        <x:v>1353</x:v>
      </x:c>
      <x:c r="C2685" s="18" t="n">
        <x:v>45472</x:v>
      </x:c>
      <x:c r="D2685" s="11" t="str">
        <x:v>2024-06</x:v>
      </x:c>
      <x:c r="E2685" s="11" t="str">
        <x:v>South</x:v>
      </x:c>
      <x:c r="F2685" s="11" t="str">
        <x:v>Furniture</x:v>
      </x:c>
      <x:c r="G2685" s="11" t="str">
        <x:v>Chair</x:v>
      </x:c>
      <x:c r="H2685" s="11" t="n">
        <x:v>1</x:v>
      </x:c>
      <x:c r="I2685" s="19" t="n">
        <x:v>0.05</x:v>
      </x:c>
      <x:c r="J2685" s="11" t="n">
        <x:v>0</x:v>
      </x:c>
      <x:c r="K2685" s="20" t="n">
        <x:v>170</x:v>
      </x:c>
      <x:c r="L2685" s="20" t="n">
        <x:v>8.5</x:v>
      </x:c>
      <x:c r="M2685" s="20" t="n">
        <x:v>110</x:v>
      </x:c>
      <x:c r="N2685" s="20" t="n">
        <x:f>IF(J2685=1,0,K2685-L2685)</x:f>
        <x:v>161.5</x:v>
      </x:c>
      <x:c r="O2685" s="20" t="n">
        <x:f>N2685-M2685</x:f>
        <x:v>51.5</x:v>
      </x:c>
    </x:row>
    <x:row r="2686" ht="22" customHeight="1">
      <x:c r="A2686" s="11" t="n">
        <x:v>2682</x:v>
      </x:c>
      <x:c r="B2686" s="11" t="n">
        <x:v>1353</x:v>
      </x:c>
      <x:c r="C2686" s="18" t="n">
        <x:v>45472</x:v>
      </x:c>
      <x:c r="D2686" s="11" t="str">
        <x:v>2024-06</x:v>
      </x:c>
      <x:c r="E2686" s="11" t="str">
        <x:v>South</x:v>
      </x:c>
      <x:c r="F2686" s="11" t="str">
        <x:v>Office Supplies</x:v>
      </x:c>
      <x:c r="G2686" s="11" t="str">
        <x:v>Storage box</x:v>
      </x:c>
      <x:c r="H2686" s="11" t="n">
        <x:v>1</x:v>
      </x:c>
      <x:c r="I2686" s="19" t="n">
        <x:v>0</x:v>
      </x:c>
      <x:c r="J2686" s="11" t="n">
        <x:v>0</x:v>
      </x:c>
      <x:c r="K2686" s="20" t="n">
        <x:v>26</x:v>
      </x:c>
      <x:c r="L2686" s="20" t="n">
        <x:v>0</x:v>
      </x:c>
      <x:c r="M2686" s="20" t="n">
        <x:v>12</x:v>
      </x:c>
      <x:c r="N2686" s="20" t="n">
        <x:f>IF(J2686=1,0,K2686-L2686)</x:f>
        <x:v>26</x:v>
      </x:c>
      <x:c r="O2686" s="20" t="n">
        <x:f>N2686-M2686</x:f>
        <x:v>14</x:v>
      </x:c>
    </x:row>
    <x:row r="2687" ht="22" customHeight="1">
      <x:c r="A2687" s="11" t="n">
        <x:v>2683</x:v>
      </x:c>
      <x:c r="B2687" s="11" t="n">
        <x:v>1354</x:v>
      </x:c>
      <x:c r="C2687" s="18" t="n">
        <x:v>45567</x:v>
      </x:c>
      <x:c r="D2687" s="11" t="str">
        <x:v>2024-10</x:v>
      </x:c>
      <x:c r="E2687" s="11" t="str">
        <x:v>West</x:v>
      </x:c>
      <x:c r="F2687" s="11" t="str">
        <x:v>Office Supplies</x:v>
      </x:c>
      <x:c r="G2687" s="11" t="str">
        <x:v>Notebook pack</x:v>
      </x:c>
      <x:c r="H2687" s="11" t="n">
        <x:v>2</x:v>
      </x:c>
      <x:c r="I2687" s="19" t="n">
        <x:v>0</x:v>
      </x:c>
      <x:c r="J2687" s="11" t="n">
        <x:v>0</x:v>
      </x:c>
      <x:c r="K2687" s="20" t="n">
        <x:v>36</x:v>
      </x:c>
      <x:c r="L2687" s="20" t="n">
        <x:v>0</x:v>
      </x:c>
      <x:c r="M2687" s="20" t="n">
        <x:v>14</x:v>
      </x:c>
      <x:c r="N2687" s="20" t="n">
        <x:f>IF(J2687=1,0,K2687-L2687)</x:f>
        <x:v>36</x:v>
      </x:c>
      <x:c r="O2687" s="20" t="n">
        <x:f>N2687-M2687</x:f>
        <x:v>22</x:v>
      </x:c>
    </x:row>
    <x:row r="2688" ht="22" customHeight="1">
      <x:c r="A2688" s="11" t="n">
        <x:v>2684</x:v>
      </x:c>
      <x:c r="B2688" s="11" t="n">
        <x:v>1354</x:v>
      </x:c>
      <x:c r="C2688" s="18" t="n">
        <x:v>45567</x:v>
      </x:c>
      <x:c r="D2688" s="11" t="str">
        <x:v>2024-10</x:v>
      </x:c>
      <x:c r="E2688" s="11" t="str">
        <x:v>West</x:v>
      </x:c>
      <x:c r="F2688" s="11" t="str">
        <x:v>Technology</x:v>
      </x:c>
      <x:c r="G2688" s="11" t="str">
        <x:v>Monitor</x:v>
      </x:c>
      <x:c r="H2688" s="11" t="n">
        <x:v>2</x:v>
      </x:c>
      <x:c r="I2688" s="19" t="n">
        <x:v>0</x:v>
      </x:c>
      <x:c r="J2688" s="11" t="n">
        <x:v>0</x:v>
      </x:c>
      <x:c r="K2688" s="20" t="n">
        <x:v>480</x:v>
      </x:c>
      <x:c r="L2688" s="20" t="n">
        <x:v>0</x:v>
      </x:c>
      <x:c r="M2688" s="20" t="n">
        <x:v>320</x:v>
      </x:c>
      <x:c r="N2688" s="20" t="n">
        <x:f>IF(J2688=1,0,K2688-L2688)</x:f>
        <x:v>480</x:v>
      </x:c>
      <x:c r="O2688" s="20" t="n">
        <x:f>N2688-M2688</x:f>
        <x:v>160</x:v>
      </x:c>
    </x:row>
    <x:row r="2689" ht="22" customHeight="1">
      <x:c r="A2689" s="11" t="n">
        <x:v>2685</x:v>
      </x:c>
      <x:c r="B2689" s="11" t="n">
        <x:v>1355</x:v>
      </x:c>
      <x:c r="C2689" s="18" t="n">
        <x:v>45625</x:v>
      </x:c>
      <x:c r="D2689" s="11" t="str">
        <x:v>2024-11</x:v>
      </x:c>
      <x:c r="E2689" s="11" t="str">
        <x:v>South</x:v>
      </x:c>
      <x:c r="F2689" s="11" t="str">
        <x:v>Furniture</x:v>
      </x:c>
      <x:c r="G2689" s="11" t="str">
        <x:v>Desk</x:v>
      </x:c>
      <x:c r="H2689" s="11" t="n">
        <x:v>4</x:v>
      </x:c>
      <x:c r="I2689" s="19" t="n">
        <x:v>0</x:v>
      </x:c>
      <x:c r="J2689" s="11" t="n">
        <x:v>0</x:v>
      </x:c>
      <x:c r="K2689" s="20" t="n">
        <x:v>1120</x:v>
      </x:c>
      <x:c r="L2689" s="20" t="n">
        <x:v>0</x:v>
      </x:c>
      <x:c r="M2689" s="20" t="n">
        <x:v>760</x:v>
      </x:c>
      <x:c r="N2689" s="20" t="n">
        <x:f>IF(J2689=1,0,K2689-L2689)</x:f>
        <x:v>1120</x:v>
      </x:c>
      <x:c r="O2689" s="20" t="n">
        <x:f>N2689-M2689</x:f>
        <x:v>360</x:v>
      </x:c>
    </x:row>
    <x:row r="2690" ht="22" customHeight="1">
      <x:c r="A2690" s="11" t="n">
        <x:v>2686</x:v>
      </x:c>
      <x:c r="B2690" s="11" t="n">
        <x:v>1355</x:v>
      </x:c>
      <x:c r="C2690" s="18" t="n">
        <x:v>45625</x:v>
      </x:c>
      <x:c r="D2690" s="11" t="str">
        <x:v>2024-11</x:v>
      </x:c>
      <x:c r="E2690" s="11" t="str">
        <x:v>South</x:v>
      </x:c>
      <x:c r="F2690" s="11" t="str">
        <x:v>Office Supplies</x:v>
      </x:c>
      <x:c r="G2690" s="11" t="str">
        <x:v>Notebook pack</x:v>
      </x:c>
      <x:c r="H2690" s="11" t="n">
        <x:v>4</x:v>
      </x:c>
      <x:c r="I2690" s="19" t="n">
        <x:v>0</x:v>
      </x:c>
      <x:c r="J2690" s="11" t="n">
        <x:v>0</x:v>
      </x:c>
      <x:c r="K2690" s="20" t="n">
        <x:v>72</x:v>
      </x:c>
      <x:c r="L2690" s="20" t="n">
        <x:v>0</x:v>
      </x:c>
      <x:c r="M2690" s="20" t="n">
        <x:v>28</x:v>
      </x:c>
      <x:c r="N2690" s="20" t="n">
        <x:f>IF(J2690=1,0,K2690-L2690)</x:f>
        <x:v>72</x:v>
      </x:c>
      <x:c r="O2690" s="20" t="n">
        <x:f>N2690-M2690</x:f>
        <x:v>44</x:v>
      </x:c>
    </x:row>
    <x:row r="2691" ht="22" customHeight="1">
      <x:c r="A2691" s="11" t="n">
        <x:v>2687</x:v>
      </x:c>
      <x:c r="B2691" s="11" t="n">
        <x:v>1355</x:v>
      </x:c>
      <x:c r="C2691" s="18" t="n">
        <x:v>45625</x:v>
      </x:c>
      <x:c r="D2691" s="11" t="str">
        <x:v>2024-11</x:v>
      </x:c>
      <x:c r="E2691" s="11" t="str">
        <x:v>South</x:v>
      </x:c>
      <x:c r="F2691" s="11" t="str">
        <x:v>Office Supplies</x:v>
      </x:c>
      <x:c r="G2691" s="11" t="str">
        <x:v>Storage box</x:v>
      </x:c>
      <x:c r="H2691" s="11" t="n">
        <x:v>2</x:v>
      </x:c>
      <x:c r="I2691" s="19" t="n">
        <x:v>0.15</x:v>
      </x:c>
      <x:c r="J2691" s="11" t="n">
        <x:v>0</x:v>
      </x:c>
      <x:c r="K2691" s="20" t="n">
        <x:v>52</x:v>
      </x:c>
      <x:c r="L2691" s="20" t="n">
        <x:v>7.8</x:v>
      </x:c>
      <x:c r="M2691" s="20" t="n">
        <x:v>24</x:v>
      </x:c>
      <x:c r="N2691" s="20" t="n">
        <x:f>IF(J2691=1,0,K2691-L2691)</x:f>
        <x:v>44.2</x:v>
      </x:c>
      <x:c r="O2691" s="20" t="n">
        <x:f>N2691-M2691</x:f>
        <x:v>20.200000000000003</x:v>
      </x:c>
    </x:row>
    <x:row r="2692" ht="22" customHeight="1">
      <x:c r="A2692" s="11" t="n">
        <x:v>2688</x:v>
      </x:c>
      <x:c r="B2692" s="11" t="n">
        <x:v>1356</x:v>
      </x:c>
      <x:c r="C2692" s="18" t="n">
        <x:v>45879</x:v>
      </x:c>
      <x:c r="D2692" s="11" t="str">
        <x:v>2025-08</x:v>
      </x:c>
      <x:c r="E2692" s="11" t="str">
        <x:v>West</x:v>
      </x:c>
      <x:c r="F2692" s="11" t="str">
        <x:v>Technology</x:v>
      </x:c>
      <x:c r="G2692" s="11" t="str">
        <x:v>Keyboard</x:v>
      </x:c>
      <x:c r="H2692" s="11" t="n">
        <x:v>2</x:v>
      </x:c>
      <x:c r="I2692" s="19" t="n">
        <x:v>0</x:v>
      </x:c>
      <x:c r="J2692" s="11" t="n">
        <x:v>0</x:v>
      </x:c>
      <x:c r="K2692" s="20" t="n">
        <x:v>130</x:v>
      </x:c>
      <x:c r="L2692" s="20" t="n">
        <x:v>0</x:v>
      </x:c>
      <x:c r="M2692" s="20" t="n">
        <x:v>64</x:v>
      </x:c>
      <x:c r="N2692" s="20" t="n">
        <x:f>IF(J2692=1,0,K2692-L2692)</x:f>
        <x:v>130</x:v>
      </x:c>
      <x:c r="O2692" s="20" t="n">
        <x:f>N2692-M2692</x:f>
        <x:v>66</x:v>
      </x:c>
    </x:row>
    <x:row r="2693" ht="22" customHeight="1">
      <x:c r="A2693" s="11" t="n">
        <x:v>2689</x:v>
      </x:c>
      <x:c r="B2693" s="11" t="n">
        <x:v>1357</x:v>
      </x:c>
      <x:c r="C2693" s="18" t="n">
        <x:v>45457</x:v>
      </x:c>
      <x:c r="D2693" s="11" t="str">
        <x:v>2024-06</x:v>
      </x:c>
      <x:c r="E2693" s="11" t="str">
        <x:v>West</x:v>
      </x:c>
      <x:c r="F2693" s="11" t="str">
        <x:v>Technology</x:v>
      </x:c>
      <x:c r="G2693" s="11" t="str">
        <x:v>Keyboard</x:v>
      </x:c>
      <x:c r="H2693" s="11" t="n">
        <x:v>2</x:v>
      </x:c>
      <x:c r="I2693" s="19" t="n">
        <x:v>0</x:v>
      </x:c>
      <x:c r="J2693" s="11" t="n">
        <x:v>0</x:v>
      </x:c>
      <x:c r="K2693" s="20" t="n">
        <x:v>130</x:v>
      </x:c>
      <x:c r="L2693" s="20" t="n">
        <x:v>0</x:v>
      </x:c>
      <x:c r="M2693" s="20" t="n">
        <x:v>64</x:v>
      </x:c>
      <x:c r="N2693" s="20" t="n">
        <x:f>IF(J2693=1,0,K2693-L2693)</x:f>
        <x:v>130</x:v>
      </x:c>
      <x:c r="O2693" s="20" t="n">
        <x:f>N2693-M2693</x:f>
        <x:v>66</x:v>
      </x:c>
    </x:row>
    <x:row r="2694" ht="22" customHeight="1">
      <x:c r="A2694" s="11" t="n">
        <x:v>2690</x:v>
      </x:c>
      <x:c r="B2694" s="11" t="n">
        <x:v>1358</x:v>
      </x:c>
      <x:c r="C2694" s="18" t="n">
        <x:v>45833</x:v>
      </x:c>
      <x:c r="D2694" s="11" t="str">
        <x:v>2025-06</x:v>
      </x:c>
      <x:c r="E2694" s="11" t="str">
        <x:v>West</x:v>
      </x:c>
      <x:c r="F2694" s="11" t="str">
        <x:v>Office Supplies</x:v>
      </x:c>
      <x:c r="G2694" s="11" t="str">
        <x:v>Notebook pack</x:v>
      </x:c>
      <x:c r="H2694" s="11" t="n">
        <x:v>5</x:v>
      </x:c>
      <x:c r="I2694" s="19" t="n">
        <x:v>0.05</x:v>
      </x:c>
      <x:c r="J2694" s="11" t="n">
        <x:v>0</x:v>
      </x:c>
      <x:c r="K2694" s="20" t="n">
        <x:v>90</x:v>
      </x:c>
      <x:c r="L2694" s="20" t="n">
        <x:v>4.5</x:v>
      </x:c>
      <x:c r="M2694" s="20" t="n">
        <x:v>35</x:v>
      </x:c>
      <x:c r="N2694" s="20" t="n">
        <x:f>IF(J2694=1,0,K2694-L2694)</x:f>
        <x:v>85.5</x:v>
      </x:c>
      <x:c r="O2694" s="20" t="n">
        <x:f>N2694-M2694</x:f>
        <x:v>50.5</x:v>
      </x:c>
    </x:row>
    <x:row r="2695" ht="22" customHeight="1">
      <x:c r="A2695" s="11" t="n">
        <x:v>2691</x:v>
      </x:c>
      <x:c r="B2695" s="11" t="n">
        <x:v>1358</x:v>
      </x:c>
      <x:c r="C2695" s="18" t="n">
        <x:v>45833</x:v>
      </x:c>
      <x:c r="D2695" s="11" t="str">
        <x:v>2025-06</x:v>
      </x:c>
      <x:c r="E2695" s="11" t="str">
        <x:v>West</x:v>
      </x:c>
      <x:c r="F2695" s="11" t="str">
        <x:v>Technology</x:v>
      </x:c>
      <x:c r="G2695" s="11" t="str">
        <x:v>Keyboard</x:v>
      </x:c>
      <x:c r="H2695" s="11" t="n">
        <x:v>5</x:v>
      </x:c>
      <x:c r="I2695" s="19" t="n">
        <x:v>0.1</x:v>
      </x:c>
      <x:c r="J2695" s="11" t="n">
        <x:v>0</x:v>
      </x:c>
      <x:c r="K2695" s="20" t="n">
        <x:v>325</x:v>
      </x:c>
      <x:c r="L2695" s="20" t="n">
        <x:v>32.5</x:v>
      </x:c>
      <x:c r="M2695" s="20" t="n">
        <x:v>160</x:v>
      </x:c>
      <x:c r="N2695" s="20" t="n">
        <x:f>IF(J2695=1,0,K2695-L2695)</x:f>
        <x:v>292.5</x:v>
      </x:c>
      <x:c r="O2695" s="20" t="n">
        <x:f>N2695-M2695</x:f>
        <x:v>132.5</x:v>
      </x:c>
    </x:row>
    <x:row r="2696" ht="22" customHeight="1">
      <x:c r="A2696" s="11" t="n">
        <x:v>2692</x:v>
      </x:c>
      <x:c r="B2696" s="11" t="n">
        <x:v>1358</x:v>
      </x:c>
      <x:c r="C2696" s="18" t="n">
        <x:v>45833</x:v>
      </x:c>
      <x:c r="D2696" s="11" t="str">
        <x:v>2025-06</x:v>
      </x:c>
      <x:c r="E2696" s="11" t="str">
        <x:v>West</x:v>
      </x:c>
      <x:c r="F2696" s="11" t="str">
        <x:v>Office Supplies</x:v>
      </x:c>
      <x:c r="G2696" s="11" t="str">
        <x:v>Storage box</x:v>
      </x:c>
      <x:c r="H2696" s="11" t="n">
        <x:v>5</x:v>
      </x:c>
      <x:c r="I2696" s="19" t="n">
        <x:v>0.1</x:v>
      </x:c>
      <x:c r="J2696" s="11" t="n">
        <x:v>0</x:v>
      </x:c>
      <x:c r="K2696" s="20" t="n">
        <x:v>130</x:v>
      </x:c>
      <x:c r="L2696" s="20" t="n">
        <x:v>13</x:v>
      </x:c>
      <x:c r="M2696" s="20" t="n">
        <x:v>60</x:v>
      </x:c>
      <x:c r="N2696" s="20" t="n">
        <x:f>IF(J2696=1,0,K2696-L2696)</x:f>
        <x:v>117</x:v>
      </x:c>
      <x:c r="O2696" s="20" t="n">
        <x:f>N2696-M2696</x:f>
        <x:v>57</x:v>
      </x:c>
    </x:row>
    <x:row r="2697" ht="22" customHeight="1">
      <x:c r="A2697" s="11" t="n">
        <x:v>2693</x:v>
      </x:c>
      <x:c r="B2697" s="11" t="n">
        <x:v>1359</x:v>
      </x:c>
      <x:c r="C2697" s="18" t="n">
        <x:v>45803</x:v>
      </x:c>
      <x:c r="D2697" s="11" t="str">
        <x:v>2025-05</x:v>
      </x:c>
      <x:c r="E2697" s="11" t="str">
        <x:v>South</x:v>
      </x:c>
      <x:c r="F2697" s="11" t="str">
        <x:v>Furniture</x:v>
      </x:c>
      <x:c r="G2697" s="11" t="str">
        <x:v>Desk</x:v>
      </x:c>
      <x:c r="H2697" s="11" t="n">
        <x:v>5</x:v>
      </x:c>
      <x:c r="I2697" s="19" t="n">
        <x:v>0.15</x:v>
      </x:c>
      <x:c r="J2697" s="11" t="n">
        <x:v>0</x:v>
      </x:c>
      <x:c r="K2697" s="20" t="n">
        <x:v>1400</x:v>
      </x:c>
      <x:c r="L2697" s="20" t="n">
        <x:v>210</x:v>
      </x:c>
      <x:c r="M2697" s="20" t="n">
        <x:v>950</x:v>
      </x:c>
      <x:c r="N2697" s="20" t="n">
        <x:f>IF(J2697=1,0,K2697-L2697)</x:f>
        <x:v>1190</x:v>
      </x:c>
      <x:c r="O2697" s="20" t="n">
        <x:f>N2697-M2697</x:f>
        <x:v>240</x:v>
      </x:c>
    </x:row>
    <x:row r="2698" ht="22" customHeight="1">
      <x:c r="A2698" s="11" t="n">
        <x:v>2694</x:v>
      </x:c>
      <x:c r="B2698" s="11" t="n">
        <x:v>1360</x:v>
      </x:c>
      <x:c r="C2698" s="18" t="n">
        <x:v>45410</x:v>
      </x:c>
      <x:c r="D2698" s="11" t="str">
        <x:v>2024-04</x:v>
      </x:c>
      <x:c r="E2698" s="11" t="str">
        <x:v>Central</x:v>
      </x:c>
      <x:c r="F2698" s="11" t="str">
        <x:v>Technology</x:v>
      </x:c>
      <x:c r="G2698" s="11" t="str">
        <x:v>Keyboard</x:v>
      </x:c>
      <x:c r="H2698" s="11" t="n">
        <x:v>3</x:v>
      </x:c>
      <x:c r="I2698" s="19" t="n">
        <x:v>0</x:v>
      </x:c>
      <x:c r="J2698" s="11" t="n">
        <x:v>0</x:v>
      </x:c>
      <x:c r="K2698" s="20" t="n">
        <x:v>195</x:v>
      </x:c>
      <x:c r="L2698" s="20" t="n">
        <x:v>0</x:v>
      </x:c>
      <x:c r="M2698" s="20" t="n">
        <x:v>96</x:v>
      </x:c>
      <x:c r="N2698" s="20" t="n">
        <x:f>IF(J2698=1,0,K2698-L2698)</x:f>
        <x:v>195</x:v>
      </x:c>
      <x:c r="O2698" s="20" t="n">
        <x:f>N2698-M2698</x:f>
        <x:v>99</x:v>
      </x:c>
    </x:row>
    <x:row r="2699" ht="22" customHeight="1">
      <x:c r="A2699" s="11" t="n">
        <x:v>2695</x:v>
      </x:c>
      <x:c r="B2699" s="11" t="n">
        <x:v>1360</x:v>
      </x:c>
      <x:c r="C2699" s="18" t="n">
        <x:v>45410</x:v>
      </x:c>
      <x:c r="D2699" s="11" t="str">
        <x:v>2024-04</x:v>
      </x:c>
      <x:c r="E2699" s="11" t="str">
        <x:v>Central</x:v>
      </x:c>
      <x:c r="F2699" s="11" t="str">
        <x:v>Technology</x:v>
      </x:c>
      <x:c r="G2699" s="11" t="str">
        <x:v>Monitor</x:v>
      </x:c>
      <x:c r="H2699" s="11" t="n">
        <x:v>2</x:v>
      </x:c>
      <x:c r="I2699" s="19" t="n">
        <x:v>0</x:v>
      </x:c>
      <x:c r="J2699" s="11" t="n">
        <x:v>0</x:v>
      </x:c>
      <x:c r="K2699" s="20" t="n">
        <x:v>480</x:v>
      </x:c>
      <x:c r="L2699" s="20" t="n">
        <x:v>0</x:v>
      </x:c>
      <x:c r="M2699" s="20" t="n">
        <x:v>320</x:v>
      </x:c>
      <x:c r="N2699" s="20" t="n">
        <x:f>IF(J2699=1,0,K2699-L2699)</x:f>
        <x:v>480</x:v>
      </x:c>
      <x:c r="O2699" s="20" t="n">
        <x:f>N2699-M2699</x:f>
        <x:v>160</x:v>
      </x:c>
    </x:row>
    <x:row r="2700" ht="22" customHeight="1">
      <x:c r="A2700" s="11" t="n">
        <x:v>2696</x:v>
      </x:c>
      <x:c r="B2700" s="11" t="n">
        <x:v>1361</x:v>
      </x:c>
      <x:c r="C2700" s="18" t="n">
        <x:v>45945</x:v>
      </x:c>
      <x:c r="D2700" s="11" t="str">
        <x:v>2025-10</x:v>
      </x:c>
      <x:c r="E2700" s="11" t="str">
        <x:v>South</x:v>
      </x:c>
      <x:c r="F2700" s="11" t="str">
        <x:v>Office Supplies</x:v>
      </x:c>
      <x:c r="G2700" s="11" t="str">
        <x:v>Notebook pack</x:v>
      </x:c>
      <x:c r="H2700" s="11" t="n">
        <x:v>3</x:v>
      </x:c>
      <x:c r="I2700" s="19" t="n">
        <x:v>0.1</x:v>
      </x:c>
      <x:c r="J2700" s="11" t="n">
        <x:v>0</x:v>
      </x:c>
      <x:c r="K2700" s="20" t="n">
        <x:v>54</x:v>
      </x:c>
      <x:c r="L2700" s="20" t="n">
        <x:v>5.4</x:v>
      </x:c>
      <x:c r="M2700" s="20" t="n">
        <x:v>21</x:v>
      </x:c>
      <x:c r="N2700" s="20" t="n">
        <x:f>IF(J2700=1,0,K2700-L2700)</x:f>
        <x:v>48.6</x:v>
      </x:c>
      <x:c r="O2700" s="20" t="n">
        <x:f>N2700-M2700</x:f>
        <x:v>27.6</x:v>
      </x:c>
    </x:row>
    <x:row r="2701" ht="22" customHeight="1">
      <x:c r="A2701" s="11" t="n">
        <x:v>2697</x:v>
      </x:c>
      <x:c r="B2701" s="11" t="n">
        <x:v>1361</x:v>
      </x:c>
      <x:c r="C2701" s="18" t="n">
        <x:v>45945</x:v>
      </x:c>
      <x:c r="D2701" s="11" t="str">
        <x:v>2025-10</x:v>
      </x:c>
      <x:c r="E2701" s="11" t="str">
        <x:v>South</x:v>
      </x:c>
      <x:c r="F2701" s="11" t="str">
        <x:v>Furniture</x:v>
      </x:c>
      <x:c r="G2701" s="11" t="str">
        <x:v>Chair</x:v>
      </x:c>
      <x:c r="H2701" s="11" t="n">
        <x:v>1</x:v>
      </x:c>
      <x:c r="I2701" s="19" t="n">
        <x:v>0.05</x:v>
      </x:c>
      <x:c r="J2701" s="11" t="n">
        <x:v>0</x:v>
      </x:c>
      <x:c r="K2701" s="20" t="n">
        <x:v>170</x:v>
      </x:c>
      <x:c r="L2701" s="20" t="n">
        <x:v>8.5</x:v>
      </x:c>
      <x:c r="M2701" s="20" t="n">
        <x:v>110</x:v>
      </x:c>
      <x:c r="N2701" s="20" t="n">
        <x:f>IF(J2701=1,0,K2701-L2701)</x:f>
        <x:v>161.5</x:v>
      </x:c>
      <x:c r="O2701" s="20" t="n">
        <x:f>N2701-M2701</x:f>
        <x:v>51.5</x:v>
      </x:c>
    </x:row>
    <x:row r="2702" ht="22" customHeight="1">
      <x:c r="A2702" s="11" t="n">
        <x:v>2698</x:v>
      </x:c>
      <x:c r="B2702" s="11" t="n">
        <x:v>1362</x:v>
      </x:c>
      <x:c r="C2702" s="18" t="n">
        <x:v>45550</x:v>
      </x:c>
      <x:c r="D2702" s="11" t="str">
        <x:v>2024-09</x:v>
      </x:c>
      <x:c r="E2702" s="11" t="str">
        <x:v>Central</x:v>
      </x:c>
      <x:c r="F2702" s="11" t="str">
        <x:v>Office Supplies</x:v>
      </x:c>
      <x:c r="G2702" s="11" t="str">
        <x:v>Storage box</x:v>
      </x:c>
      <x:c r="H2702" s="11" t="n">
        <x:v>3</x:v>
      </x:c>
      <x:c r="I2702" s="19" t="n">
        <x:v>0</x:v>
      </x:c>
      <x:c r="J2702" s="11" t="n">
        <x:v>0</x:v>
      </x:c>
      <x:c r="K2702" s="20" t="n">
        <x:v>78</x:v>
      </x:c>
      <x:c r="L2702" s="20" t="n">
        <x:v>0</x:v>
      </x:c>
      <x:c r="M2702" s="20" t="n">
        <x:v>36</x:v>
      </x:c>
      <x:c r="N2702" s="20" t="n">
        <x:f>IF(J2702=1,0,K2702-L2702)</x:f>
        <x:v>78</x:v>
      </x:c>
      <x:c r="O2702" s="20" t="n">
        <x:f>N2702-M2702</x:f>
        <x:v>42</x:v>
      </x:c>
    </x:row>
    <x:row r="2703" ht="22" customHeight="1">
      <x:c r="A2703" s="11" t="n">
        <x:v>2699</x:v>
      </x:c>
      <x:c r="B2703" s="11" t="n">
        <x:v>1362</x:v>
      </x:c>
      <x:c r="C2703" s="18" t="n">
        <x:v>45550</x:v>
      </x:c>
      <x:c r="D2703" s="11" t="str">
        <x:v>2024-09</x:v>
      </x:c>
      <x:c r="E2703" s="11" t="str">
        <x:v>Central</x:v>
      </x:c>
      <x:c r="F2703" s="11" t="str">
        <x:v>Technology</x:v>
      </x:c>
      <x:c r="G2703" s="11" t="str">
        <x:v>Keyboard</x:v>
      </x:c>
      <x:c r="H2703" s="11" t="n">
        <x:v>4</x:v>
      </x:c>
      <x:c r="I2703" s="19" t="n">
        <x:v>0</x:v>
      </x:c>
      <x:c r="J2703" s="11" t="n">
        <x:v>0</x:v>
      </x:c>
      <x:c r="K2703" s="20" t="n">
        <x:v>260</x:v>
      </x:c>
      <x:c r="L2703" s="20" t="n">
        <x:v>0</x:v>
      </x:c>
      <x:c r="M2703" s="20" t="n">
        <x:v>128</x:v>
      </x:c>
      <x:c r="N2703" s="20" t="n">
        <x:f>IF(J2703=1,0,K2703-L2703)</x:f>
        <x:v>260</x:v>
      </x:c>
      <x:c r="O2703" s="20" t="n">
        <x:f>N2703-M2703</x:f>
        <x:v>132</x:v>
      </x:c>
    </x:row>
    <x:row r="2704" ht="22" customHeight="1">
      <x:c r="A2704" s="11" t="n">
        <x:v>2700</x:v>
      </x:c>
      <x:c r="B2704" s="11" t="n">
        <x:v>1363</x:v>
      </x:c>
      <x:c r="C2704" s="18" t="n">
        <x:v>45441</x:v>
      </x:c>
      <x:c r="D2704" s="11" t="str">
        <x:v>2024-05</x:v>
      </x:c>
      <x:c r="E2704" s="11" t="str">
        <x:v>West</x:v>
      </x:c>
      <x:c r="F2704" s="11" t="str">
        <x:v>Technology</x:v>
      </x:c>
      <x:c r="G2704" s="11" t="str">
        <x:v>Monitor</x:v>
      </x:c>
      <x:c r="H2704" s="11" t="n">
        <x:v>3</x:v>
      </x:c>
      <x:c r="I2704" s="19" t="n">
        <x:v>0.1</x:v>
      </x:c>
      <x:c r="J2704" s="11" t="n">
        <x:v>0</x:v>
      </x:c>
      <x:c r="K2704" s="20" t="n">
        <x:v>720</x:v>
      </x:c>
      <x:c r="L2704" s="20" t="n">
        <x:v>72</x:v>
      </x:c>
      <x:c r="M2704" s="20" t="n">
        <x:v>480</x:v>
      </x:c>
      <x:c r="N2704" s="20" t="n">
        <x:f>IF(J2704=1,0,K2704-L2704)</x:f>
        <x:v>648</x:v>
      </x:c>
      <x:c r="O2704" s="20" t="n">
        <x:f>N2704-M2704</x:f>
        <x:v>168</x:v>
      </x:c>
    </x:row>
    <x:row r="2705" ht="22" customHeight="1">
      <x:c r="A2705" s="11" t="n">
        <x:v>2701</x:v>
      </x:c>
      <x:c r="B2705" s="11" t="n">
        <x:v>1363</x:v>
      </x:c>
      <x:c r="C2705" s="18" t="n">
        <x:v>45441</x:v>
      </x:c>
      <x:c r="D2705" s="11" t="str">
        <x:v>2024-05</x:v>
      </x:c>
      <x:c r="E2705" s="11" t="str">
        <x:v>West</x:v>
      </x:c>
      <x:c r="F2705" s="11" t="str">
        <x:v>Furniture</x:v>
      </x:c>
      <x:c r="G2705" s="11" t="str">
        <x:v>Desk</x:v>
      </x:c>
      <x:c r="H2705" s="11" t="n">
        <x:v>4</x:v>
      </x:c>
      <x:c r="I2705" s="19" t="n">
        <x:v>0</x:v>
      </x:c>
      <x:c r="J2705" s="11" t="n">
        <x:v>0</x:v>
      </x:c>
      <x:c r="K2705" s="20" t="n">
        <x:v>1120</x:v>
      </x:c>
      <x:c r="L2705" s="20" t="n">
        <x:v>0</x:v>
      </x:c>
      <x:c r="M2705" s="20" t="n">
        <x:v>760</x:v>
      </x:c>
      <x:c r="N2705" s="20" t="n">
        <x:f>IF(J2705=1,0,K2705-L2705)</x:f>
        <x:v>1120</x:v>
      </x:c>
      <x:c r="O2705" s="20" t="n">
        <x:f>N2705-M2705</x:f>
        <x:v>360</x:v>
      </x:c>
    </x:row>
    <x:row r="2706" ht="22" customHeight="1">
      <x:c r="A2706" s="11" t="n">
        <x:v>2702</x:v>
      </x:c>
      <x:c r="B2706" s="11" t="n">
        <x:v>1364</x:v>
      </x:c>
      <x:c r="C2706" s="18" t="n">
        <x:v>45655</x:v>
      </x:c>
      <x:c r="D2706" s="11" t="str">
        <x:v>2024-12</x:v>
      </x:c>
      <x:c r="E2706" s="11" t="str">
        <x:v>Central</x:v>
      </x:c>
      <x:c r="F2706" s="11" t="str">
        <x:v>Technology</x:v>
      </x:c>
      <x:c r="G2706" s="11" t="str">
        <x:v>Keyboard</x:v>
      </x:c>
      <x:c r="H2706" s="11" t="n">
        <x:v>1</x:v>
      </x:c>
      <x:c r="I2706" s="19" t="n">
        <x:v>0.05</x:v>
      </x:c>
      <x:c r="J2706" s="11" t="n">
        <x:v>0</x:v>
      </x:c>
      <x:c r="K2706" s="20" t="n">
        <x:v>65</x:v>
      </x:c>
      <x:c r="L2706" s="20" t="n">
        <x:v>3.25</x:v>
      </x:c>
      <x:c r="M2706" s="20" t="n">
        <x:v>32</x:v>
      </x:c>
      <x:c r="N2706" s="20" t="n">
        <x:f>IF(J2706=1,0,K2706-L2706)</x:f>
        <x:v>61.75</x:v>
      </x:c>
      <x:c r="O2706" s="20" t="n">
        <x:f>N2706-M2706</x:f>
        <x:v>29.75</x:v>
      </x:c>
    </x:row>
    <x:row r="2707" ht="22" customHeight="1">
      <x:c r="A2707" s="11" t="n">
        <x:v>2703</x:v>
      </x:c>
      <x:c r="B2707" s="11" t="n">
        <x:v>1365</x:v>
      </x:c>
      <x:c r="C2707" s="18" t="n">
        <x:v>45609</x:v>
      </x:c>
      <x:c r="D2707" s="11" t="str">
        <x:v>2024-11</x:v>
      </x:c>
      <x:c r="E2707" s="11" t="str">
        <x:v>East</x:v>
      </x:c>
      <x:c r="F2707" s="11" t="str">
        <x:v>Furniture</x:v>
      </x:c>
      <x:c r="G2707" s="11" t="str">
        <x:v>Desk</x:v>
      </x:c>
      <x:c r="H2707" s="11" t="n">
        <x:v>2</x:v>
      </x:c>
      <x:c r="I2707" s="19" t="n">
        <x:v>0.1</x:v>
      </x:c>
      <x:c r="J2707" s="11" t="n">
        <x:v>1</x:v>
      </x:c>
      <x:c r="K2707" s="20" t="n">
        <x:v>560</x:v>
      </x:c>
      <x:c r="L2707" s="20" t="n">
        <x:v>56</x:v>
      </x:c>
      <x:c r="M2707" s="20" t="n">
        <x:v>0</x:v>
      </x:c>
      <x:c r="N2707" s="20" t="n">
        <x:f>IF(J2707=1,0,K2707-L2707)</x:f>
        <x:v>0</x:v>
      </x:c>
      <x:c r="O2707" s="20" t="n">
        <x:f>N2707-M2707</x:f>
        <x:v>0</x:v>
      </x:c>
    </x:row>
    <x:row r="2708" ht="22" customHeight="1">
      <x:c r="A2708" s="11" t="n">
        <x:v>2704</x:v>
      </x:c>
      <x:c r="B2708" s="11" t="n">
        <x:v>1366</x:v>
      </x:c>
      <x:c r="C2708" s="18" t="n">
        <x:v>45813</x:v>
      </x:c>
      <x:c r="D2708" s="11" t="str">
        <x:v>2025-06</x:v>
      </x:c>
      <x:c r="E2708" s="11" t="str">
        <x:v>West</x:v>
      </x:c>
      <x:c r="F2708" s="11" t="str">
        <x:v>Technology</x:v>
      </x:c>
      <x:c r="G2708" s="11" t="str">
        <x:v>Keyboard</x:v>
      </x:c>
      <x:c r="H2708" s="11" t="n">
        <x:v>4</x:v>
      </x:c>
      <x:c r="I2708" s="19" t="n">
        <x:v>0.05</x:v>
      </x:c>
      <x:c r="J2708" s="11" t="n">
        <x:v>0</x:v>
      </x:c>
      <x:c r="K2708" s="20" t="n">
        <x:v>260</x:v>
      </x:c>
      <x:c r="L2708" s="20" t="n">
        <x:v>13</x:v>
      </x:c>
      <x:c r="M2708" s="20" t="n">
        <x:v>128</x:v>
      </x:c>
      <x:c r="N2708" s="20" t="n">
        <x:f>IF(J2708=1,0,K2708-L2708)</x:f>
        <x:v>247</x:v>
      </x:c>
      <x:c r="O2708" s="20" t="n">
        <x:f>N2708-M2708</x:f>
        <x:v>119</x:v>
      </x:c>
    </x:row>
    <x:row r="2709" ht="22" customHeight="1">
      <x:c r="A2709" s="11" t="n">
        <x:v>2705</x:v>
      </x:c>
      <x:c r="B2709" s="11" t="n">
        <x:v>1367</x:v>
      </x:c>
      <x:c r="C2709" s="18" t="n">
        <x:v>45763</x:v>
      </x:c>
      <x:c r="D2709" s="11" t="str">
        <x:v>2025-04</x:v>
      </x:c>
      <x:c r="E2709" s="11" t="str">
        <x:v>South</x:v>
      </x:c>
      <x:c r="F2709" s="11" t="str">
        <x:v>Technology</x:v>
      </x:c>
      <x:c r="G2709" s="11" t="str">
        <x:v>Monitor</x:v>
      </x:c>
      <x:c r="H2709" s="11" t="n">
        <x:v>5</x:v>
      </x:c>
      <x:c r="I2709" s="19" t="n">
        <x:v>0.15</x:v>
      </x:c>
      <x:c r="J2709" s="11" t="n">
        <x:v>0</x:v>
      </x:c>
      <x:c r="K2709" s="20" t="n">
        <x:v>1200</x:v>
      </x:c>
      <x:c r="L2709" s="20" t="n">
        <x:v>180</x:v>
      </x:c>
      <x:c r="M2709" s="20" t="n">
        <x:v>800</x:v>
      </x:c>
      <x:c r="N2709" s="20" t="n">
        <x:f>IF(J2709=1,0,K2709-L2709)</x:f>
        <x:v>1020</x:v>
      </x:c>
      <x:c r="O2709" s="20" t="n">
        <x:f>N2709-M2709</x:f>
        <x:v>220</x:v>
      </x:c>
    </x:row>
    <x:row r="2710" ht="22" customHeight="1">
      <x:c r="A2710" s="11" t="n">
        <x:v>2706</x:v>
      </x:c>
      <x:c r="B2710" s="11" t="n">
        <x:v>1367</x:v>
      </x:c>
      <x:c r="C2710" s="18" t="n">
        <x:v>45763</x:v>
      </x:c>
      <x:c r="D2710" s="11" t="str">
        <x:v>2025-04</x:v>
      </x:c>
      <x:c r="E2710" s="11" t="str">
        <x:v>South</x:v>
      </x:c>
      <x:c r="F2710" s="11" t="str">
        <x:v>Furniture</x:v>
      </x:c>
      <x:c r="G2710" s="11" t="str">
        <x:v>Desk</x:v>
      </x:c>
      <x:c r="H2710" s="11" t="n">
        <x:v>4</x:v>
      </x:c>
      <x:c r="I2710" s="19" t="n">
        <x:v>0.35</x:v>
      </x:c>
      <x:c r="J2710" s="11" t="n">
        <x:v>0</x:v>
      </x:c>
      <x:c r="K2710" s="20" t="n">
        <x:v>1120</x:v>
      </x:c>
      <x:c r="L2710" s="20" t="n">
        <x:v>392</x:v>
      </x:c>
      <x:c r="M2710" s="20" t="n">
        <x:v>760</x:v>
      </x:c>
      <x:c r="N2710" s="20" t="n">
        <x:f>IF(J2710=1,0,K2710-L2710)</x:f>
        <x:v>728</x:v>
      </x:c>
      <x:c r="O2710" s="20" t="n">
        <x:f>N2710-M2710</x:f>
        <x:v>-32</x:v>
      </x:c>
    </x:row>
    <x:row r="2711" ht="22" customHeight="1">
      <x:c r="A2711" s="11" t="n">
        <x:v>2707</x:v>
      </x:c>
      <x:c r="B2711" s="11" t="n">
        <x:v>1368</x:v>
      </x:c>
      <x:c r="C2711" s="18" t="n">
        <x:v>45818</x:v>
      </x:c>
      <x:c r="D2711" s="11" t="str">
        <x:v>2025-06</x:v>
      </x:c>
      <x:c r="E2711" s="11" t="str">
        <x:v>South</x:v>
      </x:c>
      <x:c r="F2711" s="11" t="str">
        <x:v>Technology</x:v>
      </x:c>
      <x:c r="G2711" s="11" t="str">
        <x:v>Keyboard</x:v>
      </x:c>
      <x:c r="H2711" s="11" t="n">
        <x:v>3</x:v>
      </x:c>
      <x:c r="I2711" s="19" t="n">
        <x:v>0.1</x:v>
      </x:c>
      <x:c r="J2711" s="11" t="n">
        <x:v>0</x:v>
      </x:c>
      <x:c r="K2711" s="20" t="n">
        <x:v>195</x:v>
      </x:c>
      <x:c r="L2711" s="20" t="n">
        <x:v>19.5</x:v>
      </x:c>
      <x:c r="M2711" s="20" t="n">
        <x:v>96</x:v>
      </x:c>
      <x:c r="N2711" s="20" t="n">
        <x:f>IF(J2711=1,0,K2711-L2711)</x:f>
        <x:v>175.5</x:v>
      </x:c>
      <x:c r="O2711" s="20" t="n">
        <x:f>N2711-M2711</x:f>
        <x:v>79.5</x:v>
      </x:c>
    </x:row>
    <x:row r="2712" ht="22" customHeight="1">
      <x:c r="A2712" s="11" t="n">
        <x:v>2708</x:v>
      </x:c>
      <x:c r="B2712" s="11" t="n">
        <x:v>1369</x:v>
      </x:c>
      <x:c r="C2712" s="18" t="n">
        <x:v>45942</x:v>
      </x:c>
      <x:c r="D2712" s="11" t="str">
        <x:v>2025-10</x:v>
      </x:c>
      <x:c r="E2712" s="11" t="str">
        <x:v>West</x:v>
      </x:c>
      <x:c r="F2712" s="11" t="str">
        <x:v>Furniture</x:v>
      </x:c>
      <x:c r="G2712" s="11" t="str">
        <x:v>Chair</x:v>
      </x:c>
      <x:c r="H2712" s="11" t="n">
        <x:v>1</x:v>
      </x:c>
      <x:c r="I2712" s="19" t="n">
        <x:v>0.25</x:v>
      </x:c>
      <x:c r="J2712" s="11" t="n">
        <x:v>0</x:v>
      </x:c>
      <x:c r="K2712" s="20" t="n">
        <x:v>170</x:v>
      </x:c>
      <x:c r="L2712" s="20" t="n">
        <x:v>42.5</x:v>
      </x:c>
      <x:c r="M2712" s="20" t="n">
        <x:v>110</x:v>
      </x:c>
      <x:c r="N2712" s="20" t="n">
        <x:f>IF(J2712=1,0,K2712-L2712)</x:f>
        <x:v>127.5</x:v>
      </x:c>
      <x:c r="O2712" s="20" t="n">
        <x:f>N2712-M2712</x:f>
        <x:v>17.5</x:v>
      </x:c>
    </x:row>
    <x:row r="2713" ht="22" customHeight="1">
      <x:c r="A2713" s="11" t="n">
        <x:v>2709</x:v>
      </x:c>
      <x:c r="B2713" s="11" t="n">
        <x:v>1370</x:v>
      </x:c>
      <x:c r="C2713" s="18" t="n">
        <x:v>45517</x:v>
      </x:c>
      <x:c r="D2713" s="11" t="str">
        <x:v>2024-08</x:v>
      </x:c>
      <x:c r="E2713" s="11" t="str">
        <x:v>East</x:v>
      </x:c>
      <x:c r="F2713" s="11" t="str">
        <x:v>Furniture</x:v>
      </x:c>
      <x:c r="G2713" s="11" t="str">
        <x:v>Desk</x:v>
      </x:c>
      <x:c r="H2713" s="11" t="n">
        <x:v>2</x:v>
      </x:c>
      <x:c r="I2713" s="19" t="n">
        <x:v>0.25</x:v>
      </x:c>
      <x:c r="J2713" s="11" t="n">
        <x:v>0</x:v>
      </x:c>
      <x:c r="K2713" s="20" t="n">
        <x:v>560</x:v>
      </x:c>
      <x:c r="L2713" s="20" t="n">
        <x:v>140</x:v>
      </x:c>
      <x:c r="M2713" s="20" t="n">
        <x:v>380</x:v>
      </x:c>
      <x:c r="N2713" s="20" t="n">
        <x:f>IF(J2713=1,0,K2713-L2713)</x:f>
        <x:v>420</x:v>
      </x:c>
      <x:c r="O2713" s="20" t="n">
        <x:f>N2713-M2713</x:f>
        <x:v>40</x:v>
      </x:c>
    </x:row>
    <x:row r="2714" ht="22" customHeight="1">
      <x:c r="A2714" s="11" t="n">
        <x:v>2710</x:v>
      </x:c>
      <x:c r="B2714" s="11" t="n">
        <x:v>1370</x:v>
      </x:c>
      <x:c r="C2714" s="18" t="n">
        <x:v>45517</x:v>
      </x:c>
      <x:c r="D2714" s="11" t="str">
        <x:v>2024-08</x:v>
      </x:c>
      <x:c r="E2714" s="11" t="str">
        <x:v>East</x:v>
      </x:c>
      <x:c r="F2714" s="11" t="str">
        <x:v>Furniture</x:v>
      </x:c>
      <x:c r="G2714" s="11" t="str">
        <x:v>Chair</x:v>
      </x:c>
      <x:c r="H2714" s="11" t="n">
        <x:v>4</x:v>
      </x:c>
      <x:c r="I2714" s="19" t="n">
        <x:v>0</x:v>
      </x:c>
      <x:c r="J2714" s="11" t="n">
        <x:v>0</x:v>
      </x:c>
      <x:c r="K2714" s="20" t="n">
        <x:v>680</x:v>
      </x:c>
      <x:c r="L2714" s="20" t="n">
        <x:v>0</x:v>
      </x:c>
      <x:c r="M2714" s="20" t="n">
        <x:v>440</x:v>
      </x:c>
      <x:c r="N2714" s="20" t="n">
        <x:f>IF(J2714=1,0,K2714-L2714)</x:f>
        <x:v>680</x:v>
      </x:c>
      <x:c r="O2714" s="20" t="n">
        <x:f>N2714-M2714</x:f>
        <x:v>240</x:v>
      </x:c>
    </x:row>
    <x:row r="2715" ht="22" customHeight="1">
      <x:c r="A2715" s="11" t="n">
        <x:v>2711</x:v>
      </x:c>
      <x:c r="B2715" s="11" t="n">
        <x:v>1371</x:v>
      </x:c>
      <x:c r="C2715" s="18" t="n">
        <x:v>45873</x:v>
      </x:c>
      <x:c r="D2715" s="11" t="str">
        <x:v>2025-08</x:v>
      </x:c>
      <x:c r="E2715" s="11" t="str">
        <x:v>West</x:v>
      </x:c>
      <x:c r="F2715" s="11" t="str">
        <x:v>Furniture</x:v>
      </x:c>
      <x:c r="G2715" s="11" t="str">
        <x:v>Desk</x:v>
      </x:c>
      <x:c r="H2715" s="11" t="n">
        <x:v>2</x:v>
      </x:c>
      <x:c r="I2715" s="19" t="n">
        <x:v>0</x:v>
      </x:c>
      <x:c r="J2715" s="11" t="n">
        <x:v>0</x:v>
      </x:c>
      <x:c r="K2715" s="20" t="n">
        <x:v>560</x:v>
      </x:c>
      <x:c r="L2715" s="20" t="n">
        <x:v>0</x:v>
      </x:c>
      <x:c r="M2715" s="20" t="n">
        <x:v>380</x:v>
      </x:c>
      <x:c r="N2715" s="20" t="n">
        <x:f>IF(J2715=1,0,K2715-L2715)</x:f>
        <x:v>560</x:v>
      </x:c>
      <x:c r="O2715" s="20" t="n">
        <x:f>N2715-M2715</x:f>
        <x:v>180</x:v>
      </x:c>
    </x:row>
    <x:row r="2716" ht="22" customHeight="1">
      <x:c r="A2716" s="11" t="n">
        <x:v>2712</x:v>
      </x:c>
      <x:c r="B2716" s="11" t="n">
        <x:v>1372</x:v>
      </x:c>
      <x:c r="C2716" s="18" t="n">
        <x:v>45786</x:v>
      </x:c>
      <x:c r="D2716" s="11" t="str">
        <x:v>2025-05</x:v>
      </x:c>
      <x:c r="E2716" s="11" t="str">
        <x:v>Central</x:v>
      </x:c>
      <x:c r="F2716" s="11" t="str">
        <x:v>Furniture</x:v>
      </x:c>
      <x:c r="G2716" s="11" t="str">
        <x:v>Chair</x:v>
      </x:c>
      <x:c r="H2716" s="11" t="n">
        <x:v>1</x:v>
      </x:c>
      <x:c r="I2716" s="19" t="n">
        <x:v>0</x:v>
      </x:c>
      <x:c r="J2716" s="11" t="n">
        <x:v>0</x:v>
      </x:c>
      <x:c r="K2716" s="20" t="n">
        <x:v>170</x:v>
      </x:c>
      <x:c r="L2716" s="20" t="n">
        <x:v>0</x:v>
      </x:c>
      <x:c r="M2716" s="20" t="n">
        <x:v>110</x:v>
      </x:c>
      <x:c r="N2716" s="20" t="n">
        <x:f>IF(J2716=1,0,K2716-L2716)</x:f>
        <x:v>170</x:v>
      </x:c>
      <x:c r="O2716" s="20" t="n">
        <x:f>N2716-M2716</x:f>
        <x:v>60</x:v>
      </x:c>
    </x:row>
    <x:row r="2717" ht="22" customHeight="1">
      <x:c r="A2717" s="11" t="n">
        <x:v>2713</x:v>
      </x:c>
      <x:c r="B2717" s="11" t="n">
        <x:v>1372</x:v>
      </x:c>
      <x:c r="C2717" s="18" t="n">
        <x:v>45786</x:v>
      </x:c>
      <x:c r="D2717" s="11" t="str">
        <x:v>2025-05</x:v>
      </x:c>
      <x:c r="E2717" s="11" t="str">
        <x:v>Central</x:v>
      </x:c>
      <x:c r="F2717" s="11" t="str">
        <x:v>Technology</x:v>
      </x:c>
      <x:c r="G2717" s="11" t="str">
        <x:v>Keyboard</x:v>
      </x:c>
      <x:c r="H2717" s="11" t="n">
        <x:v>3</x:v>
      </x:c>
      <x:c r="I2717" s="19" t="n">
        <x:v>0.15</x:v>
      </x:c>
      <x:c r="J2717" s="11" t="n">
        <x:v>0</x:v>
      </x:c>
      <x:c r="K2717" s="20" t="n">
        <x:v>195</x:v>
      </x:c>
      <x:c r="L2717" s="20" t="n">
        <x:v>29.25</x:v>
      </x:c>
      <x:c r="M2717" s="20" t="n">
        <x:v>96</x:v>
      </x:c>
      <x:c r="N2717" s="20" t="n">
        <x:f>IF(J2717=1,0,K2717-L2717)</x:f>
        <x:v>165.75</x:v>
      </x:c>
      <x:c r="O2717" s="20" t="n">
        <x:f>N2717-M2717</x:f>
        <x:v>69.75</x:v>
      </x:c>
    </x:row>
    <x:row r="2718" ht="22" customHeight="1">
      <x:c r="A2718" s="11" t="n">
        <x:v>2714</x:v>
      </x:c>
      <x:c r="B2718" s="11" t="n">
        <x:v>1373</x:v>
      </x:c>
      <x:c r="C2718" s="18" t="n">
        <x:v>45673</x:v>
      </x:c>
      <x:c r="D2718" s="11" t="str">
        <x:v>2025-01</x:v>
      </x:c>
      <x:c r="E2718" s="11" t="str">
        <x:v>East</x:v>
      </x:c>
      <x:c r="F2718" s="11" t="str">
        <x:v>Office Supplies</x:v>
      </x:c>
      <x:c r="G2718" s="11" t="str">
        <x:v>Notebook pack</x:v>
      </x:c>
      <x:c r="H2718" s="11" t="n">
        <x:v>3</x:v>
      </x:c>
      <x:c r="I2718" s="19" t="n">
        <x:v>0.15</x:v>
      </x:c>
      <x:c r="J2718" s="11" t="n">
        <x:v>0</x:v>
      </x:c>
      <x:c r="K2718" s="20" t="n">
        <x:v>54</x:v>
      </x:c>
      <x:c r="L2718" s="20" t="n">
        <x:v>8.1</x:v>
      </x:c>
      <x:c r="M2718" s="20" t="n">
        <x:v>21</x:v>
      </x:c>
      <x:c r="N2718" s="20" t="n">
        <x:f>IF(J2718=1,0,K2718-L2718)</x:f>
        <x:v>45.9</x:v>
      </x:c>
      <x:c r="O2718" s="20" t="n">
        <x:f>N2718-M2718</x:f>
        <x:v>24.9</x:v>
      </x:c>
    </x:row>
    <x:row r="2719" ht="22" customHeight="1">
      <x:c r="A2719" s="11" t="n">
        <x:v>2715</x:v>
      </x:c>
      <x:c r="B2719" s="11" t="n">
        <x:v>1373</x:v>
      </x:c>
      <x:c r="C2719" s="18" t="n">
        <x:v>45673</x:v>
      </x:c>
      <x:c r="D2719" s="11" t="str">
        <x:v>2025-01</x:v>
      </x:c>
      <x:c r="E2719" s="11" t="str">
        <x:v>East</x:v>
      </x:c>
      <x:c r="F2719" s="11" t="str">
        <x:v>Office Supplies</x:v>
      </x:c>
      <x:c r="G2719" s="11" t="str">
        <x:v>Storage box</x:v>
      </x:c>
      <x:c r="H2719" s="11" t="n">
        <x:v>5</x:v>
      </x:c>
      <x:c r="I2719" s="19" t="n">
        <x:v>0.15</x:v>
      </x:c>
      <x:c r="J2719" s="11" t="n">
        <x:v>0</x:v>
      </x:c>
      <x:c r="K2719" s="20" t="n">
        <x:v>130</x:v>
      </x:c>
      <x:c r="L2719" s="20" t="n">
        <x:v>19.5</x:v>
      </x:c>
      <x:c r="M2719" s="20" t="n">
        <x:v>60</x:v>
      </x:c>
      <x:c r="N2719" s="20" t="n">
        <x:f>IF(J2719=1,0,K2719-L2719)</x:f>
        <x:v>110.5</x:v>
      </x:c>
      <x:c r="O2719" s="20" t="n">
        <x:f>N2719-M2719</x:f>
        <x:v>50.5</x:v>
      </x:c>
    </x:row>
    <x:row r="2720" ht="22" customHeight="1">
      <x:c r="A2720" s="11" t="n">
        <x:v>2716</x:v>
      </x:c>
      <x:c r="B2720" s="11" t="n">
        <x:v>1373</x:v>
      </x:c>
      <x:c r="C2720" s="18" t="n">
        <x:v>45673</x:v>
      </x:c>
      <x:c r="D2720" s="11" t="str">
        <x:v>2025-01</x:v>
      </x:c>
      <x:c r="E2720" s="11" t="str">
        <x:v>East</x:v>
      </x:c>
      <x:c r="F2720" s="11" t="str">
        <x:v>Technology</x:v>
      </x:c>
      <x:c r="G2720" s="11" t="str">
        <x:v>Monitor</x:v>
      </x:c>
      <x:c r="H2720" s="11" t="n">
        <x:v>5</x:v>
      </x:c>
      <x:c r="I2720" s="19" t="n">
        <x:v>0</x:v>
      </x:c>
      <x:c r="J2720" s="11" t="n">
        <x:v>0</x:v>
      </x:c>
      <x:c r="K2720" s="20" t="n">
        <x:v>1200</x:v>
      </x:c>
      <x:c r="L2720" s="20" t="n">
        <x:v>0</x:v>
      </x:c>
      <x:c r="M2720" s="20" t="n">
        <x:v>800</x:v>
      </x:c>
      <x:c r="N2720" s="20" t="n">
        <x:f>IF(J2720=1,0,K2720-L2720)</x:f>
        <x:v>1200</x:v>
      </x:c>
      <x:c r="O2720" s="20" t="n">
        <x:f>N2720-M2720</x:f>
        <x:v>400</x:v>
      </x:c>
    </x:row>
    <x:row r="2721" ht="22" customHeight="1">
      <x:c r="A2721" s="11" t="n">
        <x:v>2717</x:v>
      </x:c>
      <x:c r="B2721" s="11" t="n">
        <x:v>1374</x:v>
      </x:c>
      <x:c r="C2721" s="18" t="n">
        <x:v>45314</x:v>
      </x:c>
      <x:c r="D2721" s="11" t="str">
        <x:v>2024-01</x:v>
      </x:c>
      <x:c r="E2721" s="11" t="str">
        <x:v>Central</x:v>
      </x:c>
      <x:c r="F2721" s="11" t="str">
        <x:v>Technology</x:v>
      </x:c>
      <x:c r="G2721" s="11" t="str">
        <x:v>Monitor</x:v>
      </x:c>
      <x:c r="H2721" s="11" t="n">
        <x:v>3</x:v>
      </x:c>
      <x:c r="I2721" s="19" t="n">
        <x:v>0.1</x:v>
      </x:c>
      <x:c r="J2721" s="11" t="n">
        <x:v>0</x:v>
      </x:c>
      <x:c r="K2721" s="20" t="n">
        <x:v>720</x:v>
      </x:c>
      <x:c r="L2721" s="20" t="n">
        <x:v>72</x:v>
      </x:c>
      <x:c r="M2721" s="20" t="n">
        <x:v>480</x:v>
      </x:c>
      <x:c r="N2721" s="20" t="n">
        <x:f>IF(J2721=1,0,K2721-L2721)</x:f>
        <x:v>648</x:v>
      </x:c>
      <x:c r="O2721" s="20" t="n">
        <x:f>N2721-M2721</x:f>
        <x:v>168</x:v>
      </x:c>
    </x:row>
    <x:row r="2722" ht="22" customHeight="1">
      <x:c r="A2722" s="11" t="n">
        <x:v>2718</x:v>
      </x:c>
      <x:c r="B2722" s="11" t="n">
        <x:v>1374</x:v>
      </x:c>
      <x:c r="C2722" s="18" t="n">
        <x:v>45314</x:v>
      </x:c>
      <x:c r="D2722" s="11" t="str">
        <x:v>2024-01</x:v>
      </x:c>
      <x:c r="E2722" s="11" t="str">
        <x:v>Central</x:v>
      </x:c>
      <x:c r="F2722" s="11" t="str">
        <x:v>Office Supplies</x:v>
      </x:c>
      <x:c r="G2722" s="11" t="str">
        <x:v>Notebook pack</x:v>
      </x:c>
      <x:c r="H2722" s="11" t="n">
        <x:v>4</x:v>
      </x:c>
      <x:c r="I2722" s="19" t="n">
        <x:v>0</x:v>
      </x:c>
      <x:c r="J2722" s="11" t="n">
        <x:v>0</x:v>
      </x:c>
      <x:c r="K2722" s="20" t="n">
        <x:v>72</x:v>
      </x:c>
      <x:c r="L2722" s="20" t="n">
        <x:v>0</x:v>
      </x:c>
      <x:c r="M2722" s="20" t="n">
        <x:v>28</x:v>
      </x:c>
      <x:c r="N2722" s="20" t="n">
        <x:f>IF(J2722=1,0,K2722-L2722)</x:f>
        <x:v>72</x:v>
      </x:c>
      <x:c r="O2722" s="20" t="n">
        <x:f>N2722-M2722</x:f>
        <x:v>44</x:v>
      </x:c>
    </x:row>
    <x:row r="2723" ht="22" customHeight="1">
      <x:c r="A2723" s="11" t="n">
        <x:v>2719</x:v>
      </x:c>
      <x:c r="B2723" s="11" t="n">
        <x:v>1375</x:v>
      </x:c>
      <x:c r="C2723" s="18" t="n">
        <x:v>45599</x:v>
      </x:c>
      <x:c r="D2723" s="11" t="str">
        <x:v>2024-11</x:v>
      </x:c>
      <x:c r="E2723" s="11" t="str">
        <x:v>West</x:v>
      </x:c>
      <x:c r="F2723" s="11" t="str">
        <x:v>Office Supplies</x:v>
      </x:c>
      <x:c r="G2723" s="11" t="str">
        <x:v>Notebook pack</x:v>
      </x:c>
      <x:c r="H2723" s="11" t="n">
        <x:v>2</x:v>
      </x:c>
      <x:c r="I2723" s="19" t="n">
        <x:v>0</x:v>
      </x:c>
      <x:c r="J2723" s="11" t="n">
        <x:v>0</x:v>
      </x:c>
      <x:c r="K2723" s="20" t="n">
        <x:v>36</x:v>
      </x:c>
      <x:c r="L2723" s="20" t="n">
        <x:v>0</x:v>
      </x:c>
      <x:c r="M2723" s="20" t="n">
        <x:v>14</x:v>
      </x:c>
      <x:c r="N2723" s="20" t="n">
        <x:f>IF(J2723=1,0,K2723-L2723)</x:f>
        <x:v>36</x:v>
      </x:c>
      <x:c r="O2723" s="20" t="n">
        <x:f>N2723-M2723</x:f>
        <x:v>22</x:v>
      </x:c>
    </x:row>
    <x:row r="2724" ht="22" customHeight="1">
      <x:c r="A2724" s="11" t="n">
        <x:v>2720</x:v>
      </x:c>
      <x:c r="B2724" s="11" t="n">
        <x:v>1376</x:v>
      </x:c>
      <x:c r="C2724" s="18" t="n">
        <x:v>45546</x:v>
      </x:c>
      <x:c r="D2724" s="11" t="str">
        <x:v>2024-09</x:v>
      </x:c>
      <x:c r="E2724" s="11" t="str">
        <x:v>West</x:v>
      </x:c>
      <x:c r="F2724" s="11" t="str">
        <x:v>Office Supplies</x:v>
      </x:c>
      <x:c r="G2724" s="11" t="str">
        <x:v>Storage box</x:v>
      </x:c>
      <x:c r="H2724" s="11" t="n">
        <x:v>5</x:v>
      </x:c>
      <x:c r="I2724" s="19" t="n">
        <x:v>0.15</x:v>
      </x:c>
      <x:c r="J2724" s="11" t="n">
        <x:v>0</x:v>
      </x:c>
      <x:c r="K2724" s="20" t="n">
        <x:v>130</x:v>
      </x:c>
      <x:c r="L2724" s="20" t="n">
        <x:v>19.5</x:v>
      </x:c>
      <x:c r="M2724" s="20" t="n">
        <x:v>60</x:v>
      </x:c>
      <x:c r="N2724" s="20" t="n">
        <x:f>IF(J2724=1,0,K2724-L2724)</x:f>
        <x:v>110.5</x:v>
      </x:c>
      <x:c r="O2724" s="20" t="n">
        <x:f>N2724-M2724</x:f>
        <x:v>50.5</x:v>
      </x:c>
    </x:row>
    <x:row r="2725" ht="22" customHeight="1">
      <x:c r="A2725" s="11" t="n">
        <x:v>2721</x:v>
      </x:c>
      <x:c r="B2725" s="11" t="n">
        <x:v>1377</x:v>
      </x:c>
      <x:c r="C2725" s="18" t="n">
        <x:v>45701</x:v>
      </x:c>
      <x:c r="D2725" s="11" t="str">
        <x:v>2025-02</x:v>
      </x:c>
      <x:c r="E2725" s="11" t="str">
        <x:v>South</x:v>
      </x:c>
      <x:c r="F2725" s="11" t="str">
        <x:v>Furniture</x:v>
      </x:c>
      <x:c r="G2725" s="11" t="str">
        <x:v>Desk</x:v>
      </x:c>
      <x:c r="H2725" s="11" t="n">
        <x:v>2</x:v>
      </x:c>
      <x:c r="I2725" s="19" t="n">
        <x:v>0.35</x:v>
      </x:c>
      <x:c r="J2725" s="11" t="n">
        <x:v>0</x:v>
      </x:c>
      <x:c r="K2725" s="20" t="n">
        <x:v>560</x:v>
      </x:c>
      <x:c r="L2725" s="20" t="n">
        <x:v>196</x:v>
      </x:c>
      <x:c r="M2725" s="20" t="n">
        <x:v>380</x:v>
      </x:c>
      <x:c r="N2725" s="20" t="n">
        <x:f>IF(J2725=1,0,K2725-L2725)</x:f>
        <x:v>364</x:v>
      </x:c>
      <x:c r="O2725" s="20" t="n">
        <x:f>N2725-M2725</x:f>
        <x:v>-16</x:v>
      </x:c>
    </x:row>
    <x:row r="2726" ht="22" customHeight="1">
      <x:c r="A2726" s="11" t="n">
        <x:v>2722</x:v>
      </x:c>
      <x:c r="B2726" s="11" t="n">
        <x:v>1377</x:v>
      </x:c>
      <x:c r="C2726" s="18" t="n">
        <x:v>45701</x:v>
      </x:c>
      <x:c r="D2726" s="11" t="str">
        <x:v>2025-02</x:v>
      </x:c>
      <x:c r="E2726" s="11" t="str">
        <x:v>South</x:v>
      </x:c>
      <x:c r="F2726" s="11" t="str">
        <x:v>Furniture</x:v>
      </x:c>
      <x:c r="G2726" s="11" t="str">
        <x:v>Chair</x:v>
      </x:c>
      <x:c r="H2726" s="11" t="n">
        <x:v>1</x:v>
      </x:c>
      <x:c r="I2726" s="19" t="n">
        <x:v>0.15</x:v>
      </x:c>
      <x:c r="J2726" s="11" t="n">
        <x:v>0</x:v>
      </x:c>
      <x:c r="K2726" s="20" t="n">
        <x:v>170</x:v>
      </x:c>
      <x:c r="L2726" s="20" t="n">
        <x:v>25.5</x:v>
      </x:c>
      <x:c r="M2726" s="20" t="n">
        <x:v>110</x:v>
      </x:c>
      <x:c r="N2726" s="20" t="n">
        <x:f>IF(J2726=1,0,K2726-L2726)</x:f>
        <x:v>144.5</x:v>
      </x:c>
      <x:c r="O2726" s="20" t="n">
        <x:f>N2726-M2726</x:f>
        <x:v>34.5</x:v>
      </x:c>
    </x:row>
    <x:row r="2727" ht="22" customHeight="1">
      <x:c r="A2727" s="11" t="n">
        <x:v>2723</x:v>
      </x:c>
      <x:c r="B2727" s="11" t="n">
        <x:v>1378</x:v>
      </x:c>
      <x:c r="C2727" s="18" t="n">
        <x:v>45350</x:v>
      </x:c>
      <x:c r="D2727" s="11" t="str">
        <x:v>2024-02</x:v>
      </x:c>
      <x:c r="E2727" s="11" t="str">
        <x:v>Central</x:v>
      </x:c>
      <x:c r="F2727" s="11" t="str">
        <x:v>Furniture</x:v>
      </x:c>
      <x:c r="G2727" s="11" t="str">
        <x:v>Chair</x:v>
      </x:c>
      <x:c r="H2727" s="11" t="n">
        <x:v>4</x:v>
      </x:c>
      <x:c r="I2727" s="19" t="n">
        <x:v>0</x:v>
      </x:c>
      <x:c r="J2727" s="11" t="n">
        <x:v>0</x:v>
      </x:c>
      <x:c r="K2727" s="20" t="n">
        <x:v>680</x:v>
      </x:c>
      <x:c r="L2727" s="20" t="n">
        <x:v>0</x:v>
      </x:c>
      <x:c r="M2727" s="20" t="n">
        <x:v>440</x:v>
      </x:c>
      <x:c r="N2727" s="20" t="n">
        <x:f>IF(J2727=1,0,K2727-L2727)</x:f>
        <x:v>680</x:v>
      </x:c>
      <x:c r="O2727" s="20" t="n">
        <x:f>N2727-M2727</x:f>
        <x:v>240</x:v>
      </x:c>
    </x:row>
    <x:row r="2728" ht="22" customHeight="1">
      <x:c r="A2728" s="11" t="n">
        <x:v>2724</x:v>
      </x:c>
      <x:c r="B2728" s="11" t="n">
        <x:v>1378</x:v>
      </x:c>
      <x:c r="C2728" s="18" t="n">
        <x:v>45350</x:v>
      </x:c>
      <x:c r="D2728" s="11" t="str">
        <x:v>2024-02</x:v>
      </x:c>
      <x:c r="E2728" s="11" t="str">
        <x:v>Central</x:v>
      </x:c>
      <x:c r="F2728" s="11" t="str">
        <x:v>Technology</x:v>
      </x:c>
      <x:c r="G2728" s="11" t="str">
        <x:v>Keyboard</x:v>
      </x:c>
      <x:c r="H2728" s="11" t="n">
        <x:v>3</x:v>
      </x:c>
      <x:c r="I2728" s="19" t="n">
        <x:v>0</x:v>
      </x:c>
      <x:c r="J2728" s="11" t="n">
        <x:v>0</x:v>
      </x:c>
      <x:c r="K2728" s="20" t="n">
        <x:v>195</x:v>
      </x:c>
      <x:c r="L2728" s="20" t="n">
        <x:v>0</x:v>
      </x:c>
      <x:c r="M2728" s="20" t="n">
        <x:v>96</x:v>
      </x:c>
      <x:c r="N2728" s="20" t="n">
        <x:f>IF(J2728=1,0,K2728-L2728)</x:f>
        <x:v>195</x:v>
      </x:c>
      <x:c r="O2728" s="20" t="n">
        <x:f>N2728-M2728</x:f>
        <x:v>99</x:v>
      </x:c>
    </x:row>
    <x:row r="2729" ht="22" customHeight="1">
      <x:c r="A2729" s="11" t="n">
        <x:v>2725</x:v>
      </x:c>
      <x:c r="B2729" s="11" t="n">
        <x:v>1379</x:v>
      </x:c>
      <x:c r="C2729" s="18" t="n">
        <x:v>45790</x:v>
      </x:c>
      <x:c r="D2729" s="11" t="str">
        <x:v>2025-05</x:v>
      </x:c>
      <x:c r="E2729" s="11" t="str">
        <x:v>West</x:v>
      </x:c>
      <x:c r="F2729" s="11" t="str">
        <x:v>Furniture</x:v>
      </x:c>
      <x:c r="G2729" s="11" t="str">
        <x:v>Chair</x:v>
      </x:c>
      <x:c r="H2729" s="11" t="n">
        <x:v>2</x:v>
      </x:c>
      <x:c r="I2729" s="19" t="n">
        <x:v>0.1</x:v>
      </x:c>
      <x:c r="J2729" s="11" t="n">
        <x:v>0</x:v>
      </x:c>
      <x:c r="K2729" s="20" t="n">
        <x:v>340</x:v>
      </x:c>
      <x:c r="L2729" s="20" t="n">
        <x:v>34</x:v>
      </x:c>
      <x:c r="M2729" s="20" t="n">
        <x:v>220</x:v>
      </x:c>
      <x:c r="N2729" s="20" t="n">
        <x:f>IF(J2729=1,0,K2729-L2729)</x:f>
        <x:v>306</x:v>
      </x:c>
      <x:c r="O2729" s="20" t="n">
        <x:f>N2729-M2729</x:f>
        <x:v>86</x:v>
      </x:c>
    </x:row>
    <x:row r="2730" ht="22" customHeight="1">
      <x:c r="A2730" s="11" t="n">
        <x:v>2726</x:v>
      </x:c>
      <x:c r="B2730" s="11" t="n">
        <x:v>1379</x:v>
      </x:c>
      <x:c r="C2730" s="18" t="n">
        <x:v>45790</x:v>
      </x:c>
      <x:c r="D2730" s="11" t="str">
        <x:v>2025-05</x:v>
      </x:c>
      <x:c r="E2730" s="11" t="str">
        <x:v>West</x:v>
      </x:c>
      <x:c r="F2730" s="11" t="str">
        <x:v>Technology</x:v>
      </x:c>
      <x:c r="G2730" s="11" t="str">
        <x:v>Keyboard</x:v>
      </x:c>
      <x:c r="H2730" s="11" t="n">
        <x:v>2</x:v>
      </x:c>
      <x:c r="I2730" s="19" t="n">
        <x:v>0.05</x:v>
      </x:c>
      <x:c r="J2730" s="11" t="n">
        <x:v>0</x:v>
      </x:c>
      <x:c r="K2730" s="20" t="n">
        <x:v>130</x:v>
      </x:c>
      <x:c r="L2730" s="20" t="n">
        <x:v>6.5</x:v>
      </x:c>
      <x:c r="M2730" s="20" t="n">
        <x:v>64</x:v>
      </x:c>
      <x:c r="N2730" s="20" t="n">
        <x:f>IF(J2730=1,0,K2730-L2730)</x:f>
        <x:v>123.5</x:v>
      </x:c>
      <x:c r="O2730" s="20" t="n">
        <x:f>N2730-M2730</x:f>
        <x:v>59.5</x:v>
      </x:c>
    </x:row>
    <x:row r="2731" ht="22" customHeight="1">
      <x:c r="A2731" s="11" t="n">
        <x:v>2727</x:v>
      </x:c>
      <x:c r="B2731" s="11" t="n">
        <x:v>1379</x:v>
      </x:c>
      <x:c r="C2731" s="18" t="n">
        <x:v>45790</x:v>
      </x:c>
      <x:c r="D2731" s="11" t="str">
        <x:v>2025-05</x:v>
      </x:c>
      <x:c r="E2731" s="11" t="str">
        <x:v>West</x:v>
      </x:c>
      <x:c r="F2731" s="11" t="str">
        <x:v>Office Supplies</x:v>
      </x:c>
      <x:c r="G2731" s="11" t="str">
        <x:v>Notebook pack</x:v>
      </x:c>
      <x:c r="H2731" s="11" t="n">
        <x:v>3</x:v>
      </x:c>
      <x:c r="I2731" s="19" t="n">
        <x:v>0.15</x:v>
      </x:c>
      <x:c r="J2731" s="11" t="n">
        <x:v>0</x:v>
      </x:c>
      <x:c r="K2731" s="20" t="n">
        <x:v>54</x:v>
      </x:c>
      <x:c r="L2731" s="20" t="n">
        <x:v>8.1</x:v>
      </x:c>
      <x:c r="M2731" s="20" t="n">
        <x:v>21</x:v>
      </x:c>
      <x:c r="N2731" s="20" t="n">
        <x:f>IF(J2731=1,0,K2731-L2731)</x:f>
        <x:v>45.9</x:v>
      </x:c>
      <x:c r="O2731" s="20" t="n">
        <x:f>N2731-M2731</x:f>
        <x:v>24.9</x:v>
      </x:c>
    </x:row>
    <x:row r="2732" ht="22" customHeight="1">
      <x:c r="A2732" s="11" t="n">
        <x:v>2728</x:v>
      </x:c>
      <x:c r="B2732" s="11" t="n">
        <x:v>1380</x:v>
      </x:c>
      <x:c r="C2732" s="18" t="n">
        <x:v>45376</x:v>
      </x:c>
      <x:c r="D2732" s="11" t="str">
        <x:v>2024-03</x:v>
      </x:c>
      <x:c r="E2732" s="11" t="str">
        <x:v>South</x:v>
      </x:c>
      <x:c r="F2732" s="11" t="str">
        <x:v>Office Supplies</x:v>
      </x:c>
      <x:c r="G2732" s="11" t="str">
        <x:v>Storage box</x:v>
      </x:c>
      <x:c r="H2732" s="11" t="n">
        <x:v>1</x:v>
      </x:c>
      <x:c r="I2732" s="19" t="n">
        <x:v>0</x:v>
      </x:c>
      <x:c r="J2732" s="11" t="n">
        <x:v>0</x:v>
      </x:c>
      <x:c r="K2732" s="20" t="n">
        <x:v>26</x:v>
      </x:c>
      <x:c r="L2732" s="20" t="n">
        <x:v>0</x:v>
      </x:c>
      <x:c r="M2732" s="20" t="n">
        <x:v>12</x:v>
      </x:c>
      <x:c r="N2732" s="20" t="n">
        <x:f>IF(J2732=1,0,K2732-L2732)</x:f>
        <x:v>26</x:v>
      </x:c>
      <x:c r="O2732" s="20" t="n">
        <x:f>N2732-M2732</x:f>
        <x:v>14</x:v>
      </x:c>
    </x:row>
    <x:row r="2733" ht="22" customHeight="1">
      <x:c r="A2733" s="11" t="n">
        <x:v>2729</x:v>
      </x:c>
      <x:c r="B2733" s="11" t="n">
        <x:v>1381</x:v>
      </x:c>
      <x:c r="C2733" s="18" t="n">
        <x:v>45796</x:v>
      </x:c>
      <x:c r="D2733" s="11" t="str">
        <x:v>2025-05</x:v>
      </x:c>
      <x:c r="E2733" s="11" t="str">
        <x:v>Central</x:v>
      </x:c>
      <x:c r="F2733" s="11" t="str">
        <x:v>Furniture</x:v>
      </x:c>
      <x:c r="G2733" s="11" t="str">
        <x:v>Desk</x:v>
      </x:c>
      <x:c r="H2733" s="11" t="n">
        <x:v>4</x:v>
      </x:c>
      <x:c r="I2733" s="19" t="n">
        <x:v>0</x:v>
      </x:c>
      <x:c r="J2733" s="11" t="n">
        <x:v>1</x:v>
      </x:c>
      <x:c r="K2733" s="20" t="n">
        <x:v>1120</x:v>
      </x:c>
      <x:c r="L2733" s="20" t="n">
        <x:v>0</x:v>
      </x:c>
      <x:c r="M2733" s="20" t="n">
        <x:v>0</x:v>
      </x:c>
      <x:c r="N2733" s="20" t="n">
        <x:f>IF(J2733=1,0,K2733-L2733)</x:f>
        <x:v>0</x:v>
      </x:c>
      <x:c r="O2733" s="20" t="n">
        <x:f>N2733-M2733</x:f>
        <x:v>0</x:v>
      </x:c>
    </x:row>
    <x:row r="2734" ht="22" customHeight="1">
      <x:c r="A2734" s="11" t="n">
        <x:v>2730</x:v>
      </x:c>
      <x:c r="B2734" s="11" t="n">
        <x:v>1382</x:v>
      </x:c>
      <x:c r="C2734" s="18" t="n">
        <x:v>45590</x:v>
      </x:c>
      <x:c r="D2734" s="11" t="str">
        <x:v>2024-10</x:v>
      </x:c>
      <x:c r="E2734" s="11" t="str">
        <x:v>East</x:v>
      </x:c>
      <x:c r="F2734" s="11" t="str">
        <x:v>Office Supplies</x:v>
      </x:c>
      <x:c r="G2734" s="11" t="str">
        <x:v>Notebook pack</x:v>
      </x:c>
      <x:c r="H2734" s="11" t="n">
        <x:v>2</x:v>
      </x:c>
      <x:c r="I2734" s="19" t="n">
        <x:v>0.05</x:v>
      </x:c>
      <x:c r="J2734" s="11" t="n">
        <x:v>0</x:v>
      </x:c>
      <x:c r="K2734" s="20" t="n">
        <x:v>36</x:v>
      </x:c>
      <x:c r="L2734" s="20" t="n">
        <x:v>1.8</x:v>
      </x:c>
      <x:c r="M2734" s="20" t="n">
        <x:v>14</x:v>
      </x:c>
      <x:c r="N2734" s="20" t="n">
        <x:f>IF(J2734=1,0,K2734-L2734)</x:f>
        <x:v>34.2</x:v>
      </x:c>
      <x:c r="O2734" s="20" t="n">
        <x:f>N2734-M2734</x:f>
        <x:v>20.200000000000003</x:v>
      </x:c>
    </x:row>
    <x:row r="2735" ht="22" customHeight="1">
      <x:c r="A2735" s="11" t="n">
        <x:v>2731</x:v>
      </x:c>
      <x:c r="B2735" s="11" t="n">
        <x:v>1382</x:v>
      </x:c>
      <x:c r="C2735" s="18" t="n">
        <x:v>45590</x:v>
      </x:c>
      <x:c r="D2735" s="11" t="str">
        <x:v>2024-10</x:v>
      </x:c>
      <x:c r="E2735" s="11" t="str">
        <x:v>East</x:v>
      </x:c>
      <x:c r="F2735" s="11" t="str">
        <x:v>Furniture</x:v>
      </x:c>
      <x:c r="G2735" s="11" t="str">
        <x:v>Desk</x:v>
      </x:c>
      <x:c r="H2735" s="11" t="n">
        <x:v>1</x:v>
      </x:c>
      <x:c r="I2735" s="19" t="n">
        <x:v>0</x:v>
      </x:c>
      <x:c r="J2735" s="11" t="n">
        <x:v>0</x:v>
      </x:c>
      <x:c r="K2735" s="20" t="n">
        <x:v>280</x:v>
      </x:c>
      <x:c r="L2735" s="20" t="n">
        <x:v>0</x:v>
      </x:c>
      <x:c r="M2735" s="20" t="n">
        <x:v>190</x:v>
      </x:c>
      <x:c r="N2735" s="20" t="n">
        <x:f>IF(J2735=1,0,K2735-L2735)</x:f>
        <x:v>280</x:v>
      </x:c>
      <x:c r="O2735" s="20" t="n">
        <x:f>N2735-M2735</x:f>
        <x:v>90</x:v>
      </x:c>
    </x:row>
    <x:row r="2736" ht="22" customHeight="1">
      <x:c r="A2736" s="11" t="n">
        <x:v>2732</x:v>
      </x:c>
      <x:c r="B2736" s="11" t="n">
        <x:v>1382</x:v>
      </x:c>
      <x:c r="C2736" s="18" t="n">
        <x:v>45590</x:v>
      </x:c>
      <x:c r="D2736" s="11" t="str">
        <x:v>2024-10</x:v>
      </x:c>
      <x:c r="E2736" s="11" t="str">
        <x:v>East</x:v>
      </x:c>
      <x:c r="F2736" s="11" t="str">
        <x:v>Office Supplies</x:v>
      </x:c>
      <x:c r="G2736" s="11" t="str">
        <x:v>Storage box</x:v>
      </x:c>
      <x:c r="H2736" s="11" t="n">
        <x:v>5</x:v>
      </x:c>
      <x:c r="I2736" s="19" t="n">
        <x:v>0</x:v>
      </x:c>
      <x:c r="J2736" s="11" t="n">
        <x:v>0</x:v>
      </x:c>
      <x:c r="K2736" s="20" t="n">
        <x:v>130</x:v>
      </x:c>
      <x:c r="L2736" s="20" t="n">
        <x:v>0</x:v>
      </x:c>
      <x:c r="M2736" s="20" t="n">
        <x:v>60</x:v>
      </x:c>
      <x:c r="N2736" s="20" t="n">
        <x:f>IF(J2736=1,0,K2736-L2736)</x:f>
        <x:v>130</x:v>
      </x:c>
      <x:c r="O2736" s="20" t="n">
        <x:f>N2736-M2736</x:f>
        <x:v>70</x:v>
      </x:c>
    </x:row>
    <x:row r="2737" ht="22" customHeight="1">
      <x:c r="A2737" s="11" t="n">
        <x:v>2733</x:v>
      </x:c>
      <x:c r="B2737" s="11" t="n">
        <x:v>1383</x:v>
      </x:c>
      <x:c r="C2737" s="18" t="n">
        <x:v>45488</x:v>
      </x:c>
      <x:c r="D2737" s="11" t="str">
        <x:v>2024-07</x:v>
      </x:c>
      <x:c r="E2737" s="11" t="str">
        <x:v>South</x:v>
      </x:c>
      <x:c r="F2737" s="11" t="str">
        <x:v>Furniture</x:v>
      </x:c>
      <x:c r="G2737" s="11" t="str">
        <x:v>Desk</x:v>
      </x:c>
      <x:c r="H2737" s="11" t="n">
        <x:v>5</x:v>
      </x:c>
      <x:c r="I2737" s="19" t="n">
        <x:v>0.1</x:v>
      </x:c>
      <x:c r="J2737" s="11" t="n">
        <x:v>0</x:v>
      </x:c>
      <x:c r="K2737" s="20" t="n">
        <x:v>1400</x:v>
      </x:c>
      <x:c r="L2737" s="20" t="n">
        <x:v>140</x:v>
      </x:c>
      <x:c r="M2737" s="20" t="n">
        <x:v>950</x:v>
      </x:c>
      <x:c r="N2737" s="20" t="n">
        <x:f>IF(J2737=1,0,K2737-L2737)</x:f>
        <x:v>1260</x:v>
      </x:c>
      <x:c r="O2737" s="20" t="n">
        <x:f>N2737-M2737</x:f>
        <x:v>310</x:v>
      </x:c>
    </x:row>
    <x:row r="2738" ht="22" customHeight="1">
      <x:c r="A2738" s="11" t="n">
        <x:v>2734</x:v>
      </x:c>
      <x:c r="B2738" s="11" t="n">
        <x:v>1383</x:v>
      </x:c>
      <x:c r="C2738" s="18" t="n">
        <x:v>45488</x:v>
      </x:c>
      <x:c r="D2738" s="11" t="str">
        <x:v>2024-07</x:v>
      </x:c>
      <x:c r="E2738" s="11" t="str">
        <x:v>South</x:v>
      </x:c>
      <x:c r="F2738" s="11" t="str">
        <x:v>Technology</x:v>
      </x:c>
      <x:c r="G2738" s="11" t="str">
        <x:v>Monitor</x:v>
      </x:c>
      <x:c r="H2738" s="11" t="n">
        <x:v>5</x:v>
      </x:c>
      <x:c r="I2738" s="19" t="n">
        <x:v>0</x:v>
      </x:c>
      <x:c r="J2738" s="11" t="n">
        <x:v>0</x:v>
      </x:c>
      <x:c r="K2738" s="20" t="n">
        <x:v>1200</x:v>
      </x:c>
      <x:c r="L2738" s="20" t="n">
        <x:v>0</x:v>
      </x:c>
      <x:c r="M2738" s="20" t="n">
        <x:v>800</x:v>
      </x:c>
      <x:c r="N2738" s="20" t="n">
        <x:f>IF(J2738=1,0,K2738-L2738)</x:f>
        <x:v>1200</x:v>
      </x:c>
      <x:c r="O2738" s="20" t="n">
        <x:f>N2738-M2738</x:f>
        <x:v>400</x:v>
      </x:c>
    </x:row>
    <x:row r="2739" ht="22" customHeight="1">
      <x:c r="A2739" s="11" t="n">
        <x:v>2735</x:v>
      </x:c>
      <x:c r="B2739" s="11" t="n">
        <x:v>1384</x:v>
      </x:c>
      <x:c r="C2739" s="18" t="n">
        <x:v>45583</x:v>
      </x:c>
      <x:c r="D2739" s="11" t="str">
        <x:v>2024-10</x:v>
      </x:c>
      <x:c r="E2739" s="11" t="str">
        <x:v>East</x:v>
      </x:c>
      <x:c r="F2739" s="11" t="str">
        <x:v>Office Supplies</x:v>
      </x:c>
      <x:c r="G2739" s="11" t="str">
        <x:v>Notebook pack</x:v>
      </x:c>
      <x:c r="H2739" s="11" t="n">
        <x:v>2</x:v>
      </x:c>
      <x:c r="I2739" s="19" t="n">
        <x:v>0.15</x:v>
      </x:c>
      <x:c r="J2739" s="11" t="n">
        <x:v>0</x:v>
      </x:c>
      <x:c r="K2739" s="20" t="n">
        <x:v>36</x:v>
      </x:c>
      <x:c r="L2739" s="20" t="n">
        <x:v>5.4</x:v>
      </x:c>
      <x:c r="M2739" s="20" t="n">
        <x:v>14</x:v>
      </x:c>
      <x:c r="N2739" s="20" t="n">
        <x:f>IF(J2739=1,0,K2739-L2739)</x:f>
        <x:v>30.6</x:v>
      </x:c>
      <x:c r="O2739" s="20" t="n">
        <x:f>N2739-M2739</x:f>
        <x:v>16.6</x:v>
      </x:c>
    </x:row>
    <x:row r="2740" ht="22" customHeight="1">
      <x:c r="A2740" s="11" t="n">
        <x:v>2736</x:v>
      </x:c>
      <x:c r="B2740" s="11" t="n">
        <x:v>1384</x:v>
      </x:c>
      <x:c r="C2740" s="18" t="n">
        <x:v>45583</x:v>
      </x:c>
      <x:c r="D2740" s="11" t="str">
        <x:v>2024-10</x:v>
      </x:c>
      <x:c r="E2740" s="11" t="str">
        <x:v>East</x:v>
      </x:c>
      <x:c r="F2740" s="11" t="str">
        <x:v>Technology</x:v>
      </x:c>
      <x:c r="G2740" s="11" t="str">
        <x:v>Monitor</x:v>
      </x:c>
      <x:c r="H2740" s="11" t="n">
        <x:v>5</x:v>
      </x:c>
      <x:c r="I2740" s="19" t="n">
        <x:v>0</x:v>
      </x:c>
      <x:c r="J2740" s="11" t="n">
        <x:v>0</x:v>
      </x:c>
      <x:c r="K2740" s="20" t="n">
        <x:v>1200</x:v>
      </x:c>
      <x:c r="L2740" s="20" t="n">
        <x:v>0</x:v>
      </x:c>
      <x:c r="M2740" s="20" t="n">
        <x:v>800</x:v>
      </x:c>
      <x:c r="N2740" s="20" t="n">
        <x:f>IF(J2740=1,0,K2740-L2740)</x:f>
        <x:v>1200</x:v>
      </x:c>
      <x:c r="O2740" s="20" t="n">
        <x:f>N2740-M2740</x:f>
        <x:v>400</x:v>
      </x:c>
    </x:row>
    <x:row r="2741" ht="22" customHeight="1">
      <x:c r="A2741" s="11" t="n">
        <x:v>2737</x:v>
      </x:c>
      <x:c r="B2741" s="11" t="n">
        <x:v>1385</x:v>
      </x:c>
      <x:c r="C2741" s="18" t="n">
        <x:v>45324</x:v>
      </x:c>
      <x:c r="D2741" s="11" t="str">
        <x:v>2024-02</x:v>
      </x:c>
      <x:c r="E2741" s="11" t="str">
        <x:v>East</x:v>
      </x:c>
      <x:c r="F2741" s="11" t="str">
        <x:v>Furniture</x:v>
      </x:c>
      <x:c r="G2741" s="11" t="str">
        <x:v>Chair</x:v>
      </x:c>
      <x:c r="H2741" s="11" t="n">
        <x:v>3</x:v>
      </x:c>
      <x:c r="I2741" s="19" t="n">
        <x:v>0.1</x:v>
      </x:c>
      <x:c r="J2741" s="11" t="n">
        <x:v>0</x:v>
      </x:c>
      <x:c r="K2741" s="20" t="n">
        <x:v>510</x:v>
      </x:c>
      <x:c r="L2741" s="20" t="n">
        <x:v>51</x:v>
      </x:c>
      <x:c r="M2741" s="20" t="n">
        <x:v>330</x:v>
      </x:c>
      <x:c r="N2741" s="20" t="n">
        <x:f>IF(J2741=1,0,K2741-L2741)</x:f>
        <x:v>459</x:v>
      </x:c>
      <x:c r="O2741" s="20" t="n">
        <x:f>N2741-M2741</x:f>
        <x:v>129</x:v>
      </x:c>
    </x:row>
    <x:row r="2742" ht="22" customHeight="1">
      <x:c r="A2742" s="11" t="n">
        <x:v>2738</x:v>
      </x:c>
      <x:c r="B2742" s="11" t="n">
        <x:v>1385</x:v>
      </x:c>
      <x:c r="C2742" s="18" t="n">
        <x:v>45324</x:v>
      </x:c>
      <x:c r="D2742" s="11" t="str">
        <x:v>2024-02</x:v>
      </x:c>
      <x:c r="E2742" s="11" t="str">
        <x:v>East</x:v>
      </x:c>
      <x:c r="F2742" s="11" t="str">
        <x:v>Technology</x:v>
      </x:c>
      <x:c r="G2742" s="11" t="str">
        <x:v>Keyboard</x:v>
      </x:c>
      <x:c r="H2742" s="11" t="n">
        <x:v>4</x:v>
      </x:c>
      <x:c r="I2742" s="19" t="n">
        <x:v>0.1</x:v>
      </x:c>
      <x:c r="J2742" s="11" t="n">
        <x:v>0</x:v>
      </x:c>
      <x:c r="K2742" s="20" t="n">
        <x:v>260</x:v>
      </x:c>
      <x:c r="L2742" s="20" t="n">
        <x:v>26</x:v>
      </x:c>
      <x:c r="M2742" s="20" t="n">
        <x:v>128</x:v>
      </x:c>
      <x:c r="N2742" s="20" t="n">
        <x:f>IF(J2742=1,0,K2742-L2742)</x:f>
        <x:v>234</x:v>
      </x:c>
      <x:c r="O2742" s="20" t="n">
        <x:f>N2742-M2742</x:f>
        <x:v>106</x:v>
      </x:c>
    </x:row>
    <x:row r="2743" ht="22" customHeight="1">
      <x:c r="A2743" s="11" t="n">
        <x:v>2739</x:v>
      </x:c>
      <x:c r="B2743" s="11" t="n">
        <x:v>1385</x:v>
      </x:c>
      <x:c r="C2743" s="18" t="n">
        <x:v>45324</x:v>
      </x:c>
      <x:c r="D2743" s="11" t="str">
        <x:v>2024-02</x:v>
      </x:c>
      <x:c r="E2743" s="11" t="str">
        <x:v>East</x:v>
      </x:c>
      <x:c r="F2743" s="11" t="str">
        <x:v>Office Supplies</x:v>
      </x:c>
      <x:c r="G2743" s="11" t="str">
        <x:v>Notebook pack</x:v>
      </x:c>
      <x:c r="H2743" s="11" t="n">
        <x:v>2</x:v>
      </x:c>
      <x:c r="I2743" s="19" t="n">
        <x:v>0.05</x:v>
      </x:c>
      <x:c r="J2743" s="11" t="n">
        <x:v>0</x:v>
      </x:c>
      <x:c r="K2743" s="20" t="n">
        <x:v>36</x:v>
      </x:c>
      <x:c r="L2743" s="20" t="n">
        <x:v>1.8</x:v>
      </x:c>
      <x:c r="M2743" s="20" t="n">
        <x:v>14</x:v>
      </x:c>
      <x:c r="N2743" s="20" t="n">
        <x:f>IF(J2743=1,0,K2743-L2743)</x:f>
        <x:v>34.2</x:v>
      </x:c>
      <x:c r="O2743" s="20" t="n">
        <x:f>N2743-M2743</x:f>
        <x:v>20.200000000000003</x:v>
      </x:c>
    </x:row>
    <x:row r="2744" ht="22" customHeight="1">
      <x:c r="A2744" s="11" t="n">
        <x:v>2740</x:v>
      </x:c>
      <x:c r="B2744" s="11" t="n">
        <x:v>1386</x:v>
      </x:c>
      <x:c r="C2744" s="18" t="n">
        <x:v>45507</x:v>
      </x:c>
      <x:c r="D2744" s="11" t="str">
        <x:v>2024-08</x:v>
      </x:c>
      <x:c r="E2744" s="11" t="str">
        <x:v>Central</x:v>
      </x:c>
      <x:c r="F2744" s="11" t="str">
        <x:v>Office Supplies</x:v>
      </x:c>
      <x:c r="G2744" s="11" t="str">
        <x:v>Storage box</x:v>
      </x:c>
      <x:c r="H2744" s="11" t="n">
        <x:v>2</x:v>
      </x:c>
      <x:c r="I2744" s="19" t="n">
        <x:v>0</x:v>
      </x:c>
      <x:c r="J2744" s="11" t="n">
        <x:v>0</x:v>
      </x:c>
      <x:c r="K2744" s="20" t="n">
        <x:v>52</x:v>
      </x:c>
      <x:c r="L2744" s="20" t="n">
        <x:v>0</x:v>
      </x:c>
      <x:c r="M2744" s="20" t="n">
        <x:v>24</x:v>
      </x:c>
      <x:c r="N2744" s="20" t="n">
        <x:f>IF(J2744=1,0,K2744-L2744)</x:f>
        <x:v>52</x:v>
      </x:c>
      <x:c r="O2744" s="20" t="n">
        <x:f>N2744-M2744</x:f>
        <x:v>28</x:v>
      </x:c>
    </x:row>
    <x:row r="2745" ht="22" customHeight="1">
      <x:c r="A2745" s="11" t="n">
        <x:v>2741</x:v>
      </x:c>
      <x:c r="B2745" s="11" t="n">
        <x:v>1387</x:v>
      </x:c>
      <x:c r="C2745" s="18" t="n">
        <x:v>45893</x:v>
      </x:c>
      <x:c r="D2745" s="11" t="str">
        <x:v>2025-08</x:v>
      </x:c>
      <x:c r="E2745" s="11" t="str">
        <x:v>West</x:v>
      </x:c>
      <x:c r="F2745" s="11" t="str">
        <x:v>Technology</x:v>
      </x:c>
      <x:c r="G2745" s="11" t="str">
        <x:v>Keyboard</x:v>
      </x:c>
      <x:c r="H2745" s="11" t="n">
        <x:v>2</x:v>
      </x:c>
      <x:c r="I2745" s="19" t="n">
        <x:v>0</x:v>
      </x:c>
      <x:c r="J2745" s="11" t="n">
        <x:v>0</x:v>
      </x:c>
      <x:c r="K2745" s="20" t="n">
        <x:v>130</x:v>
      </x:c>
      <x:c r="L2745" s="20" t="n">
        <x:v>0</x:v>
      </x:c>
      <x:c r="M2745" s="20" t="n">
        <x:v>64</x:v>
      </x:c>
      <x:c r="N2745" s="20" t="n">
        <x:f>IF(J2745=1,0,K2745-L2745)</x:f>
        <x:v>130</x:v>
      </x:c>
      <x:c r="O2745" s="20" t="n">
        <x:f>N2745-M2745</x:f>
        <x:v>66</x:v>
      </x:c>
    </x:row>
    <x:row r="2746" ht="22" customHeight="1">
      <x:c r="A2746" s="11" t="n">
        <x:v>2742</x:v>
      </x:c>
      <x:c r="B2746" s="11" t="n">
        <x:v>1388</x:v>
      </x:c>
      <x:c r="C2746" s="18" t="n">
        <x:v>45581</x:v>
      </x:c>
      <x:c r="D2746" s="11" t="str">
        <x:v>2024-10</x:v>
      </x:c>
      <x:c r="E2746" s="11" t="str">
        <x:v>South</x:v>
      </x:c>
      <x:c r="F2746" s="11" t="str">
        <x:v>Technology</x:v>
      </x:c>
      <x:c r="G2746" s="11" t="str">
        <x:v>Monitor</x:v>
      </x:c>
      <x:c r="H2746" s="11" t="n">
        <x:v>4</x:v>
      </x:c>
      <x:c r="I2746" s="19" t="n">
        <x:v>0.1</x:v>
      </x:c>
      <x:c r="J2746" s="11" t="n">
        <x:v>0</x:v>
      </x:c>
      <x:c r="K2746" s="20" t="n">
        <x:v>960</x:v>
      </x:c>
      <x:c r="L2746" s="20" t="n">
        <x:v>96</x:v>
      </x:c>
      <x:c r="M2746" s="20" t="n">
        <x:v>640</x:v>
      </x:c>
      <x:c r="N2746" s="20" t="n">
        <x:f>IF(J2746=1,0,K2746-L2746)</x:f>
        <x:v>864</x:v>
      </x:c>
      <x:c r="O2746" s="20" t="n">
        <x:f>N2746-M2746</x:f>
        <x:v>224</x:v>
      </x:c>
    </x:row>
    <x:row r="2747" ht="22" customHeight="1">
      <x:c r="A2747" s="11" t="n">
        <x:v>2743</x:v>
      </x:c>
      <x:c r="B2747" s="11" t="n">
        <x:v>1388</x:v>
      </x:c>
      <x:c r="C2747" s="18" t="n">
        <x:v>45581</x:v>
      </x:c>
      <x:c r="D2747" s="11" t="str">
        <x:v>2024-10</x:v>
      </x:c>
      <x:c r="E2747" s="11" t="str">
        <x:v>South</x:v>
      </x:c>
      <x:c r="F2747" s="11" t="str">
        <x:v>Office Supplies</x:v>
      </x:c>
      <x:c r="G2747" s="11" t="str">
        <x:v>Notebook pack</x:v>
      </x:c>
      <x:c r="H2747" s="11" t="n">
        <x:v>5</x:v>
      </x:c>
      <x:c r="I2747" s="19" t="n">
        <x:v>0.15</x:v>
      </x:c>
      <x:c r="J2747" s="11" t="n">
        <x:v>0</x:v>
      </x:c>
      <x:c r="K2747" s="20" t="n">
        <x:v>90</x:v>
      </x:c>
      <x:c r="L2747" s="20" t="n">
        <x:v>13.5</x:v>
      </x:c>
      <x:c r="M2747" s="20" t="n">
        <x:v>35</x:v>
      </x:c>
      <x:c r="N2747" s="20" t="n">
        <x:f>IF(J2747=1,0,K2747-L2747)</x:f>
        <x:v>76.5</x:v>
      </x:c>
      <x:c r="O2747" s="20" t="n">
        <x:f>N2747-M2747</x:f>
        <x:v>41.5</x:v>
      </x:c>
    </x:row>
    <x:row r="2748" ht="22" customHeight="1">
      <x:c r="A2748" s="11" t="n">
        <x:v>2744</x:v>
      </x:c>
      <x:c r="B2748" s="11" t="n">
        <x:v>1388</x:v>
      </x:c>
      <x:c r="C2748" s="18" t="n">
        <x:v>45581</x:v>
      </x:c>
      <x:c r="D2748" s="11" t="str">
        <x:v>2024-10</x:v>
      </x:c>
      <x:c r="E2748" s="11" t="str">
        <x:v>South</x:v>
      </x:c>
      <x:c r="F2748" s="11" t="str">
        <x:v>Furniture</x:v>
      </x:c>
      <x:c r="G2748" s="11" t="str">
        <x:v>Chair</x:v>
      </x:c>
      <x:c r="H2748" s="11" t="n">
        <x:v>2</x:v>
      </x:c>
      <x:c r="I2748" s="19" t="n">
        <x:v>0.35</x:v>
      </x:c>
      <x:c r="J2748" s="11" t="n">
        <x:v>0</x:v>
      </x:c>
      <x:c r="K2748" s="20" t="n">
        <x:v>340</x:v>
      </x:c>
      <x:c r="L2748" s="20" t="n">
        <x:v>119</x:v>
      </x:c>
      <x:c r="M2748" s="20" t="n">
        <x:v>220</x:v>
      </x:c>
      <x:c r="N2748" s="20" t="n">
        <x:f>IF(J2748=1,0,K2748-L2748)</x:f>
        <x:v>221</x:v>
      </x:c>
      <x:c r="O2748" s="20" t="n">
        <x:f>N2748-M2748</x:f>
        <x:v>1</x:v>
      </x:c>
    </x:row>
    <x:row r="2749" ht="22" customHeight="1">
      <x:c r="A2749" s="11" t="n">
        <x:v>2745</x:v>
      </x:c>
      <x:c r="B2749" s="11" t="n">
        <x:v>1389</x:v>
      </x:c>
      <x:c r="C2749" s="18" t="n">
        <x:v>45664</x:v>
      </x:c>
      <x:c r="D2749" s="11" t="str">
        <x:v>2025-01</x:v>
      </x:c>
      <x:c r="E2749" s="11" t="str">
        <x:v>South</x:v>
      </x:c>
      <x:c r="F2749" s="11" t="str">
        <x:v>Technology</x:v>
      </x:c>
      <x:c r="G2749" s="11" t="str">
        <x:v>Monitor</x:v>
      </x:c>
      <x:c r="H2749" s="11" t="n">
        <x:v>1</x:v>
      </x:c>
      <x:c r="I2749" s="19" t="n">
        <x:v>0</x:v>
      </x:c>
      <x:c r="J2749" s="11" t="n">
        <x:v>1</x:v>
      </x:c>
      <x:c r="K2749" s="20" t="n">
        <x:v>240</x:v>
      </x:c>
      <x:c r="L2749" s="20" t="n">
        <x:v>0</x:v>
      </x:c>
      <x:c r="M2749" s="20" t="n">
        <x:v>0</x:v>
      </x:c>
      <x:c r="N2749" s="20" t="n">
        <x:f>IF(J2749=1,0,K2749-L2749)</x:f>
        <x:v>0</x:v>
      </x:c>
      <x:c r="O2749" s="20" t="n">
        <x:f>N2749-M2749</x:f>
        <x:v>0</x:v>
      </x:c>
    </x:row>
    <x:row r="2750" ht="22" customHeight="1">
      <x:c r="A2750" s="11" t="n">
        <x:v>2746</x:v>
      </x:c>
      <x:c r="B2750" s="11" t="n">
        <x:v>1390</x:v>
      </x:c>
      <x:c r="C2750" s="18" t="n">
        <x:v>45550</x:v>
      </x:c>
      <x:c r="D2750" s="11" t="str">
        <x:v>2024-09</x:v>
      </x:c>
      <x:c r="E2750" s="11" t="str">
        <x:v>South</x:v>
      </x:c>
      <x:c r="F2750" s="11" t="str">
        <x:v>Technology</x:v>
      </x:c>
      <x:c r="G2750" s="11" t="str">
        <x:v>Keyboard</x:v>
      </x:c>
      <x:c r="H2750" s="11" t="n">
        <x:v>3</x:v>
      </x:c>
      <x:c r="I2750" s="19" t="n">
        <x:v>0.1</x:v>
      </x:c>
      <x:c r="J2750" s="11" t="n">
        <x:v>0</x:v>
      </x:c>
      <x:c r="K2750" s="20" t="n">
        <x:v>195</x:v>
      </x:c>
      <x:c r="L2750" s="20" t="n">
        <x:v>19.5</x:v>
      </x:c>
      <x:c r="M2750" s="20" t="n">
        <x:v>96</x:v>
      </x:c>
      <x:c r="N2750" s="20" t="n">
        <x:f>IF(J2750=1,0,K2750-L2750)</x:f>
        <x:v>175.5</x:v>
      </x:c>
      <x:c r="O2750" s="20" t="n">
        <x:f>N2750-M2750</x:f>
        <x:v>79.5</x:v>
      </x:c>
    </x:row>
    <x:row r="2751" ht="22" customHeight="1">
      <x:c r="A2751" s="11" t="n">
        <x:v>2747</x:v>
      </x:c>
      <x:c r="B2751" s="11" t="n">
        <x:v>1390</x:v>
      </x:c>
      <x:c r="C2751" s="18" t="n">
        <x:v>45550</x:v>
      </x:c>
      <x:c r="D2751" s="11" t="str">
        <x:v>2024-09</x:v>
      </x:c>
      <x:c r="E2751" s="11" t="str">
        <x:v>South</x:v>
      </x:c>
      <x:c r="F2751" s="11" t="str">
        <x:v>Office Supplies</x:v>
      </x:c>
      <x:c r="G2751" s="11" t="str">
        <x:v>Storage box</x:v>
      </x:c>
      <x:c r="H2751" s="11" t="n">
        <x:v>3</x:v>
      </x:c>
      <x:c r="I2751" s="19" t="n">
        <x:v>0.1</x:v>
      </x:c>
      <x:c r="J2751" s="11" t="n">
        <x:v>0</x:v>
      </x:c>
      <x:c r="K2751" s="20" t="n">
        <x:v>78</x:v>
      </x:c>
      <x:c r="L2751" s="20" t="n">
        <x:v>7.8</x:v>
      </x:c>
      <x:c r="M2751" s="20" t="n">
        <x:v>36</x:v>
      </x:c>
      <x:c r="N2751" s="20" t="n">
        <x:f>IF(J2751=1,0,K2751-L2751)</x:f>
        <x:v>70.2</x:v>
      </x:c>
      <x:c r="O2751" s="20" t="n">
        <x:f>N2751-M2751</x:f>
        <x:v>34.2</x:v>
      </x:c>
    </x:row>
    <x:row r="2752" ht="22" customHeight="1">
      <x:c r="A2752" s="11" t="n">
        <x:v>2748</x:v>
      </x:c>
      <x:c r="B2752" s="11" t="n">
        <x:v>1391</x:v>
      </x:c>
      <x:c r="C2752" s="18" t="n">
        <x:v>45872</x:v>
      </x:c>
      <x:c r="D2752" s="11" t="str">
        <x:v>2025-08</x:v>
      </x:c>
      <x:c r="E2752" s="11" t="str">
        <x:v>Central</x:v>
      </x:c>
      <x:c r="F2752" s="11" t="str">
        <x:v>Furniture</x:v>
      </x:c>
      <x:c r="G2752" s="11" t="str">
        <x:v>Chair</x:v>
      </x:c>
      <x:c r="H2752" s="11" t="n">
        <x:v>3</x:v>
      </x:c>
      <x:c r="I2752" s="19" t="n">
        <x:v>0.25</x:v>
      </x:c>
      <x:c r="J2752" s="11" t="n">
        <x:v>0</x:v>
      </x:c>
      <x:c r="K2752" s="20" t="n">
        <x:v>510</x:v>
      </x:c>
      <x:c r="L2752" s="20" t="n">
        <x:v>127.5</x:v>
      </x:c>
      <x:c r="M2752" s="20" t="n">
        <x:v>330</x:v>
      </x:c>
      <x:c r="N2752" s="20" t="n">
        <x:f>IF(J2752=1,0,K2752-L2752)</x:f>
        <x:v>382.5</x:v>
      </x:c>
      <x:c r="O2752" s="20" t="n">
        <x:f>N2752-M2752</x:f>
        <x:v>52.5</x:v>
      </x:c>
    </x:row>
    <x:row r="2753" ht="22" customHeight="1">
      <x:c r="A2753" s="11" t="n">
        <x:v>2749</x:v>
      </x:c>
      <x:c r="B2753" s="11" t="n">
        <x:v>1392</x:v>
      </x:c>
      <x:c r="C2753" s="18" t="n">
        <x:v>45634</x:v>
      </x:c>
      <x:c r="D2753" s="11" t="str">
        <x:v>2024-12</x:v>
      </x:c>
      <x:c r="E2753" s="11" t="str">
        <x:v>East</x:v>
      </x:c>
      <x:c r="F2753" s="11" t="str">
        <x:v>Furniture</x:v>
      </x:c>
      <x:c r="G2753" s="11" t="str">
        <x:v>Chair</x:v>
      </x:c>
      <x:c r="H2753" s="11" t="n">
        <x:v>5</x:v>
      </x:c>
      <x:c r="I2753" s="19" t="n">
        <x:v>0.35</x:v>
      </x:c>
      <x:c r="J2753" s="11" t="n">
        <x:v>0</x:v>
      </x:c>
      <x:c r="K2753" s="20" t="n">
        <x:v>850</x:v>
      </x:c>
      <x:c r="L2753" s="20" t="n">
        <x:v>297.5</x:v>
      </x:c>
      <x:c r="M2753" s="20" t="n">
        <x:v>550</x:v>
      </x:c>
      <x:c r="N2753" s="20" t="n">
        <x:f>IF(J2753=1,0,K2753-L2753)</x:f>
        <x:v>552.5</x:v>
      </x:c>
      <x:c r="O2753" s="20" t="n">
        <x:f>N2753-M2753</x:f>
        <x:v>2.5</x:v>
      </x:c>
    </x:row>
    <x:row r="2754" ht="22" customHeight="1">
      <x:c r="A2754" s="11" t="n">
        <x:v>2750</x:v>
      </x:c>
      <x:c r="B2754" s="11" t="n">
        <x:v>1393</x:v>
      </x:c>
      <x:c r="C2754" s="18" t="n">
        <x:v>45499</x:v>
      </x:c>
      <x:c r="D2754" s="11" t="str">
        <x:v>2024-07</x:v>
      </x:c>
      <x:c r="E2754" s="11" t="str">
        <x:v>West</x:v>
      </x:c>
      <x:c r="F2754" s="11" t="str">
        <x:v>Furniture</x:v>
      </x:c>
      <x:c r="G2754" s="11" t="str">
        <x:v>Desk</x:v>
      </x:c>
      <x:c r="H2754" s="11" t="n">
        <x:v>3</x:v>
      </x:c>
      <x:c r="I2754" s="19" t="n">
        <x:v>0.15</x:v>
      </x:c>
      <x:c r="J2754" s="11" t="n">
        <x:v>0</x:v>
      </x:c>
      <x:c r="K2754" s="20" t="n">
        <x:v>840</x:v>
      </x:c>
      <x:c r="L2754" s="20" t="n">
        <x:v>126</x:v>
      </x:c>
      <x:c r="M2754" s="20" t="n">
        <x:v>570</x:v>
      </x:c>
      <x:c r="N2754" s="20" t="n">
        <x:f>IF(J2754=1,0,K2754-L2754)</x:f>
        <x:v>714</x:v>
      </x:c>
      <x:c r="O2754" s="20" t="n">
        <x:f>N2754-M2754</x:f>
        <x:v>144</x:v>
      </x:c>
    </x:row>
    <x:row r="2755" ht="22" customHeight="1">
      <x:c r="A2755" s="11" t="n">
        <x:v>2751</x:v>
      </x:c>
      <x:c r="B2755" s="11" t="n">
        <x:v>1393</x:v>
      </x:c>
      <x:c r="C2755" s="18" t="n">
        <x:v>45499</x:v>
      </x:c>
      <x:c r="D2755" s="11" t="str">
        <x:v>2024-07</x:v>
      </x:c>
      <x:c r="E2755" s="11" t="str">
        <x:v>West</x:v>
      </x:c>
      <x:c r="F2755" s="11" t="str">
        <x:v>Office Supplies</x:v>
      </x:c>
      <x:c r="G2755" s="11" t="str">
        <x:v>Storage box</x:v>
      </x:c>
      <x:c r="H2755" s="11" t="n">
        <x:v>3</x:v>
      </x:c>
      <x:c r="I2755" s="19" t="n">
        <x:v>0.05</x:v>
      </x:c>
      <x:c r="J2755" s="11" t="n">
        <x:v>1</x:v>
      </x:c>
      <x:c r="K2755" s="20" t="n">
        <x:v>78</x:v>
      </x:c>
      <x:c r="L2755" s="20" t="n">
        <x:v>3.9</x:v>
      </x:c>
      <x:c r="M2755" s="20" t="n">
        <x:v>0</x:v>
      </x:c>
      <x:c r="N2755" s="20" t="n">
        <x:f>IF(J2755=1,0,K2755-L2755)</x:f>
        <x:v>0</x:v>
      </x:c>
      <x:c r="O2755" s="20" t="n">
        <x:f>N2755-M2755</x:f>
        <x:v>0</x:v>
      </x:c>
    </x:row>
    <x:row r="2756" ht="22" customHeight="1">
      <x:c r="A2756" s="11" t="n">
        <x:v>2752</x:v>
      </x:c>
      <x:c r="B2756" s="11" t="n">
        <x:v>1394</x:v>
      </x:c>
      <x:c r="C2756" s="18" t="n">
        <x:v>45786</x:v>
      </x:c>
      <x:c r="D2756" s="11" t="str">
        <x:v>2025-05</x:v>
      </x:c>
      <x:c r="E2756" s="11" t="str">
        <x:v>South</x:v>
      </x:c>
      <x:c r="F2756" s="11" t="str">
        <x:v>Furniture</x:v>
      </x:c>
      <x:c r="G2756" s="11" t="str">
        <x:v>Chair</x:v>
      </x:c>
      <x:c r="H2756" s="11" t="n">
        <x:v>3</x:v>
      </x:c>
      <x:c r="I2756" s="19" t="n">
        <x:v>0.1</x:v>
      </x:c>
      <x:c r="J2756" s="11" t="n">
        <x:v>0</x:v>
      </x:c>
      <x:c r="K2756" s="20" t="n">
        <x:v>510</x:v>
      </x:c>
      <x:c r="L2756" s="20" t="n">
        <x:v>51</x:v>
      </x:c>
      <x:c r="M2756" s="20" t="n">
        <x:v>330</x:v>
      </x:c>
      <x:c r="N2756" s="20" t="n">
        <x:f>IF(J2756=1,0,K2756-L2756)</x:f>
        <x:v>459</x:v>
      </x:c>
      <x:c r="O2756" s="20" t="n">
        <x:f>N2756-M2756</x:f>
        <x:v>129</x:v>
      </x:c>
    </x:row>
    <x:row r="2757" ht="22" customHeight="1">
      <x:c r="A2757" s="11" t="n">
        <x:v>2753</x:v>
      </x:c>
      <x:c r="B2757" s="11" t="n">
        <x:v>1395</x:v>
      </x:c>
      <x:c r="C2757" s="18" t="n">
        <x:v>45833</x:v>
      </x:c>
      <x:c r="D2757" s="11" t="str">
        <x:v>2025-06</x:v>
      </x:c>
      <x:c r="E2757" s="11" t="str">
        <x:v>East</x:v>
      </x:c>
      <x:c r="F2757" s="11" t="str">
        <x:v>Office Supplies</x:v>
      </x:c>
      <x:c r="G2757" s="11" t="str">
        <x:v>Storage box</x:v>
      </x:c>
      <x:c r="H2757" s="11" t="n">
        <x:v>4</x:v>
      </x:c>
      <x:c r="I2757" s="19" t="n">
        <x:v>0.15</x:v>
      </x:c>
      <x:c r="J2757" s="11" t="n">
        <x:v>0</x:v>
      </x:c>
      <x:c r="K2757" s="20" t="n">
        <x:v>104</x:v>
      </x:c>
      <x:c r="L2757" s="20" t="n">
        <x:v>15.6</x:v>
      </x:c>
      <x:c r="M2757" s="20" t="n">
        <x:v>48</x:v>
      </x:c>
      <x:c r="N2757" s="20" t="n">
        <x:f>IF(J2757=1,0,K2757-L2757)</x:f>
        <x:v>88.4</x:v>
      </x:c>
      <x:c r="O2757" s="20" t="n">
        <x:f>N2757-M2757</x:f>
        <x:v>40.400000000000006</x:v>
      </x:c>
    </x:row>
    <x:row r="2758" ht="22" customHeight="1">
      <x:c r="A2758" s="11" t="n">
        <x:v>2754</x:v>
      </x:c>
      <x:c r="B2758" s="11" t="n">
        <x:v>1395</x:v>
      </x:c>
      <x:c r="C2758" s="18" t="n">
        <x:v>45833</x:v>
      </x:c>
      <x:c r="D2758" s="11" t="str">
        <x:v>2025-06</x:v>
      </x:c>
      <x:c r="E2758" s="11" t="str">
        <x:v>East</x:v>
      </x:c>
      <x:c r="F2758" s="11" t="str">
        <x:v>Furniture</x:v>
      </x:c>
      <x:c r="G2758" s="11" t="str">
        <x:v>Desk</x:v>
      </x:c>
      <x:c r="H2758" s="11" t="n">
        <x:v>5</x:v>
      </x:c>
      <x:c r="I2758" s="19" t="n">
        <x:v>0.35</x:v>
      </x:c>
      <x:c r="J2758" s="11" t="n">
        <x:v>1</x:v>
      </x:c>
      <x:c r="K2758" s="20" t="n">
        <x:v>1400</x:v>
      </x:c>
      <x:c r="L2758" s="20" t="n">
        <x:v>490</x:v>
      </x:c>
      <x:c r="M2758" s="20" t="n">
        <x:v>0</x:v>
      </x:c>
      <x:c r="N2758" s="20" t="n">
        <x:f>IF(J2758=1,0,K2758-L2758)</x:f>
        <x:v>0</x:v>
      </x:c>
      <x:c r="O2758" s="20" t="n">
        <x:f>N2758-M2758</x:f>
        <x:v>0</x:v>
      </x:c>
    </x:row>
    <x:row r="2759" ht="22" customHeight="1">
      <x:c r="A2759" s="11" t="n">
        <x:v>2755</x:v>
      </x:c>
      <x:c r="B2759" s="11" t="n">
        <x:v>1396</x:v>
      </x:c>
      <x:c r="C2759" s="18" t="n">
        <x:v>45632</x:v>
      </x:c>
      <x:c r="D2759" s="11" t="str">
        <x:v>2024-12</x:v>
      </x:c>
      <x:c r="E2759" s="11" t="str">
        <x:v>South</x:v>
      </x:c>
      <x:c r="F2759" s="11" t="str">
        <x:v>Office Supplies</x:v>
      </x:c>
      <x:c r="G2759" s="11" t="str">
        <x:v>Storage box</x:v>
      </x:c>
      <x:c r="H2759" s="11" t="n">
        <x:v>4</x:v>
      </x:c>
      <x:c r="I2759" s="19" t="n">
        <x:v>0.1</x:v>
      </x:c>
      <x:c r="J2759" s="11" t="n">
        <x:v>0</x:v>
      </x:c>
      <x:c r="K2759" s="20" t="n">
        <x:v>104</x:v>
      </x:c>
      <x:c r="L2759" s="20" t="n">
        <x:v>10.4</x:v>
      </x:c>
      <x:c r="M2759" s="20" t="n">
        <x:v>48</x:v>
      </x:c>
      <x:c r="N2759" s="20" t="n">
        <x:f>IF(J2759=1,0,K2759-L2759)</x:f>
        <x:v>93.6</x:v>
      </x:c>
      <x:c r="O2759" s="20" t="n">
        <x:f>N2759-M2759</x:f>
        <x:v>45.599999999999994</x:v>
      </x:c>
    </x:row>
    <x:row r="2760" ht="22" customHeight="1">
      <x:c r="A2760" s="11" t="n">
        <x:v>2756</x:v>
      </x:c>
      <x:c r="B2760" s="11" t="n">
        <x:v>1396</x:v>
      </x:c>
      <x:c r="C2760" s="18" t="n">
        <x:v>45632</x:v>
      </x:c>
      <x:c r="D2760" s="11" t="str">
        <x:v>2024-12</x:v>
      </x:c>
      <x:c r="E2760" s="11" t="str">
        <x:v>South</x:v>
      </x:c>
      <x:c r="F2760" s="11" t="str">
        <x:v>Furniture</x:v>
      </x:c>
      <x:c r="G2760" s="11" t="str">
        <x:v>Desk</x:v>
      </x:c>
      <x:c r="H2760" s="11" t="n">
        <x:v>5</x:v>
      </x:c>
      <x:c r="I2760" s="19" t="n">
        <x:v>0.05</x:v>
      </x:c>
      <x:c r="J2760" s="11" t="n">
        <x:v>0</x:v>
      </x:c>
      <x:c r="K2760" s="20" t="n">
        <x:v>1400</x:v>
      </x:c>
      <x:c r="L2760" s="20" t="n">
        <x:v>70</x:v>
      </x:c>
      <x:c r="M2760" s="20" t="n">
        <x:v>950</x:v>
      </x:c>
      <x:c r="N2760" s="20" t="n">
        <x:f>IF(J2760=1,0,K2760-L2760)</x:f>
        <x:v>1330</x:v>
      </x:c>
      <x:c r="O2760" s="20" t="n">
        <x:f>N2760-M2760</x:f>
        <x:v>380</x:v>
      </x:c>
    </x:row>
    <x:row r="2761" ht="22" customHeight="1">
      <x:c r="A2761" s="11" t="n">
        <x:v>2757</x:v>
      </x:c>
      <x:c r="B2761" s="11" t="n">
        <x:v>1396</x:v>
      </x:c>
      <x:c r="C2761" s="18" t="n">
        <x:v>45632</x:v>
      </x:c>
      <x:c r="D2761" s="11" t="str">
        <x:v>2024-12</x:v>
      </x:c>
      <x:c r="E2761" s="11" t="str">
        <x:v>South</x:v>
      </x:c>
      <x:c r="F2761" s="11" t="str">
        <x:v>Technology</x:v>
      </x:c>
      <x:c r="G2761" s="11" t="str">
        <x:v>Keyboard</x:v>
      </x:c>
      <x:c r="H2761" s="11" t="n">
        <x:v>5</x:v>
      </x:c>
      <x:c r="I2761" s="19" t="n">
        <x:v>0</x:v>
      </x:c>
      <x:c r="J2761" s="11" t="n">
        <x:v>0</x:v>
      </x:c>
      <x:c r="K2761" s="20" t="n">
        <x:v>325</x:v>
      </x:c>
      <x:c r="L2761" s="20" t="n">
        <x:v>0</x:v>
      </x:c>
      <x:c r="M2761" s="20" t="n">
        <x:v>160</x:v>
      </x:c>
      <x:c r="N2761" s="20" t="n">
        <x:f>IF(J2761=1,0,K2761-L2761)</x:f>
        <x:v>325</x:v>
      </x:c>
      <x:c r="O2761" s="20" t="n">
        <x:f>N2761-M2761</x:f>
        <x:v>165</x:v>
      </x:c>
    </x:row>
    <x:row r="2762" ht="22" customHeight="1">
      <x:c r="A2762" s="11" t="n">
        <x:v>2758</x:v>
      </x:c>
      <x:c r="B2762" s="11" t="n">
        <x:v>1397</x:v>
      </x:c>
      <x:c r="C2762" s="18" t="n">
        <x:v>45599</x:v>
      </x:c>
      <x:c r="D2762" s="11" t="str">
        <x:v>2024-11</x:v>
      </x:c>
      <x:c r="E2762" s="11" t="str">
        <x:v>South</x:v>
      </x:c>
      <x:c r="F2762" s="11" t="str">
        <x:v>Office Supplies</x:v>
      </x:c>
      <x:c r="G2762" s="11" t="str">
        <x:v>Storage box</x:v>
      </x:c>
      <x:c r="H2762" s="11" t="n">
        <x:v>5</x:v>
      </x:c>
      <x:c r="I2762" s="19" t="n">
        <x:v>0.05</x:v>
      </x:c>
      <x:c r="J2762" s="11" t="n">
        <x:v>0</x:v>
      </x:c>
      <x:c r="K2762" s="20" t="n">
        <x:v>130</x:v>
      </x:c>
      <x:c r="L2762" s="20" t="n">
        <x:v>6.5</x:v>
      </x:c>
      <x:c r="M2762" s="20" t="n">
        <x:v>60</x:v>
      </x:c>
      <x:c r="N2762" s="20" t="n">
        <x:f>IF(J2762=1,0,K2762-L2762)</x:f>
        <x:v>123.5</x:v>
      </x:c>
      <x:c r="O2762" s="20" t="n">
        <x:f>N2762-M2762</x:f>
        <x:v>63.5</x:v>
      </x:c>
    </x:row>
    <x:row r="2763" ht="22" customHeight="1">
      <x:c r="A2763" s="11" t="n">
        <x:v>2759</x:v>
      </x:c>
      <x:c r="B2763" s="11" t="n">
        <x:v>1398</x:v>
      </x:c>
      <x:c r="C2763" s="18" t="n">
        <x:v>45296</x:v>
      </x:c>
      <x:c r="D2763" s="11" t="str">
        <x:v>2024-01</x:v>
      </x:c>
      <x:c r="E2763" s="11" t="str">
        <x:v>East</x:v>
      </x:c>
      <x:c r="F2763" s="11" t="str">
        <x:v>Furniture</x:v>
      </x:c>
      <x:c r="G2763" s="11" t="str">
        <x:v>Chair</x:v>
      </x:c>
      <x:c r="H2763" s="11" t="n">
        <x:v>4</x:v>
      </x:c>
      <x:c r="I2763" s="19" t="n">
        <x:v>0.05</x:v>
      </x:c>
      <x:c r="J2763" s="11" t="n">
        <x:v>0</x:v>
      </x:c>
      <x:c r="K2763" s="20" t="n">
        <x:v>680</x:v>
      </x:c>
      <x:c r="L2763" s="20" t="n">
        <x:v>34</x:v>
      </x:c>
      <x:c r="M2763" s="20" t="n">
        <x:v>440</x:v>
      </x:c>
      <x:c r="N2763" s="20" t="n">
        <x:f>IF(J2763=1,0,K2763-L2763)</x:f>
        <x:v>646</x:v>
      </x:c>
      <x:c r="O2763" s="20" t="n">
        <x:f>N2763-M2763</x:f>
        <x:v>206</x:v>
      </x:c>
    </x:row>
    <x:row r="2764" ht="22" customHeight="1">
      <x:c r="A2764" s="11" t="n">
        <x:v>2760</x:v>
      </x:c>
      <x:c r="B2764" s="11" t="n">
        <x:v>1399</x:v>
      </x:c>
      <x:c r="C2764" s="18" t="n">
        <x:v>45732</x:v>
      </x:c>
      <x:c r="D2764" s="11" t="str">
        <x:v>2025-03</x:v>
      </x:c>
      <x:c r="E2764" s="11" t="str">
        <x:v>Central</x:v>
      </x:c>
      <x:c r="F2764" s="11" t="str">
        <x:v>Office Supplies</x:v>
      </x:c>
      <x:c r="G2764" s="11" t="str">
        <x:v>Notebook pack</x:v>
      </x:c>
      <x:c r="H2764" s="11" t="n">
        <x:v>4</x:v>
      </x:c>
      <x:c r="I2764" s="19" t="n">
        <x:v>0</x:v>
      </x:c>
      <x:c r="J2764" s="11" t="n">
        <x:v>0</x:v>
      </x:c>
      <x:c r="K2764" s="20" t="n">
        <x:v>72</x:v>
      </x:c>
      <x:c r="L2764" s="20" t="n">
        <x:v>0</x:v>
      </x:c>
      <x:c r="M2764" s="20" t="n">
        <x:v>28</x:v>
      </x:c>
      <x:c r="N2764" s="20" t="n">
        <x:f>IF(J2764=1,0,K2764-L2764)</x:f>
        <x:v>72</x:v>
      </x:c>
      <x:c r="O2764" s="20" t="n">
        <x:f>N2764-M2764</x:f>
        <x:v>44</x:v>
      </x:c>
    </x:row>
    <x:row r="2765" ht="22" customHeight="1">
      <x:c r="A2765" s="11" t="n">
        <x:v>2761</x:v>
      </x:c>
      <x:c r="B2765" s="11" t="n">
        <x:v>1399</x:v>
      </x:c>
      <x:c r="C2765" s="18" t="n">
        <x:v>45732</x:v>
      </x:c>
      <x:c r="D2765" s="11" t="str">
        <x:v>2025-03</x:v>
      </x:c>
      <x:c r="E2765" s="11" t="str">
        <x:v>Central</x:v>
      </x:c>
      <x:c r="F2765" s="11" t="str">
        <x:v>Office Supplies</x:v>
      </x:c>
      <x:c r="G2765" s="11" t="str">
        <x:v>Storage box</x:v>
      </x:c>
      <x:c r="H2765" s="11" t="n">
        <x:v>3</x:v>
      </x:c>
      <x:c r="I2765" s="19" t="n">
        <x:v>0.15</x:v>
      </x:c>
      <x:c r="J2765" s="11" t="n">
        <x:v>0</x:v>
      </x:c>
      <x:c r="K2765" s="20" t="n">
        <x:v>78</x:v>
      </x:c>
      <x:c r="L2765" s="20" t="n">
        <x:v>11.7</x:v>
      </x:c>
      <x:c r="M2765" s="20" t="n">
        <x:v>36</x:v>
      </x:c>
      <x:c r="N2765" s="20" t="n">
        <x:f>IF(J2765=1,0,K2765-L2765)</x:f>
        <x:v>66.3</x:v>
      </x:c>
      <x:c r="O2765" s="20" t="n">
        <x:f>N2765-M2765</x:f>
        <x:v>30.299999999999997</x:v>
      </x:c>
    </x:row>
    <x:row r="2766" ht="22" customHeight="1">
      <x:c r="A2766" s="11" t="n">
        <x:v>2762</x:v>
      </x:c>
      <x:c r="B2766" s="11" t="n">
        <x:v>1400</x:v>
      </x:c>
      <x:c r="C2766" s="18" t="n">
        <x:v>45800</x:v>
      </x:c>
      <x:c r="D2766" s="11" t="str">
        <x:v>2025-05</x:v>
      </x:c>
      <x:c r="E2766" s="11" t="str">
        <x:v>South</x:v>
      </x:c>
      <x:c r="F2766" s="11" t="str">
        <x:v>Office Supplies</x:v>
      </x:c>
      <x:c r="G2766" s="11" t="str">
        <x:v>Storage box</x:v>
      </x:c>
      <x:c r="H2766" s="11" t="n">
        <x:v>1</x:v>
      </x:c>
      <x:c r="I2766" s="19" t="n">
        <x:v>0</x:v>
      </x:c>
      <x:c r="J2766" s="11" t="n">
        <x:v>0</x:v>
      </x:c>
      <x:c r="K2766" s="20" t="n">
        <x:v>26</x:v>
      </x:c>
      <x:c r="L2766" s="20" t="n">
        <x:v>0</x:v>
      </x:c>
      <x:c r="M2766" s="20" t="n">
        <x:v>12</x:v>
      </x:c>
      <x:c r="N2766" s="20" t="n">
        <x:f>IF(J2766=1,0,K2766-L2766)</x:f>
        <x:v>26</x:v>
      </x:c>
      <x:c r="O2766" s="20" t="n">
        <x:f>N2766-M2766</x:f>
        <x:v>14</x:v>
      </x:c>
    </x:row>
    <x:row r="2767" ht="22" customHeight="1">
      <x:c r="A2767" s="11" t="n">
        <x:v>2763</x:v>
      </x:c>
      <x:c r="B2767" s="11" t="n">
        <x:v>1400</x:v>
      </x:c>
      <x:c r="C2767" s="18" t="n">
        <x:v>45800</x:v>
      </x:c>
      <x:c r="D2767" s="11" t="str">
        <x:v>2025-05</x:v>
      </x:c>
      <x:c r="E2767" s="11" t="str">
        <x:v>South</x:v>
      </x:c>
      <x:c r="F2767" s="11" t="str">
        <x:v>Office Supplies</x:v>
      </x:c>
      <x:c r="G2767" s="11" t="str">
        <x:v>Notebook pack</x:v>
      </x:c>
      <x:c r="H2767" s="11" t="n">
        <x:v>4</x:v>
      </x:c>
      <x:c r="I2767" s="19" t="n">
        <x:v>0.15</x:v>
      </x:c>
      <x:c r="J2767" s="11" t="n">
        <x:v>0</x:v>
      </x:c>
      <x:c r="K2767" s="20" t="n">
        <x:v>72</x:v>
      </x:c>
      <x:c r="L2767" s="20" t="n">
        <x:v>10.8</x:v>
      </x:c>
      <x:c r="M2767" s="20" t="n">
        <x:v>28</x:v>
      </x:c>
      <x:c r="N2767" s="20" t="n">
        <x:f>IF(J2767=1,0,K2767-L2767)</x:f>
        <x:v>61.2</x:v>
      </x:c>
      <x:c r="O2767" s="20" t="n">
        <x:f>N2767-M2767</x:f>
        <x:v>33.2</x:v>
      </x:c>
    </x:row>
    <x:row r="2768" ht="22" customHeight="1">
      <x:c r="A2768" s="11" t="n">
        <x:v>2764</x:v>
      </x:c>
      <x:c r="B2768" s="11" t="n">
        <x:v>1400</x:v>
      </x:c>
      <x:c r="C2768" s="18" t="n">
        <x:v>45800</x:v>
      </x:c>
      <x:c r="D2768" s="11" t="str">
        <x:v>2025-05</x:v>
      </x:c>
      <x:c r="E2768" s="11" t="str">
        <x:v>South</x:v>
      </x:c>
      <x:c r="F2768" s="11" t="str">
        <x:v>Technology</x:v>
      </x:c>
      <x:c r="G2768" s="11" t="str">
        <x:v>Monitor</x:v>
      </x:c>
      <x:c r="H2768" s="11" t="n">
        <x:v>2</x:v>
      </x:c>
      <x:c r="I2768" s="19" t="n">
        <x:v>0.15</x:v>
      </x:c>
      <x:c r="J2768" s="11" t="n">
        <x:v>0</x:v>
      </x:c>
      <x:c r="K2768" s="20" t="n">
        <x:v>480</x:v>
      </x:c>
      <x:c r="L2768" s="20" t="n">
        <x:v>72</x:v>
      </x:c>
      <x:c r="M2768" s="20" t="n">
        <x:v>320</x:v>
      </x:c>
      <x:c r="N2768" s="20" t="n">
        <x:f>IF(J2768=1,0,K2768-L2768)</x:f>
        <x:v>408</x:v>
      </x:c>
      <x:c r="O2768" s="20" t="n">
        <x:f>N2768-M2768</x:f>
        <x:v>88</x:v>
      </x:c>
    </x:row>
    <x:row r="2769" ht="22" customHeight="1">
      <x:c r="A2769" s="11" t="n">
        <x:v>2765</x:v>
      </x:c>
      <x:c r="B2769" s="11" t="n">
        <x:v>1401</x:v>
      </x:c>
      <x:c r="C2769" s="18" t="n">
        <x:v>45306</x:v>
      </x:c>
      <x:c r="D2769" s="11" t="str">
        <x:v>2024-01</x:v>
      </x:c>
      <x:c r="E2769" s="11" t="str">
        <x:v>East</x:v>
      </x:c>
      <x:c r="F2769" s="11" t="str">
        <x:v>Technology</x:v>
      </x:c>
      <x:c r="G2769" s="11" t="str">
        <x:v>Monitor</x:v>
      </x:c>
      <x:c r="H2769" s="11" t="n">
        <x:v>2</x:v>
      </x:c>
      <x:c r="I2769" s="19" t="n">
        <x:v>0.1</x:v>
      </x:c>
      <x:c r="J2769" s="11" t="n">
        <x:v>1</x:v>
      </x:c>
      <x:c r="K2769" s="20" t="n">
        <x:v>480</x:v>
      </x:c>
      <x:c r="L2769" s="20" t="n">
        <x:v>48</x:v>
      </x:c>
      <x:c r="M2769" s="20" t="n">
        <x:v>0</x:v>
      </x:c>
      <x:c r="N2769" s="20" t="n">
        <x:f>IF(J2769=1,0,K2769-L2769)</x:f>
        <x:v>0</x:v>
      </x:c>
      <x:c r="O2769" s="20" t="n">
        <x:f>N2769-M2769</x:f>
        <x:v>0</x:v>
      </x:c>
    </x:row>
    <x:row r="2770" ht="22" customHeight="1">
      <x:c r="A2770" s="11" t="n">
        <x:v>2766</x:v>
      </x:c>
      <x:c r="B2770" s="11" t="n">
        <x:v>1402</x:v>
      </x:c>
      <x:c r="C2770" s="18" t="n">
        <x:v>45424</x:v>
      </x:c>
      <x:c r="D2770" s="11" t="str">
        <x:v>2024-05</x:v>
      </x:c>
      <x:c r="E2770" s="11" t="str">
        <x:v>West</x:v>
      </x:c>
      <x:c r="F2770" s="11" t="str">
        <x:v>Office Supplies</x:v>
      </x:c>
      <x:c r="G2770" s="11" t="str">
        <x:v>Storage box</x:v>
      </x:c>
      <x:c r="H2770" s="11" t="n">
        <x:v>3</x:v>
      </x:c>
      <x:c r="I2770" s="19" t="n">
        <x:v>0.05</x:v>
      </x:c>
      <x:c r="J2770" s="11" t="n">
        <x:v>0</x:v>
      </x:c>
      <x:c r="K2770" s="20" t="n">
        <x:v>78</x:v>
      </x:c>
      <x:c r="L2770" s="20" t="n">
        <x:v>3.9</x:v>
      </x:c>
      <x:c r="M2770" s="20" t="n">
        <x:v>36</x:v>
      </x:c>
      <x:c r="N2770" s="20" t="n">
        <x:f>IF(J2770=1,0,K2770-L2770)</x:f>
        <x:v>74.1</x:v>
      </x:c>
      <x:c r="O2770" s="20" t="n">
        <x:f>N2770-M2770</x:f>
        <x:v>38.099999999999994</x:v>
      </x:c>
    </x:row>
    <x:row r="2771" ht="22" customHeight="1">
      <x:c r="A2771" s="11" t="n">
        <x:v>2767</x:v>
      </x:c>
      <x:c r="B2771" s="11" t="n">
        <x:v>1403</x:v>
      </x:c>
      <x:c r="C2771" s="18" t="n">
        <x:v>45728</x:v>
      </x:c>
      <x:c r="D2771" s="11" t="str">
        <x:v>2025-03</x:v>
      </x:c>
      <x:c r="E2771" s="11" t="str">
        <x:v>East</x:v>
      </x:c>
      <x:c r="F2771" s="11" t="str">
        <x:v>Furniture</x:v>
      </x:c>
      <x:c r="G2771" s="11" t="str">
        <x:v>Desk</x:v>
      </x:c>
      <x:c r="H2771" s="11" t="n">
        <x:v>3</x:v>
      </x:c>
      <x:c r="I2771" s="19" t="n">
        <x:v>0</x:v>
      </x:c>
      <x:c r="J2771" s="11" t="n">
        <x:v>0</x:v>
      </x:c>
      <x:c r="K2771" s="20" t="n">
        <x:v>840</x:v>
      </x:c>
      <x:c r="L2771" s="20" t="n">
        <x:v>0</x:v>
      </x:c>
      <x:c r="M2771" s="20" t="n">
        <x:v>570</x:v>
      </x:c>
      <x:c r="N2771" s="20" t="n">
        <x:f>IF(J2771=1,0,K2771-L2771)</x:f>
        <x:v>840</x:v>
      </x:c>
      <x:c r="O2771" s="20" t="n">
        <x:f>N2771-M2771</x:f>
        <x:v>270</x:v>
      </x:c>
    </x:row>
    <x:row r="2772" ht="22" customHeight="1">
      <x:c r="A2772" s="11" t="n">
        <x:v>2768</x:v>
      </x:c>
      <x:c r="B2772" s="11" t="n">
        <x:v>1403</x:v>
      </x:c>
      <x:c r="C2772" s="18" t="n">
        <x:v>45728</x:v>
      </x:c>
      <x:c r="D2772" s="11" t="str">
        <x:v>2025-03</x:v>
      </x:c>
      <x:c r="E2772" s="11" t="str">
        <x:v>East</x:v>
      </x:c>
      <x:c r="F2772" s="11" t="str">
        <x:v>Technology</x:v>
      </x:c>
      <x:c r="G2772" s="11" t="str">
        <x:v>Monitor</x:v>
      </x:c>
      <x:c r="H2772" s="11" t="n">
        <x:v>2</x:v>
      </x:c>
      <x:c r="I2772" s="19" t="n">
        <x:v>0</x:v>
      </x:c>
      <x:c r="J2772" s="11" t="n">
        <x:v>0</x:v>
      </x:c>
      <x:c r="K2772" s="20" t="n">
        <x:v>480</x:v>
      </x:c>
      <x:c r="L2772" s="20" t="n">
        <x:v>0</x:v>
      </x:c>
      <x:c r="M2772" s="20" t="n">
        <x:v>320</x:v>
      </x:c>
      <x:c r="N2772" s="20" t="n">
        <x:f>IF(J2772=1,0,K2772-L2772)</x:f>
        <x:v>480</x:v>
      </x:c>
      <x:c r="O2772" s="20" t="n">
        <x:f>N2772-M2772</x:f>
        <x:v>160</x:v>
      </x:c>
    </x:row>
    <x:row r="2773" ht="22" customHeight="1">
      <x:c r="A2773" s="11" t="n">
        <x:v>2769</x:v>
      </x:c>
      <x:c r="B2773" s="11" t="n">
        <x:v>1404</x:v>
      </x:c>
      <x:c r="C2773" s="18" t="n">
        <x:v>45295</x:v>
      </x:c>
      <x:c r="D2773" s="11" t="str">
        <x:v>2024-01</x:v>
      </x:c>
      <x:c r="E2773" s="11" t="str">
        <x:v>Central</x:v>
      </x:c>
      <x:c r="F2773" s="11" t="str">
        <x:v>Furniture</x:v>
      </x:c>
      <x:c r="G2773" s="11" t="str">
        <x:v>Chair</x:v>
      </x:c>
      <x:c r="H2773" s="11" t="n">
        <x:v>4</x:v>
      </x:c>
      <x:c r="I2773" s="19" t="n">
        <x:v>0.15</x:v>
      </x:c>
      <x:c r="J2773" s="11" t="n">
        <x:v>0</x:v>
      </x:c>
      <x:c r="K2773" s="20" t="n">
        <x:v>680</x:v>
      </x:c>
      <x:c r="L2773" s="20" t="n">
        <x:v>102</x:v>
      </x:c>
      <x:c r="M2773" s="20" t="n">
        <x:v>440</x:v>
      </x:c>
      <x:c r="N2773" s="20" t="n">
        <x:f>IF(J2773=1,0,K2773-L2773)</x:f>
        <x:v>578</x:v>
      </x:c>
      <x:c r="O2773" s="20" t="n">
        <x:f>N2773-M2773</x:f>
        <x:v>138</x:v>
      </x:c>
    </x:row>
    <x:row r="2774" ht="22" customHeight="1">
      <x:c r="A2774" s="11" t="n">
        <x:v>2770</x:v>
      </x:c>
      <x:c r="B2774" s="11" t="n">
        <x:v>1404</x:v>
      </x:c>
      <x:c r="C2774" s="18" t="n">
        <x:v>45295</x:v>
      </x:c>
      <x:c r="D2774" s="11" t="str">
        <x:v>2024-01</x:v>
      </x:c>
      <x:c r="E2774" s="11" t="str">
        <x:v>Central</x:v>
      </x:c>
      <x:c r="F2774" s="11" t="str">
        <x:v>Furniture</x:v>
      </x:c>
      <x:c r="G2774" s="11" t="str">
        <x:v>Desk</x:v>
      </x:c>
      <x:c r="H2774" s="11" t="n">
        <x:v>5</x:v>
      </x:c>
      <x:c r="I2774" s="19" t="n">
        <x:v>0.35</x:v>
      </x:c>
      <x:c r="J2774" s="11" t="n">
        <x:v>0</x:v>
      </x:c>
      <x:c r="K2774" s="20" t="n">
        <x:v>1400</x:v>
      </x:c>
      <x:c r="L2774" s="20" t="n">
        <x:v>490</x:v>
      </x:c>
      <x:c r="M2774" s="20" t="n">
        <x:v>950</x:v>
      </x:c>
      <x:c r="N2774" s="20" t="n">
        <x:f>IF(J2774=1,0,K2774-L2774)</x:f>
        <x:v>910</x:v>
      </x:c>
      <x:c r="O2774" s="20" t="n">
        <x:f>N2774-M2774</x:f>
        <x:v>-40</x:v>
      </x:c>
    </x:row>
    <x:row r="2775" ht="22" customHeight="1">
      <x:c r="A2775" s="11" t="n">
        <x:v>2771</x:v>
      </x:c>
      <x:c r="B2775" s="11" t="n">
        <x:v>1405</x:v>
      </x:c>
      <x:c r="C2775" s="18" t="n">
        <x:v>45784</x:v>
      </x:c>
      <x:c r="D2775" s="11" t="str">
        <x:v>2025-05</x:v>
      </x:c>
      <x:c r="E2775" s="11" t="str">
        <x:v>South</x:v>
      </x:c>
      <x:c r="F2775" s="11" t="str">
        <x:v>Technology</x:v>
      </x:c>
      <x:c r="G2775" s="11" t="str">
        <x:v>Monitor</x:v>
      </x:c>
      <x:c r="H2775" s="11" t="n">
        <x:v>1</x:v>
      </x:c>
      <x:c r="I2775" s="19" t="n">
        <x:v>0.05</x:v>
      </x:c>
      <x:c r="J2775" s="11" t="n">
        <x:v>0</x:v>
      </x:c>
      <x:c r="K2775" s="20" t="n">
        <x:v>240</x:v>
      </x:c>
      <x:c r="L2775" s="20" t="n">
        <x:v>12</x:v>
      </x:c>
      <x:c r="M2775" s="20" t="n">
        <x:v>160</x:v>
      </x:c>
      <x:c r="N2775" s="20" t="n">
        <x:f>IF(J2775=1,0,K2775-L2775)</x:f>
        <x:v>228</x:v>
      </x:c>
      <x:c r="O2775" s="20" t="n">
        <x:f>N2775-M2775</x:f>
        <x:v>68</x:v>
      </x:c>
    </x:row>
    <x:row r="2776" ht="22" customHeight="1">
      <x:c r="A2776" s="11" t="n">
        <x:v>2772</x:v>
      </x:c>
      <x:c r="B2776" s="11" t="n">
        <x:v>1406</x:v>
      </x:c>
      <x:c r="C2776" s="18" t="n">
        <x:v>45485</x:v>
      </x:c>
      <x:c r="D2776" s="11" t="str">
        <x:v>2024-07</x:v>
      </x:c>
      <x:c r="E2776" s="11" t="str">
        <x:v>Central</x:v>
      </x:c>
      <x:c r="F2776" s="11" t="str">
        <x:v>Furniture</x:v>
      </x:c>
      <x:c r="G2776" s="11" t="str">
        <x:v>Desk</x:v>
      </x:c>
      <x:c r="H2776" s="11" t="n">
        <x:v>1</x:v>
      </x:c>
      <x:c r="I2776" s="19" t="n">
        <x:v>0</x:v>
      </x:c>
      <x:c r="J2776" s="11" t="n">
        <x:v>0</x:v>
      </x:c>
      <x:c r="K2776" s="20" t="n">
        <x:v>280</x:v>
      </x:c>
      <x:c r="L2776" s="20" t="n">
        <x:v>0</x:v>
      </x:c>
      <x:c r="M2776" s="20" t="n">
        <x:v>190</x:v>
      </x:c>
      <x:c r="N2776" s="20" t="n">
        <x:f>IF(J2776=1,0,K2776-L2776)</x:f>
        <x:v>280</x:v>
      </x:c>
      <x:c r="O2776" s="20" t="n">
        <x:f>N2776-M2776</x:f>
        <x:v>90</x:v>
      </x:c>
    </x:row>
    <x:row r="2777" ht="22" customHeight="1">
      <x:c r="A2777" s="11" t="n">
        <x:v>2773</x:v>
      </x:c>
      <x:c r="B2777" s="11" t="n">
        <x:v>1406</x:v>
      </x:c>
      <x:c r="C2777" s="18" t="n">
        <x:v>45485</x:v>
      </x:c>
      <x:c r="D2777" s="11" t="str">
        <x:v>2024-07</x:v>
      </x:c>
      <x:c r="E2777" s="11" t="str">
        <x:v>Central</x:v>
      </x:c>
      <x:c r="F2777" s="11" t="str">
        <x:v>Office Supplies</x:v>
      </x:c>
      <x:c r="G2777" s="11" t="str">
        <x:v>Notebook pack</x:v>
      </x:c>
      <x:c r="H2777" s="11" t="n">
        <x:v>2</x:v>
      </x:c>
      <x:c r="I2777" s="19" t="n">
        <x:v>0.15</x:v>
      </x:c>
      <x:c r="J2777" s="11" t="n">
        <x:v>0</x:v>
      </x:c>
      <x:c r="K2777" s="20" t="n">
        <x:v>36</x:v>
      </x:c>
      <x:c r="L2777" s="20" t="n">
        <x:v>5.4</x:v>
      </x:c>
      <x:c r="M2777" s="20" t="n">
        <x:v>14</x:v>
      </x:c>
      <x:c r="N2777" s="20" t="n">
        <x:f>IF(J2777=1,0,K2777-L2777)</x:f>
        <x:v>30.6</x:v>
      </x:c>
      <x:c r="O2777" s="20" t="n">
        <x:f>N2777-M2777</x:f>
        <x:v>16.6</x:v>
      </x:c>
    </x:row>
    <x:row r="2778" ht="22" customHeight="1">
      <x:c r="A2778" s="11" t="n">
        <x:v>2774</x:v>
      </x:c>
      <x:c r="B2778" s="11" t="n">
        <x:v>1406</x:v>
      </x:c>
      <x:c r="C2778" s="18" t="n">
        <x:v>45485</x:v>
      </x:c>
      <x:c r="D2778" s="11" t="str">
        <x:v>2024-07</x:v>
      </x:c>
      <x:c r="E2778" s="11" t="str">
        <x:v>Central</x:v>
      </x:c>
      <x:c r="F2778" s="11" t="str">
        <x:v>Office Supplies</x:v>
      </x:c>
      <x:c r="G2778" s="11" t="str">
        <x:v>Storage box</x:v>
      </x:c>
      <x:c r="H2778" s="11" t="n">
        <x:v>5</x:v>
      </x:c>
      <x:c r="I2778" s="19" t="n">
        <x:v>0</x:v>
      </x:c>
      <x:c r="J2778" s="11" t="n">
        <x:v>0</x:v>
      </x:c>
      <x:c r="K2778" s="20" t="n">
        <x:v>130</x:v>
      </x:c>
      <x:c r="L2778" s="20" t="n">
        <x:v>0</x:v>
      </x:c>
      <x:c r="M2778" s="20" t="n">
        <x:v>60</x:v>
      </x:c>
      <x:c r="N2778" s="20" t="n">
        <x:f>IF(J2778=1,0,K2778-L2778)</x:f>
        <x:v>130</x:v>
      </x:c>
      <x:c r="O2778" s="20" t="n">
        <x:f>N2778-M2778</x:f>
        <x:v>70</x:v>
      </x:c>
    </x:row>
    <x:row r="2779" ht="22" customHeight="1">
      <x:c r="A2779" s="11" t="n">
        <x:v>2775</x:v>
      </x:c>
      <x:c r="B2779" s="11" t="n">
        <x:v>1407</x:v>
      </x:c>
      <x:c r="C2779" s="18" t="n">
        <x:v>45938</x:v>
      </x:c>
      <x:c r="D2779" s="11" t="str">
        <x:v>2025-10</x:v>
      </x:c>
      <x:c r="E2779" s="11" t="str">
        <x:v>South</x:v>
      </x:c>
      <x:c r="F2779" s="11" t="str">
        <x:v>Technology</x:v>
      </x:c>
      <x:c r="G2779" s="11" t="str">
        <x:v>Keyboard</x:v>
      </x:c>
      <x:c r="H2779" s="11" t="n">
        <x:v>1</x:v>
      </x:c>
      <x:c r="I2779" s="19" t="n">
        <x:v>0.15</x:v>
      </x:c>
      <x:c r="J2779" s="11" t="n">
        <x:v>0</x:v>
      </x:c>
      <x:c r="K2779" s="20" t="n">
        <x:v>65</x:v>
      </x:c>
      <x:c r="L2779" s="20" t="n">
        <x:v>9.75</x:v>
      </x:c>
      <x:c r="M2779" s="20" t="n">
        <x:v>32</x:v>
      </x:c>
      <x:c r="N2779" s="20" t="n">
        <x:f>IF(J2779=1,0,K2779-L2779)</x:f>
        <x:v>55.25</x:v>
      </x:c>
      <x:c r="O2779" s="20" t="n">
        <x:f>N2779-M2779</x:f>
        <x:v>23.25</x:v>
      </x:c>
    </x:row>
    <x:row r="2780" ht="22" customHeight="1">
      <x:c r="A2780" s="11" t="n">
        <x:v>2776</x:v>
      </x:c>
      <x:c r="B2780" s="11" t="n">
        <x:v>1407</x:v>
      </x:c>
      <x:c r="C2780" s="18" t="n">
        <x:v>45938</x:v>
      </x:c>
      <x:c r="D2780" s="11" t="str">
        <x:v>2025-10</x:v>
      </x:c>
      <x:c r="E2780" s="11" t="str">
        <x:v>South</x:v>
      </x:c>
      <x:c r="F2780" s="11" t="str">
        <x:v>Office Supplies</x:v>
      </x:c>
      <x:c r="G2780" s="11" t="str">
        <x:v>Storage box</x:v>
      </x:c>
      <x:c r="H2780" s="11" t="n">
        <x:v>4</x:v>
      </x:c>
      <x:c r="I2780" s="19" t="n">
        <x:v>0</x:v>
      </x:c>
      <x:c r="J2780" s="11" t="n">
        <x:v>0</x:v>
      </x:c>
      <x:c r="K2780" s="20" t="n">
        <x:v>104</x:v>
      </x:c>
      <x:c r="L2780" s="20" t="n">
        <x:v>0</x:v>
      </x:c>
      <x:c r="M2780" s="20" t="n">
        <x:v>48</x:v>
      </x:c>
      <x:c r="N2780" s="20" t="n">
        <x:f>IF(J2780=1,0,K2780-L2780)</x:f>
        <x:v>104</x:v>
      </x:c>
      <x:c r="O2780" s="20" t="n">
        <x:f>N2780-M2780</x:f>
        <x:v>56</x:v>
      </x:c>
    </x:row>
    <x:row r="2781" ht="22" customHeight="1">
      <x:c r="A2781" s="11" t="n">
        <x:v>2777</x:v>
      </x:c>
      <x:c r="B2781" s="11" t="n">
        <x:v>1408</x:v>
      </x:c>
      <x:c r="C2781" s="18" t="n">
        <x:v>45927</x:v>
      </x:c>
      <x:c r="D2781" s="11" t="str">
        <x:v>2025-09</x:v>
      </x:c>
      <x:c r="E2781" s="11" t="str">
        <x:v>West</x:v>
      </x:c>
      <x:c r="F2781" s="11" t="str">
        <x:v>Office Supplies</x:v>
      </x:c>
      <x:c r="G2781" s="11" t="str">
        <x:v>Storage box</x:v>
      </x:c>
      <x:c r="H2781" s="11" t="n">
        <x:v>4</x:v>
      </x:c>
      <x:c r="I2781" s="19" t="n">
        <x:v>0.15</x:v>
      </x:c>
      <x:c r="J2781" s="11" t="n">
        <x:v>0</x:v>
      </x:c>
      <x:c r="K2781" s="20" t="n">
        <x:v>104</x:v>
      </x:c>
      <x:c r="L2781" s="20" t="n">
        <x:v>15.6</x:v>
      </x:c>
      <x:c r="M2781" s="20" t="n">
        <x:v>48</x:v>
      </x:c>
      <x:c r="N2781" s="20" t="n">
        <x:f>IF(J2781=1,0,K2781-L2781)</x:f>
        <x:v>88.4</x:v>
      </x:c>
      <x:c r="O2781" s="20" t="n">
        <x:f>N2781-M2781</x:f>
        <x:v>40.400000000000006</x:v>
      </x:c>
    </x:row>
    <x:row r="2782" ht="22" customHeight="1">
      <x:c r="A2782" s="11" t="n">
        <x:v>2778</x:v>
      </x:c>
      <x:c r="B2782" s="11" t="n">
        <x:v>1408</x:v>
      </x:c>
      <x:c r="C2782" s="18" t="n">
        <x:v>45927</x:v>
      </x:c>
      <x:c r="D2782" s="11" t="str">
        <x:v>2025-09</x:v>
      </x:c>
      <x:c r="E2782" s="11" t="str">
        <x:v>West</x:v>
      </x:c>
      <x:c r="F2782" s="11" t="str">
        <x:v>Furniture</x:v>
      </x:c>
      <x:c r="G2782" s="11" t="str">
        <x:v>Desk</x:v>
      </x:c>
      <x:c r="H2782" s="11" t="n">
        <x:v>4</x:v>
      </x:c>
      <x:c r="I2782" s="19" t="n">
        <x:v>0.15</x:v>
      </x:c>
      <x:c r="J2782" s="11" t="n">
        <x:v>0</x:v>
      </x:c>
      <x:c r="K2782" s="20" t="n">
        <x:v>1120</x:v>
      </x:c>
      <x:c r="L2782" s="20" t="n">
        <x:v>168</x:v>
      </x:c>
      <x:c r="M2782" s="20" t="n">
        <x:v>760</x:v>
      </x:c>
      <x:c r="N2782" s="20" t="n">
        <x:f>IF(J2782=1,0,K2782-L2782)</x:f>
        <x:v>952</x:v>
      </x:c>
      <x:c r="O2782" s="20" t="n">
        <x:f>N2782-M2782</x:f>
        <x:v>192</x:v>
      </x:c>
    </x:row>
    <x:row r="2783" ht="22" customHeight="1">
      <x:c r="A2783" s="11" t="n">
        <x:v>2779</x:v>
      </x:c>
      <x:c r="B2783" s="11" t="n">
        <x:v>1408</x:v>
      </x:c>
      <x:c r="C2783" s="18" t="n">
        <x:v>45927</x:v>
      </x:c>
      <x:c r="D2783" s="11" t="str">
        <x:v>2025-09</x:v>
      </x:c>
      <x:c r="E2783" s="11" t="str">
        <x:v>West</x:v>
      </x:c>
      <x:c r="F2783" s="11" t="str">
        <x:v>Furniture</x:v>
      </x:c>
      <x:c r="G2783" s="11" t="str">
        <x:v>Chair</x:v>
      </x:c>
      <x:c r="H2783" s="11" t="n">
        <x:v>2</x:v>
      </x:c>
      <x:c r="I2783" s="19" t="n">
        <x:v>0</x:v>
      </x:c>
      <x:c r="J2783" s="11" t="n">
        <x:v>1</x:v>
      </x:c>
      <x:c r="K2783" s="20" t="n">
        <x:v>340</x:v>
      </x:c>
      <x:c r="L2783" s="20" t="n">
        <x:v>0</x:v>
      </x:c>
      <x:c r="M2783" s="20" t="n">
        <x:v>0</x:v>
      </x:c>
      <x:c r="N2783" s="20" t="n">
        <x:f>IF(J2783=1,0,K2783-L2783)</x:f>
        <x:v>0</x:v>
      </x:c>
      <x:c r="O2783" s="20" t="n">
        <x:f>N2783-M2783</x:f>
        <x:v>0</x:v>
      </x:c>
    </x:row>
    <x:row r="2784" ht="22" customHeight="1">
      <x:c r="A2784" s="11" t="n">
        <x:v>2780</x:v>
      </x:c>
      <x:c r="B2784" s="11" t="n">
        <x:v>1409</x:v>
      </x:c>
      <x:c r="C2784" s="18" t="n">
        <x:v>45484</x:v>
      </x:c>
      <x:c r="D2784" s="11" t="str">
        <x:v>2024-07</x:v>
      </x:c>
      <x:c r="E2784" s="11" t="str">
        <x:v>East</x:v>
      </x:c>
      <x:c r="F2784" s="11" t="str">
        <x:v>Office Supplies</x:v>
      </x:c>
      <x:c r="G2784" s="11" t="str">
        <x:v>Storage box</x:v>
      </x:c>
      <x:c r="H2784" s="11" t="n">
        <x:v>3</x:v>
      </x:c>
      <x:c r="I2784" s="19" t="n">
        <x:v>0.05</x:v>
      </x:c>
      <x:c r="J2784" s="11" t="n">
        <x:v>0</x:v>
      </x:c>
      <x:c r="K2784" s="20" t="n">
        <x:v>78</x:v>
      </x:c>
      <x:c r="L2784" s="20" t="n">
        <x:v>3.9</x:v>
      </x:c>
      <x:c r="M2784" s="20" t="n">
        <x:v>36</x:v>
      </x:c>
      <x:c r="N2784" s="20" t="n">
        <x:f>IF(J2784=1,0,K2784-L2784)</x:f>
        <x:v>74.1</x:v>
      </x:c>
      <x:c r="O2784" s="20" t="n">
        <x:f>N2784-M2784</x:f>
        <x:v>38.099999999999994</x:v>
      </x:c>
    </x:row>
    <x:row r="2785" ht="22" customHeight="1">
      <x:c r="A2785" s="11" t="n">
        <x:v>2781</x:v>
      </x:c>
      <x:c r="B2785" s="11" t="n">
        <x:v>1410</x:v>
      </x:c>
      <x:c r="C2785" s="18" t="n">
        <x:v>45299</x:v>
      </x:c>
      <x:c r="D2785" s="11" t="str">
        <x:v>2024-01</x:v>
      </x:c>
      <x:c r="E2785" s="11" t="str">
        <x:v>East</x:v>
      </x:c>
      <x:c r="F2785" s="11" t="str">
        <x:v>Furniture</x:v>
      </x:c>
      <x:c r="G2785" s="11" t="str">
        <x:v>Chair</x:v>
      </x:c>
      <x:c r="H2785" s="11" t="n">
        <x:v>1</x:v>
      </x:c>
      <x:c r="I2785" s="19" t="n">
        <x:v>0</x:v>
      </x:c>
      <x:c r="J2785" s="11" t="n">
        <x:v>0</x:v>
      </x:c>
      <x:c r="K2785" s="20" t="n">
        <x:v>170</x:v>
      </x:c>
      <x:c r="L2785" s="20" t="n">
        <x:v>0</x:v>
      </x:c>
      <x:c r="M2785" s="20" t="n">
        <x:v>110</x:v>
      </x:c>
      <x:c r="N2785" s="20" t="n">
        <x:f>IF(J2785=1,0,K2785-L2785)</x:f>
        <x:v>170</x:v>
      </x:c>
      <x:c r="O2785" s="20" t="n">
        <x:f>N2785-M2785</x:f>
        <x:v>60</x:v>
      </x:c>
    </x:row>
    <x:row r="2786" ht="22" customHeight="1">
      <x:c r="A2786" s="11" t="n">
        <x:v>2782</x:v>
      </x:c>
      <x:c r="B2786" s="11" t="n">
        <x:v>1411</x:v>
      </x:c>
      <x:c r="C2786" s="18" t="n">
        <x:v>45776</x:v>
      </x:c>
      <x:c r="D2786" s="11" t="str">
        <x:v>2025-04</x:v>
      </x:c>
      <x:c r="E2786" s="11" t="str">
        <x:v>South</x:v>
      </x:c>
      <x:c r="F2786" s="11" t="str">
        <x:v>Office Supplies</x:v>
      </x:c>
      <x:c r="G2786" s="11" t="str">
        <x:v>Notebook pack</x:v>
      </x:c>
      <x:c r="H2786" s="11" t="n">
        <x:v>1</x:v>
      </x:c>
      <x:c r="I2786" s="19" t="n">
        <x:v>0.05</x:v>
      </x:c>
      <x:c r="J2786" s="11" t="n">
        <x:v>0</x:v>
      </x:c>
      <x:c r="K2786" s="20" t="n">
        <x:v>18</x:v>
      </x:c>
      <x:c r="L2786" s="20" t="n">
        <x:v>0.9</x:v>
      </x:c>
      <x:c r="M2786" s="20" t="n">
        <x:v>7</x:v>
      </x:c>
      <x:c r="N2786" s="20" t="n">
        <x:f>IF(J2786=1,0,K2786-L2786)</x:f>
        <x:v>17.1</x:v>
      </x:c>
      <x:c r="O2786" s="20" t="n">
        <x:f>N2786-M2786</x:f>
        <x:v>10.100000000000001</x:v>
      </x:c>
    </x:row>
    <x:row r="2787" ht="22" customHeight="1">
      <x:c r="A2787" s="11" t="n">
        <x:v>2783</x:v>
      </x:c>
      <x:c r="B2787" s="11" t="n">
        <x:v>1412</x:v>
      </x:c>
      <x:c r="C2787" s="18" t="n">
        <x:v>45841</x:v>
      </x:c>
      <x:c r="D2787" s="11" t="str">
        <x:v>2025-07</x:v>
      </x:c>
      <x:c r="E2787" s="11" t="str">
        <x:v>South</x:v>
      </x:c>
      <x:c r="F2787" s="11" t="str">
        <x:v>Furniture</x:v>
      </x:c>
      <x:c r="G2787" s="11" t="str">
        <x:v>Desk</x:v>
      </x:c>
      <x:c r="H2787" s="11" t="n">
        <x:v>1</x:v>
      </x:c>
      <x:c r="I2787" s="19" t="n">
        <x:v>0.1</x:v>
      </x:c>
      <x:c r="J2787" s="11" t="n">
        <x:v>0</x:v>
      </x:c>
      <x:c r="K2787" s="20" t="n">
        <x:v>280</x:v>
      </x:c>
      <x:c r="L2787" s="20" t="n">
        <x:v>28</x:v>
      </x:c>
      <x:c r="M2787" s="20" t="n">
        <x:v>190</x:v>
      </x:c>
      <x:c r="N2787" s="20" t="n">
        <x:f>IF(J2787=1,0,K2787-L2787)</x:f>
        <x:v>252</x:v>
      </x:c>
      <x:c r="O2787" s="20" t="n">
        <x:f>N2787-M2787</x:f>
        <x:v>62</x:v>
      </x:c>
    </x:row>
    <x:row r="2788" ht="22" customHeight="1">
      <x:c r="A2788" s="11" t="n">
        <x:v>2784</x:v>
      </x:c>
      <x:c r="B2788" s="11" t="n">
        <x:v>1413</x:v>
      </x:c>
      <x:c r="C2788" s="18" t="n">
        <x:v>45432</x:v>
      </x:c>
      <x:c r="D2788" s="11" t="str">
        <x:v>2024-05</x:v>
      </x:c>
      <x:c r="E2788" s="11" t="str">
        <x:v>East</x:v>
      </x:c>
      <x:c r="F2788" s="11" t="str">
        <x:v>Furniture</x:v>
      </x:c>
      <x:c r="G2788" s="11" t="str">
        <x:v>Chair</x:v>
      </x:c>
      <x:c r="H2788" s="11" t="n">
        <x:v>3</x:v>
      </x:c>
      <x:c r="I2788" s="19" t="n">
        <x:v>0.25</x:v>
      </x:c>
      <x:c r="J2788" s="11" t="n">
        <x:v>0</x:v>
      </x:c>
      <x:c r="K2788" s="20" t="n">
        <x:v>510</x:v>
      </x:c>
      <x:c r="L2788" s="20" t="n">
        <x:v>127.5</x:v>
      </x:c>
      <x:c r="M2788" s="20" t="n">
        <x:v>330</x:v>
      </x:c>
      <x:c r="N2788" s="20" t="n">
        <x:f>IF(J2788=1,0,K2788-L2788)</x:f>
        <x:v>382.5</x:v>
      </x:c>
      <x:c r="O2788" s="20" t="n">
        <x:f>N2788-M2788</x:f>
        <x:v>52.5</x:v>
      </x:c>
    </x:row>
    <x:row r="2789" ht="22" customHeight="1">
      <x:c r="A2789" s="11" t="n">
        <x:v>2785</x:v>
      </x:c>
      <x:c r="B2789" s="11" t="n">
        <x:v>1413</x:v>
      </x:c>
      <x:c r="C2789" s="18" t="n">
        <x:v>45432</x:v>
      </x:c>
      <x:c r="D2789" s="11" t="str">
        <x:v>2024-05</x:v>
      </x:c>
      <x:c r="E2789" s="11" t="str">
        <x:v>East</x:v>
      </x:c>
      <x:c r="F2789" s="11" t="str">
        <x:v>Technology</x:v>
      </x:c>
      <x:c r="G2789" s="11" t="str">
        <x:v>Monitor</x:v>
      </x:c>
      <x:c r="H2789" s="11" t="n">
        <x:v>5</x:v>
      </x:c>
      <x:c r="I2789" s="19" t="n">
        <x:v>0.05</x:v>
      </x:c>
      <x:c r="J2789" s="11" t="n">
        <x:v>0</x:v>
      </x:c>
      <x:c r="K2789" s="20" t="n">
        <x:v>1200</x:v>
      </x:c>
      <x:c r="L2789" s="20" t="n">
        <x:v>60</x:v>
      </x:c>
      <x:c r="M2789" s="20" t="n">
        <x:v>800</x:v>
      </x:c>
      <x:c r="N2789" s="20" t="n">
        <x:f>IF(J2789=1,0,K2789-L2789)</x:f>
        <x:v>1140</x:v>
      </x:c>
      <x:c r="O2789" s="20" t="n">
        <x:f>N2789-M2789</x:f>
        <x:v>340</x:v>
      </x:c>
    </x:row>
    <x:row r="2790" ht="22" customHeight="1">
      <x:c r="A2790" s="11" t="n">
        <x:v>2786</x:v>
      </x:c>
      <x:c r="B2790" s="11" t="n">
        <x:v>1414</x:v>
      </x:c>
      <x:c r="C2790" s="18" t="n">
        <x:v>45607</x:v>
      </x:c>
      <x:c r="D2790" s="11" t="str">
        <x:v>2024-11</x:v>
      </x:c>
      <x:c r="E2790" s="11" t="str">
        <x:v>Central</x:v>
      </x:c>
      <x:c r="F2790" s="11" t="str">
        <x:v>Furniture</x:v>
      </x:c>
      <x:c r="G2790" s="11" t="str">
        <x:v>Desk</x:v>
      </x:c>
      <x:c r="H2790" s="11" t="n">
        <x:v>3</x:v>
      </x:c>
      <x:c r="I2790" s="19" t="n">
        <x:v>0.15</x:v>
      </x:c>
      <x:c r="J2790" s="11" t="n">
        <x:v>0</x:v>
      </x:c>
      <x:c r="K2790" s="20" t="n">
        <x:v>840</x:v>
      </x:c>
      <x:c r="L2790" s="20" t="n">
        <x:v>126</x:v>
      </x:c>
      <x:c r="M2790" s="20" t="n">
        <x:v>570</x:v>
      </x:c>
      <x:c r="N2790" s="20" t="n">
        <x:f>IF(J2790=1,0,K2790-L2790)</x:f>
        <x:v>714</x:v>
      </x:c>
      <x:c r="O2790" s="20" t="n">
        <x:f>N2790-M2790</x:f>
        <x:v>144</x:v>
      </x:c>
    </x:row>
    <x:row r="2791" ht="22" customHeight="1">
      <x:c r="A2791" s="11" t="n">
        <x:v>2787</x:v>
      </x:c>
      <x:c r="B2791" s="11" t="n">
        <x:v>1414</x:v>
      </x:c>
      <x:c r="C2791" s="18" t="n">
        <x:v>45607</x:v>
      </x:c>
      <x:c r="D2791" s="11" t="str">
        <x:v>2024-11</x:v>
      </x:c>
      <x:c r="E2791" s="11" t="str">
        <x:v>Central</x:v>
      </x:c>
      <x:c r="F2791" s="11" t="str">
        <x:v>Office Supplies</x:v>
      </x:c>
      <x:c r="G2791" s="11" t="str">
        <x:v>Storage box</x:v>
      </x:c>
      <x:c r="H2791" s="11" t="n">
        <x:v>1</x:v>
      </x:c>
      <x:c r="I2791" s="19" t="n">
        <x:v>0</x:v>
      </x:c>
      <x:c r="J2791" s="11" t="n">
        <x:v>0</x:v>
      </x:c>
      <x:c r="K2791" s="20" t="n">
        <x:v>26</x:v>
      </x:c>
      <x:c r="L2791" s="20" t="n">
        <x:v>0</x:v>
      </x:c>
      <x:c r="M2791" s="20" t="n">
        <x:v>12</x:v>
      </x:c>
      <x:c r="N2791" s="20" t="n">
        <x:f>IF(J2791=1,0,K2791-L2791)</x:f>
        <x:v>26</x:v>
      </x:c>
      <x:c r="O2791" s="20" t="n">
        <x:f>N2791-M2791</x:f>
        <x:v>14</x:v>
      </x:c>
    </x:row>
    <x:row r="2792" ht="22" customHeight="1">
      <x:c r="A2792" s="11" t="n">
        <x:v>2788</x:v>
      </x:c>
      <x:c r="B2792" s="11" t="n">
        <x:v>1415</x:v>
      </x:c>
      <x:c r="C2792" s="18" t="n">
        <x:v>45909</x:v>
      </x:c>
      <x:c r="D2792" s="11" t="str">
        <x:v>2025-09</x:v>
      </x:c>
      <x:c r="E2792" s="11" t="str">
        <x:v>West</x:v>
      </x:c>
      <x:c r="F2792" s="11" t="str">
        <x:v>Furniture</x:v>
      </x:c>
      <x:c r="G2792" s="11" t="str">
        <x:v>Desk</x:v>
      </x:c>
      <x:c r="H2792" s="11" t="n">
        <x:v>3</x:v>
      </x:c>
      <x:c r="I2792" s="19" t="n">
        <x:v>0.15</x:v>
      </x:c>
      <x:c r="J2792" s="11" t="n">
        <x:v>0</x:v>
      </x:c>
      <x:c r="K2792" s="20" t="n">
        <x:v>840</x:v>
      </x:c>
      <x:c r="L2792" s="20" t="n">
        <x:v>126</x:v>
      </x:c>
      <x:c r="M2792" s="20" t="n">
        <x:v>570</x:v>
      </x:c>
      <x:c r="N2792" s="20" t="n">
        <x:f>IF(J2792=1,0,K2792-L2792)</x:f>
        <x:v>714</x:v>
      </x:c>
      <x:c r="O2792" s="20" t="n">
        <x:f>N2792-M2792</x:f>
        <x:v>144</x:v>
      </x:c>
    </x:row>
    <x:row r="2793" ht="22" customHeight="1">
      <x:c r="A2793" s="11" t="n">
        <x:v>2789</x:v>
      </x:c>
      <x:c r="B2793" s="11" t="n">
        <x:v>1415</x:v>
      </x:c>
      <x:c r="C2793" s="18" t="n">
        <x:v>45909</x:v>
      </x:c>
      <x:c r="D2793" s="11" t="str">
        <x:v>2025-09</x:v>
      </x:c>
      <x:c r="E2793" s="11" t="str">
        <x:v>West</x:v>
      </x:c>
      <x:c r="F2793" s="11" t="str">
        <x:v>Office Supplies</x:v>
      </x:c>
      <x:c r="G2793" s="11" t="str">
        <x:v>Storage box</x:v>
      </x:c>
      <x:c r="H2793" s="11" t="n">
        <x:v>1</x:v>
      </x:c>
      <x:c r="I2793" s="19" t="n">
        <x:v>0</x:v>
      </x:c>
      <x:c r="J2793" s="11" t="n">
        <x:v>0</x:v>
      </x:c>
      <x:c r="K2793" s="20" t="n">
        <x:v>26</x:v>
      </x:c>
      <x:c r="L2793" s="20" t="n">
        <x:v>0</x:v>
      </x:c>
      <x:c r="M2793" s="20" t="n">
        <x:v>12</x:v>
      </x:c>
      <x:c r="N2793" s="20" t="n">
        <x:f>IF(J2793=1,0,K2793-L2793)</x:f>
        <x:v>26</x:v>
      </x:c>
      <x:c r="O2793" s="20" t="n">
        <x:f>N2793-M2793</x:f>
        <x:v>14</x:v>
      </x:c>
    </x:row>
    <x:row r="2794" ht="22" customHeight="1">
      <x:c r="A2794" s="11" t="n">
        <x:v>2790</x:v>
      </x:c>
      <x:c r="B2794" s="11" t="n">
        <x:v>1416</x:v>
      </x:c>
      <x:c r="C2794" s="18" t="n">
        <x:v>45888</x:v>
      </x:c>
      <x:c r="D2794" s="11" t="str">
        <x:v>2025-08</x:v>
      </x:c>
      <x:c r="E2794" s="11" t="str">
        <x:v>Central</x:v>
      </x:c>
      <x:c r="F2794" s="11" t="str">
        <x:v>Technology</x:v>
      </x:c>
      <x:c r="G2794" s="11" t="str">
        <x:v>Monitor</x:v>
      </x:c>
      <x:c r="H2794" s="11" t="n">
        <x:v>3</x:v>
      </x:c>
      <x:c r="I2794" s="19" t="n">
        <x:v>0.15</x:v>
      </x:c>
      <x:c r="J2794" s="11" t="n">
        <x:v>0</x:v>
      </x:c>
      <x:c r="K2794" s="20" t="n">
        <x:v>720</x:v>
      </x:c>
      <x:c r="L2794" s="20" t="n">
        <x:v>108</x:v>
      </x:c>
      <x:c r="M2794" s="20" t="n">
        <x:v>480</x:v>
      </x:c>
      <x:c r="N2794" s="20" t="n">
        <x:f>IF(J2794=1,0,K2794-L2794)</x:f>
        <x:v>612</x:v>
      </x:c>
      <x:c r="O2794" s="20" t="n">
        <x:f>N2794-M2794</x:f>
        <x:v>132</x:v>
      </x:c>
    </x:row>
    <x:row r="2795" ht="22" customHeight="1">
      <x:c r="A2795" s="11" t="n">
        <x:v>2791</x:v>
      </x:c>
      <x:c r="B2795" s="11" t="n">
        <x:v>1417</x:v>
      </x:c>
      <x:c r="C2795" s="18" t="n">
        <x:v>45373</x:v>
      </x:c>
      <x:c r="D2795" s="11" t="str">
        <x:v>2024-03</x:v>
      </x:c>
      <x:c r="E2795" s="11" t="str">
        <x:v>Central</x:v>
      </x:c>
      <x:c r="F2795" s="11" t="str">
        <x:v>Office Supplies</x:v>
      </x:c>
      <x:c r="G2795" s="11" t="str">
        <x:v>Storage box</x:v>
      </x:c>
      <x:c r="H2795" s="11" t="n">
        <x:v>4</x:v>
      </x:c>
      <x:c r="I2795" s="19" t="n">
        <x:v>0</x:v>
      </x:c>
      <x:c r="J2795" s="11" t="n">
        <x:v>0</x:v>
      </x:c>
      <x:c r="K2795" s="20" t="n">
        <x:v>104</x:v>
      </x:c>
      <x:c r="L2795" s="20" t="n">
        <x:v>0</x:v>
      </x:c>
      <x:c r="M2795" s="20" t="n">
        <x:v>48</x:v>
      </x:c>
      <x:c r="N2795" s="20" t="n">
        <x:f>IF(J2795=1,0,K2795-L2795)</x:f>
        <x:v>104</x:v>
      </x:c>
      <x:c r="O2795" s="20" t="n">
        <x:f>N2795-M2795</x:f>
        <x:v>56</x:v>
      </x:c>
    </x:row>
    <x:row r="2796" ht="22" customHeight="1">
      <x:c r="A2796" s="11" t="n">
        <x:v>2792</x:v>
      </x:c>
      <x:c r="B2796" s="11" t="n">
        <x:v>1417</x:v>
      </x:c>
      <x:c r="C2796" s="18" t="n">
        <x:v>45373</x:v>
      </x:c>
      <x:c r="D2796" s="11" t="str">
        <x:v>2024-03</x:v>
      </x:c>
      <x:c r="E2796" s="11" t="str">
        <x:v>Central</x:v>
      </x:c>
      <x:c r="F2796" s="11" t="str">
        <x:v>Technology</x:v>
      </x:c>
      <x:c r="G2796" s="11" t="str">
        <x:v>Monitor</x:v>
      </x:c>
      <x:c r="H2796" s="11" t="n">
        <x:v>4</x:v>
      </x:c>
      <x:c r="I2796" s="19" t="n">
        <x:v>0</x:v>
      </x:c>
      <x:c r="J2796" s="11" t="n">
        <x:v>0</x:v>
      </x:c>
      <x:c r="K2796" s="20" t="n">
        <x:v>960</x:v>
      </x:c>
      <x:c r="L2796" s="20" t="n">
        <x:v>0</x:v>
      </x:c>
      <x:c r="M2796" s="20" t="n">
        <x:v>640</x:v>
      </x:c>
      <x:c r="N2796" s="20" t="n">
        <x:f>IF(J2796=1,0,K2796-L2796)</x:f>
        <x:v>960</x:v>
      </x:c>
      <x:c r="O2796" s="20" t="n">
        <x:f>N2796-M2796</x:f>
        <x:v>320</x:v>
      </x:c>
    </x:row>
    <x:row r="2797" ht="22" customHeight="1">
      <x:c r="A2797" s="11" t="n">
        <x:v>2793</x:v>
      </x:c>
      <x:c r="B2797" s="11" t="n">
        <x:v>1417</x:v>
      </x:c>
      <x:c r="C2797" s="18" t="n">
        <x:v>45373</x:v>
      </x:c>
      <x:c r="D2797" s="11" t="str">
        <x:v>2024-03</x:v>
      </x:c>
      <x:c r="E2797" s="11" t="str">
        <x:v>Central</x:v>
      </x:c>
      <x:c r="F2797" s="11" t="str">
        <x:v>Furniture</x:v>
      </x:c>
      <x:c r="G2797" s="11" t="str">
        <x:v>Desk</x:v>
      </x:c>
      <x:c r="H2797" s="11" t="n">
        <x:v>3</x:v>
      </x:c>
      <x:c r="I2797" s="19" t="n">
        <x:v>0</x:v>
      </x:c>
      <x:c r="J2797" s="11" t="n">
        <x:v>0</x:v>
      </x:c>
      <x:c r="K2797" s="20" t="n">
        <x:v>840</x:v>
      </x:c>
      <x:c r="L2797" s="20" t="n">
        <x:v>0</x:v>
      </x:c>
      <x:c r="M2797" s="20" t="n">
        <x:v>570</x:v>
      </x:c>
      <x:c r="N2797" s="20" t="n">
        <x:f>IF(J2797=1,0,K2797-L2797)</x:f>
        <x:v>840</x:v>
      </x:c>
      <x:c r="O2797" s="20" t="n">
        <x:f>N2797-M2797</x:f>
        <x:v>270</x:v>
      </x:c>
    </x:row>
    <x:row r="2798" ht="22" customHeight="1">
      <x:c r="A2798" s="11" t="n">
        <x:v>2794</x:v>
      </x:c>
      <x:c r="B2798" s="11" t="n">
        <x:v>1418</x:v>
      </x:c>
      <x:c r="C2798" s="18" t="n">
        <x:v>45388</x:v>
      </x:c>
      <x:c r="D2798" s="11" t="str">
        <x:v>2024-04</x:v>
      </x:c>
      <x:c r="E2798" s="11" t="str">
        <x:v>East</x:v>
      </x:c>
      <x:c r="F2798" s="11" t="str">
        <x:v>Technology</x:v>
      </x:c>
      <x:c r="G2798" s="11" t="str">
        <x:v>Keyboard</x:v>
      </x:c>
      <x:c r="H2798" s="11" t="n">
        <x:v>1</x:v>
      </x:c>
      <x:c r="I2798" s="19" t="n">
        <x:v>0.1</x:v>
      </x:c>
      <x:c r="J2798" s="11" t="n">
        <x:v>0</x:v>
      </x:c>
      <x:c r="K2798" s="20" t="n">
        <x:v>65</x:v>
      </x:c>
      <x:c r="L2798" s="20" t="n">
        <x:v>6.5</x:v>
      </x:c>
      <x:c r="M2798" s="20" t="n">
        <x:v>32</x:v>
      </x:c>
      <x:c r="N2798" s="20" t="n">
        <x:f>IF(J2798=1,0,K2798-L2798)</x:f>
        <x:v>58.5</x:v>
      </x:c>
      <x:c r="O2798" s="20" t="n">
        <x:f>N2798-M2798</x:f>
        <x:v>26.5</x:v>
      </x:c>
    </x:row>
    <x:row r="2799" ht="22" customHeight="1">
      <x:c r="A2799" s="11" t="n">
        <x:v>2795</x:v>
      </x:c>
      <x:c r="B2799" s="11" t="n">
        <x:v>1419</x:v>
      </x:c>
      <x:c r="C2799" s="18" t="n">
        <x:v>45707</x:v>
      </x:c>
      <x:c r="D2799" s="11" t="str">
        <x:v>2025-02</x:v>
      </x:c>
      <x:c r="E2799" s="11" t="str">
        <x:v>East</x:v>
      </x:c>
      <x:c r="F2799" s="11" t="str">
        <x:v>Furniture</x:v>
      </x:c>
      <x:c r="G2799" s="11" t="str">
        <x:v>Chair</x:v>
      </x:c>
      <x:c r="H2799" s="11" t="n">
        <x:v>5</x:v>
      </x:c>
      <x:c r="I2799" s="19" t="n">
        <x:v>0.05</x:v>
      </x:c>
      <x:c r="J2799" s="11" t="n">
        <x:v>0</x:v>
      </x:c>
      <x:c r="K2799" s="20" t="n">
        <x:v>850</x:v>
      </x:c>
      <x:c r="L2799" s="20" t="n">
        <x:v>42.5</x:v>
      </x:c>
      <x:c r="M2799" s="20" t="n">
        <x:v>550</x:v>
      </x:c>
      <x:c r="N2799" s="20" t="n">
        <x:f>IF(J2799=1,0,K2799-L2799)</x:f>
        <x:v>807.5</x:v>
      </x:c>
      <x:c r="O2799" s="20" t="n">
        <x:f>N2799-M2799</x:f>
        <x:v>257.5</x:v>
      </x:c>
    </x:row>
    <x:row r="2800" ht="22" customHeight="1">
      <x:c r="A2800" s="11" t="n">
        <x:v>2796</x:v>
      </x:c>
      <x:c r="B2800" s="11" t="n">
        <x:v>1419</x:v>
      </x:c>
      <x:c r="C2800" s="18" t="n">
        <x:v>45707</x:v>
      </x:c>
      <x:c r="D2800" s="11" t="str">
        <x:v>2025-02</x:v>
      </x:c>
      <x:c r="E2800" s="11" t="str">
        <x:v>East</x:v>
      </x:c>
      <x:c r="F2800" s="11" t="str">
        <x:v>Office Supplies</x:v>
      </x:c>
      <x:c r="G2800" s="11" t="str">
        <x:v>Notebook pack</x:v>
      </x:c>
      <x:c r="H2800" s="11" t="n">
        <x:v>2</x:v>
      </x:c>
      <x:c r="I2800" s="19" t="n">
        <x:v>0</x:v>
      </x:c>
      <x:c r="J2800" s="11" t="n">
        <x:v>0</x:v>
      </x:c>
      <x:c r="K2800" s="20" t="n">
        <x:v>36</x:v>
      </x:c>
      <x:c r="L2800" s="20" t="n">
        <x:v>0</x:v>
      </x:c>
      <x:c r="M2800" s="20" t="n">
        <x:v>14</x:v>
      </x:c>
      <x:c r="N2800" s="20" t="n">
        <x:f>IF(J2800=1,0,K2800-L2800)</x:f>
        <x:v>36</x:v>
      </x:c>
      <x:c r="O2800" s="20" t="n">
        <x:f>N2800-M2800</x:f>
        <x:v>22</x:v>
      </x:c>
    </x:row>
    <x:row r="2801" ht="22" customHeight="1">
      <x:c r="A2801" s="11" t="n">
        <x:v>2797</x:v>
      </x:c>
      <x:c r="B2801" s="11" t="n">
        <x:v>1420</x:v>
      </x:c>
      <x:c r="C2801" s="18" t="n">
        <x:v>45874</x:v>
      </x:c>
      <x:c r="D2801" s="11" t="str">
        <x:v>2025-08</x:v>
      </x:c>
      <x:c r="E2801" s="11" t="str">
        <x:v>Central</x:v>
      </x:c>
      <x:c r="F2801" s="11" t="str">
        <x:v>Furniture</x:v>
      </x:c>
      <x:c r="G2801" s="11" t="str">
        <x:v>Desk</x:v>
      </x:c>
      <x:c r="H2801" s="11" t="n">
        <x:v>2</x:v>
      </x:c>
      <x:c r="I2801" s="19" t="n">
        <x:v>0</x:v>
      </x:c>
      <x:c r="J2801" s="11" t="n">
        <x:v>0</x:v>
      </x:c>
      <x:c r="K2801" s="20" t="n">
        <x:v>560</x:v>
      </x:c>
      <x:c r="L2801" s="20" t="n">
        <x:v>0</x:v>
      </x:c>
      <x:c r="M2801" s="20" t="n">
        <x:v>380</x:v>
      </x:c>
      <x:c r="N2801" s="20" t="n">
        <x:f>IF(J2801=1,0,K2801-L2801)</x:f>
        <x:v>560</x:v>
      </x:c>
      <x:c r="O2801" s="20" t="n">
        <x:f>N2801-M2801</x:f>
        <x:v>180</x:v>
      </x:c>
    </x:row>
    <x:row r="2802" ht="22" customHeight="1">
      <x:c r="A2802" s="11" t="n">
        <x:v>2798</x:v>
      </x:c>
      <x:c r="B2802" s="11" t="n">
        <x:v>1420</x:v>
      </x:c>
      <x:c r="C2802" s="18" t="n">
        <x:v>45874</x:v>
      </x:c>
      <x:c r="D2802" s="11" t="str">
        <x:v>2025-08</x:v>
      </x:c>
      <x:c r="E2802" s="11" t="str">
        <x:v>Central</x:v>
      </x:c>
      <x:c r="F2802" s="11" t="str">
        <x:v>Technology</x:v>
      </x:c>
      <x:c r="G2802" s="11" t="str">
        <x:v>Keyboard</x:v>
      </x:c>
      <x:c r="H2802" s="11" t="n">
        <x:v>5</x:v>
      </x:c>
      <x:c r="I2802" s="19" t="n">
        <x:v>0</x:v>
      </x:c>
      <x:c r="J2802" s="11" t="n">
        <x:v>0</x:v>
      </x:c>
      <x:c r="K2802" s="20" t="n">
        <x:v>325</x:v>
      </x:c>
      <x:c r="L2802" s="20" t="n">
        <x:v>0</x:v>
      </x:c>
      <x:c r="M2802" s="20" t="n">
        <x:v>160</x:v>
      </x:c>
      <x:c r="N2802" s="20" t="n">
        <x:f>IF(J2802=1,0,K2802-L2802)</x:f>
        <x:v>325</x:v>
      </x:c>
      <x:c r="O2802" s="20" t="n">
        <x:f>N2802-M2802</x:f>
        <x:v>165</x:v>
      </x:c>
    </x:row>
    <x:row r="2803" ht="22" customHeight="1">
      <x:c r="A2803" s="11" t="n">
        <x:v>2799</x:v>
      </x:c>
      <x:c r="B2803" s="11" t="n">
        <x:v>1420</x:v>
      </x:c>
      <x:c r="C2803" s="18" t="n">
        <x:v>45874</x:v>
      </x:c>
      <x:c r="D2803" s="11" t="str">
        <x:v>2025-08</x:v>
      </x:c>
      <x:c r="E2803" s="11" t="str">
        <x:v>Central</x:v>
      </x:c>
      <x:c r="F2803" s="11" t="str">
        <x:v>Furniture</x:v>
      </x:c>
      <x:c r="G2803" s="11" t="str">
        <x:v>Chair</x:v>
      </x:c>
      <x:c r="H2803" s="11" t="n">
        <x:v>1</x:v>
      </x:c>
      <x:c r="I2803" s="19" t="n">
        <x:v>0.1</x:v>
      </x:c>
      <x:c r="J2803" s="11" t="n">
        <x:v>0</x:v>
      </x:c>
      <x:c r="K2803" s="20" t="n">
        <x:v>170</x:v>
      </x:c>
      <x:c r="L2803" s="20" t="n">
        <x:v>17</x:v>
      </x:c>
      <x:c r="M2803" s="20" t="n">
        <x:v>110</x:v>
      </x:c>
      <x:c r="N2803" s="20" t="n">
        <x:f>IF(J2803=1,0,K2803-L2803)</x:f>
        <x:v>153</x:v>
      </x:c>
      <x:c r="O2803" s="20" t="n">
        <x:f>N2803-M2803</x:f>
        <x:v>43</x:v>
      </x:c>
    </x:row>
    <x:row r="2804" ht="22" customHeight="1">
      <x:c r="A2804" s="11" t="n">
        <x:v>2800</x:v>
      </x:c>
      <x:c r="B2804" s="11" t="n">
        <x:v>1421</x:v>
      </x:c>
      <x:c r="C2804" s="18" t="n">
        <x:v>45484</x:v>
      </x:c>
      <x:c r="D2804" s="11" t="str">
        <x:v>2024-07</x:v>
      </x:c>
      <x:c r="E2804" s="11" t="str">
        <x:v>South</x:v>
      </x:c>
      <x:c r="F2804" s="11" t="str">
        <x:v>Technology</x:v>
      </x:c>
      <x:c r="G2804" s="11" t="str">
        <x:v>Keyboard</x:v>
      </x:c>
      <x:c r="H2804" s="11" t="n">
        <x:v>2</x:v>
      </x:c>
      <x:c r="I2804" s="19" t="n">
        <x:v>0.15</x:v>
      </x:c>
      <x:c r="J2804" s="11" t="n">
        <x:v>0</x:v>
      </x:c>
      <x:c r="K2804" s="20" t="n">
        <x:v>130</x:v>
      </x:c>
      <x:c r="L2804" s="20" t="n">
        <x:v>19.5</x:v>
      </x:c>
      <x:c r="M2804" s="20" t="n">
        <x:v>64</x:v>
      </x:c>
      <x:c r="N2804" s="20" t="n">
        <x:f>IF(J2804=1,0,K2804-L2804)</x:f>
        <x:v>110.5</x:v>
      </x:c>
      <x:c r="O2804" s="20" t="n">
        <x:f>N2804-M2804</x:f>
        <x:v>46.5</x:v>
      </x:c>
    </x:row>
    <x:row r="2805" ht="22" customHeight="1">
      <x:c r="A2805" s="11" t="n">
        <x:v>2801</x:v>
      </x:c>
      <x:c r="B2805" s="11" t="n">
        <x:v>1422</x:v>
      </x:c>
      <x:c r="C2805" s="18" t="n">
        <x:v>45489</x:v>
      </x:c>
      <x:c r="D2805" s="11" t="str">
        <x:v>2024-07</x:v>
      </x:c>
      <x:c r="E2805" s="11" t="str">
        <x:v>East</x:v>
      </x:c>
      <x:c r="F2805" s="11" t="str">
        <x:v>Furniture</x:v>
      </x:c>
      <x:c r="G2805" s="11" t="str">
        <x:v>Chair</x:v>
      </x:c>
      <x:c r="H2805" s="11" t="n">
        <x:v>5</x:v>
      </x:c>
      <x:c r="I2805" s="19" t="n">
        <x:v>0.25</x:v>
      </x:c>
      <x:c r="J2805" s="11" t="n">
        <x:v>0</x:v>
      </x:c>
      <x:c r="K2805" s="20" t="n">
        <x:v>850</x:v>
      </x:c>
      <x:c r="L2805" s="20" t="n">
        <x:v>212.5</x:v>
      </x:c>
      <x:c r="M2805" s="20" t="n">
        <x:v>550</x:v>
      </x:c>
      <x:c r="N2805" s="20" t="n">
        <x:f>IF(J2805=1,0,K2805-L2805)</x:f>
        <x:v>637.5</x:v>
      </x:c>
      <x:c r="O2805" s="20" t="n">
        <x:f>N2805-M2805</x:f>
        <x:v>87.5</x:v>
      </x:c>
    </x:row>
    <x:row r="2806" ht="22" customHeight="1">
      <x:c r="A2806" s="11" t="n">
        <x:v>2802</x:v>
      </x:c>
      <x:c r="B2806" s="11" t="n">
        <x:v>1422</x:v>
      </x:c>
      <x:c r="C2806" s="18" t="n">
        <x:v>45489</x:v>
      </x:c>
      <x:c r="D2806" s="11" t="str">
        <x:v>2024-07</x:v>
      </x:c>
      <x:c r="E2806" s="11" t="str">
        <x:v>East</x:v>
      </x:c>
      <x:c r="F2806" s="11" t="str">
        <x:v>Technology</x:v>
      </x:c>
      <x:c r="G2806" s="11" t="str">
        <x:v>Keyboard</x:v>
      </x:c>
      <x:c r="H2806" s="11" t="n">
        <x:v>3</x:v>
      </x:c>
      <x:c r="I2806" s="19" t="n">
        <x:v>0.05</x:v>
      </x:c>
      <x:c r="J2806" s="11" t="n">
        <x:v>0</x:v>
      </x:c>
      <x:c r="K2806" s="20" t="n">
        <x:v>195</x:v>
      </x:c>
      <x:c r="L2806" s="20" t="n">
        <x:v>9.75</x:v>
      </x:c>
      <x:c r="M2806" s="20" t="n">
        <x:v>96</x:v>
      </x:c>
      <x:c r="N2806" s="20" t="n">
        <x:f>IF(J2806=1,0,K2806-L2806)</x:f>
        <x:v>185.25</x:v>
      </x:c>
      <x:c r="O2806" s="20" t="n">
        <x:f>N2806-M2806</x:f>
        <x:v>89.25</x:v>
      </x:c>
    </x:row>
    <x:row r="2807" ht="22" customHeight="1">
      <x:c r="A2807" s="11" t="n">
        <x:v>2803</x:v>
      </x:c>
      <x:c r="B2807" s="11" t="n">
        <x:v>1423</x:v>
      </x:c>
      <x:c r="C2807" s="18" t="n">
        <x:v>45419</x:v>
      </x:c>
      <x:c r="D2807" s="11" t="str">
        <x:v>2024-05</x:v>
      </x:c>
      <x:c r="E2807" s="11" t="str">
        <x:v>South</x:v>
      </x:c>
      <x:c r="F2807" s="11" t="str">
        <x:v>Office Supplies</x:v>
      </x:c>
      <x:c r="G2807" s="11" t="str">
        <x:v>Storage box</x:v>
      </x:c>
      <x:c r="H2807" s="11" t="n">
        <x:v>4</x:v>
      </x:c>
      <x:c r="I2807" s="19" t="n">
        <x:v>0</x:v>
      </x:c>
      <x:c r="J2807" s="11" t="n">
        <x:v>0</x:v>
      </x:c>
      <x:c r="K2807" s="20" t="n">
        <x:v>104</x:v>
      </x:c>
      <x:c r="L2807" s="20" t="n">
        <x:v>0</x:v>
      </x:c>
      <x:c r="M2807" s="20" t="n">
        <x:v>48</x:v>
      </x:c>
      <x:c r="N2807" s="20" t="n">
        <x:f>IF(J2807=1,0,K2807-L2807)</x:f>
        <x:v>104</x:v>
      </x:c>
      <x:c r="O2807" s="20" t="n">
        <x:f>N2807-M2807</x:f>
        <x:v>56</x:v>
      </x:c>
    </x:row>
    <x:row r="2808" ht="22" customHeight="1">
      <x:c r="A2808" s="11" t="n">
        <x:v>2804</x:v>
      </x:c>
      <x:c r="B2808" s="11" t="n">
        <x:v>1423</x:v>
      </x:c>
      <x:c r="C2808" s="18" t="n">
        <x:v>45419</x:v>
      </x:c>
      <x:c r="D2808" s="11" t="str">
        <x:v>2024-05</x:v>
      </x:c>
      <x:c r="E2808" s="11" t="str">
        <x:v>South</x:v>
      </x:c>
      <x:c r="F2808" s="11" t="str">
        <x:v>Office Supplies</x:v>
      </x:c>
      <x:c r="G2808" s="11" t="str">
        <x:v>Notebook pack</x:v>
      </x:c>
      <x:c r="H2808" s="11" t="n">
        <x:v>4</x:v>
      </x:c>
      <x:c r="I2808" s="19" t="n">
        <x:v>0.15</x:v>
      </x:c>
      <x:c r="J2808" s="11" t="n">
        <x:v>0</x:v>
      </x:c>
      <x:c r="K2808" s="20" t="n">
        <x:v>72</x:v>
      </x:c>
      <x:c r="L2808" s="20" t="n">
        <x:v>10.8</x:v>
      </x:c>
      <x:c r="M2808" s="20" t="n">
        <x:v>28</x:v>
      </x:c>
      <x:c r="N2808" s="20" t="n">
        <x:f>IF(J2808=1,0,K2808-L2808)</x:f>
        <x:v>61.2</x:v>
      </x:c>
      <x:c r="O2808" s="20" t="n">
        <x:f>N2808-M2808</x:f>
        <x:v>33.2</x:v>
      </x:c>
    </x:row>
    <x:row r="2809" ht="22" customHeight="1">
      <x:c r="A2809" s="11" t="n">
        <x:v>2805</x:v>
      </x:c>
      <x:c r="B2809" s="11" t="n">
        <x:v>1424</x:v>
      </x:c>
      <x:c r="C2809" s="18" t="n">
        <x:v>45551</x:v>
      </x:c>
      <x:c r="D2809" s="11" t="str">
        <x:v>2024-09</x:v>
      </x:c>
      <x:c r="E2809" s="11" t="str">
        <x:v>Central</x:v>
      </x:c>
      <x:c r="F2809" s="11" t="str">
        <x:v>Furniture</x:v>
      </x:c>
      <x:c r="G2809" s="11" t="str">
        <x:v>Chair</x:v>
      </x:c>
      <x:c r="H2809" s="11" t="n">
        <x:v>2</x:v>
      </x:c>
      <x:c r="I2809" s="19" t="n">
        <x:v>0</x:v>
      </x:c>
      <x:c r="J2809" s="11" t="n">
        <x:v>0</x:v>
      </x:c>
      <x:c r="K2809" s="20" t="n">
        <x:v>340</x:v>
      </x:c>
      <x:c r="L2809" s="20" t="n">
        <x:v>0</x:v>
      </x:c>
      <x:c r="M2809" s="20" t="n">
        <x:v>220</x:v>
      </x:c>
      <x:c r="N2809" s="20" t="n">
        <x:f>IF(J2809=1,0,K2809-L2809)</x:f>
        <x:v>340</x:v>
      </x:c>
      <x:c r="O2809" s="20" t="n">
        <x:f>N2809-M2809</x:f>
        <x:v>120</x:v>
      </x:c>
    </x:row>
    <x:row r="2810" ht="22" customHeight="1">
      <x:c r="A2810" s="11" t="n">
        <x:v>2806</x:v>
      </x:c>
      <x:c r="B2810" s="11" t="n">
        <x:v>1424</x:v>
      </x:c>
      <x:c r="C2810" s="18" t="n">
        <x:v>45551</x:v>
      </x:c>
      <x:c r="D2810" s="11" t="str">
        <x:v>2024-09</x:v>
      </x:c>
      <x:c r="E2810" s="11" t="str">
        <x:v>Central</x:v>
      </x:c>
      <x:c r="F2810" s="11" t="str">
        <x:v>Office Supplies</x:v>
      </x:c>
      <x:c r="G2810" s="11" t="str">
        <x:v>Notebook pack</x:v>
      </x:c>
      <x:c r="H2810" s="11" t="n">
        <x:v>2</x:v>
      </x:c>
      <x:c r="I2810" s="19" t="n">
        <x:v>0</x:v>
      </x:c>
      <x:c r="J2810" s="11" t="n">
        <x:v>0</x:v>
      </x:c>
      <x:c r="K2810" s="20" t="n">
        <x:v>36</x:v>
      </x:c>
      <x:c r="L2810" s="20" t="n">
        <x:v>0</x:v>
      </x:c>
      <x:c r="M2810" s="20" t="n">
        <x:v>14</x:v>
      </x:c>
      <x:c r="N2810" s="20" t="n">
        <x:f>IF(J2810=1,0,K2810-L2810)</x:f>
        <x:v>36</x:v>
      </x:c>
      <x:c r="O2810" s="20" t="n">
        <x:f>N2810-M2810</x:f>
        <x:v>22</x:v>
      </x:c>
    </x:row>
    <x:row r="2811" ht="22" customHeight="1">
      <x:c r="A2811" s="11" t="n">
        <x:v>2807</x:v>
      </x:c>
      <x:c r="B2811" s="11" t="n">
        <x:v>1424</x:v>
      </x:c>
      <x:c r="C2811" s="18" t="n">
        <x:v>45551</x:v>
      </x:c>
      <x:c r="D2811" s="11" t="str">
        <x:v>2024-09</x:v>
      </x:c>
      <x:c r="E2811" s="11" t="str">
        <x:v>Central</x:v>
      </x:c>
      <x:c r="F2811" s="11" t="str">
        <x:v>Furniture</x:v>
      </x:c>
      <x:c r="G2811" s="11" t="str">
        <x:v>Desk</x:v>
      </x:c>
      <x:c r="H2811" s="11" t="n">
        <x:v>1</x:v>
      </x:c>
      <x:c r="I2811" s="19" t="n">
        <x:v>0.25</x:v>
      </x:c>
      <x:c r="J2811" s="11" t="n">
        <x:v>0</x:v>
      </x:c>
      <x:c r="K2811" s="20" t="n">
        <x:v>280</x:v>
      </x:c>
      <x:c r="L2811" s="20" t="n">
        <x:v>70</x:v>
      </x:c>
      <x:c r="M2811" s="20" t="n">
        <x:v>190</x:v>
      </x:c>
      <x:c r="N2811" s="20" t="n">
        <x:f>IF(J2811=1,0,K2811-L2811)</x:f>
        <x:v>210</x:v>
      </x:c>
      <x:c r="O2811" s="20" t="n">
        <x:f>N2811-M2811</x:f>
        <x:v>20</x:v>
      </x:c>
    </x:row>
    <x:row r="2812" ht="22" customHeight="1">
      <x:c r="A2812" s="11" t="n">
        <x:v>2808</x:v>
      </x:c>
      <x:c r="B2812" s="11" t="n">
        <x:v>1425</x:v>
      </x:c>
      <x:c r="C2812" s="18" t="n">
        <x:v>45515</x:v>
      </x:c>
      <x:c r="D2812" s="11" t="str">
        <x:v>2024-08</x:v>
      </x:c>
      <x:c r="E2812" s="11" t="str">
        <x:v>South</x:v>
      </x:c>
      <x:c r="F2812" s="11" t="str">
        <x:v>Furniture</x:v>
      </x:c>
      <x:c r="G2812" s="11" t="str">
        <x:v>Desk</x:v>
      </x:c>
      <x:c r="H2812" s="11" t="n">
        <x:v>1</x:v>
      </x:c>
      <x:c r="I2812" s="19" t="n">
        <x:v>0.25</x:v>
      </x:c>
      <x:c r="J2812" s="11" t="n">
        <x:v>0</x:v>
      </x:c>
      <x:c r="K2812" s="20" t="n">
        <x:v>280</x:v>
      </x:c>
      <x:c r="L2812" s="20" t="n">
        <x:v>70</x:v>
      </x:c>
      <x:c r="M2812" s="20" t="n">
        <x:v>190</x:v>
      </x:c>
      <x:c r="N2812" s="20" t="n">
        <x:f>IF(J2812=1,0,K2812-L2812)</x:f>
        <x:v>210</x:v>
      </x:c>
      <x:c r="O2812" s="20" t="n">
        <x:f>N2812-M2812</x:f>
        <x:v>20</x:v>
      </x:c>
    </x:row>
    <x:row r="2813" ht="22" customHeight="1">
      <x:c r="A2813" s="11" t="n">
        <x:v>2809</x:v>
      </x:c>
      <x:c r="B2813" s="11" t="n">
        <x:v>1425</x:v>
      </x:c>
      <x:c r="C2813" s="18" t="n">
        <x:v>45515</x:v>
      </x:c>
      <x:c r="D2813" s="11" t="str">
        <x:v>2024-08</x:v>
      </x:c>
      <x:c r="E2813" s="11" t="str">
        <x:v>South</x:v>
      </x:c>
      <x:c r="F2813" s="11" t="str">
        <x:v>Furniture</x:v>
      </x:c>
      <x:c r="G2813" s="11" t="str">
        <x:v>Chair</x:v>
      </x:c>
      <x:c r="H2813" s="11" t="n">
        <x:v>2</x:v>
      </x:c>
      <x:c r="I2813" s="19" t="n">
        <x:v>0.35</x:v>
      </x:c>
      <x:c r="J2813" s="11" t="n">
        <x:v>0</x:v>
      </x:c>
      <x:c r="K2813" s="20" t="n">
        <x:v>340</x:v>
      </x:c>
      <x:c r="L2813" s="20" t="n">
        <x:v>119</x:v>
      </x:c>
      <x:c r="M2813" s="20" t="n">
        <x:v>220</x:v>
      </x:c>
      <x:c r="N2813" s="20" t="n">
        <x:f>IF(J2813=1,0,K2813-L2813)</x:f>
        <x:v>221</x:v>
      </x:c>
      <x:c r="O2813" s="20" t="n">
        <x:f>N2813-M2813</x:f>
        <x:v>1</x:v>
      </x:c>
    </x:row>
    <x:row r="2814" ht="22" customHeight="1">
      <x:c r="A2814" s="11" t="n">
        <x:v>2810</x:v>
      </x:c>
      <x:c r="B2814" s="11" t="n">
        <x:v>1425</x:v>
      </x:c>
      <x:c r="C2814" s="18" t="n">
        <x:v>45515</x:v>
      </x:c>
      <x:c r="D2814" s="11" t="str">
        <x:v>2024-08</x:v>
      </x:c>
      <x:c r="E2814" s="11" t="str">
        <x:v>South</x:v>
      </x:c>
      <x:c r="F2814" s="11" t="str">
        <x:v>Office Supplies</x:v>
      </x:c>
      <x:c r="G2814" s="11" t="str">
        <x:v>Storage box</x:v>
      </x:c>
      <x:c r="H2814" s="11" t="n">
        <x:v>1</x:v>
      </x:c>
      <x:c r="I2814" s="19" t="n">
        <x:v>0.05</x:v>
      </x:c>
      <x:c r="J2814" s="11" t="n">
        <x:v>0</x:v>
      </x:c>
      <x:c r="K2814" s="20" t="n">
        <x:v>26</x:v>
      </x:c>
      <x:c r="L2814" s="20" t="n">
        <x:v>1.3</x:v>
      </x:c>
      <x:c r="M2814" s="20" t="n">
        <x:v>12</x:v>
      </x:c>
      <x:c r="N2814" s="20" t="n">
        <x:f>IF(J2814=1,0,K2814-L2814)</x:f>
        <x:v>24.7</x:v>
      </x:c>
      <x:c r="O2814" s="20" t="n">
        <x:f>N2814-M2814</x:f>
        <x:v>12.7</x:v>
      </x:c>
    </x:row>
    <x:row r="2815" ht="22" customHeight="1">
      <x:c r="A2815" s="11" t="n">
        <x:v>2811</x:v>
      </x:c>
      <x:c r="B2815" s="11" t="n">
        <x:v>1426</x:v>
      </x:c>
      <x:c r="C2815" s="18" t="n">
        <x:v>45712</x:v>
      </x:c>
      <x:c r="D2815" s="11" t="str">
        <x:v>2025-02</x:v>
      </x:c>
      <x:c r="E2815" s="11" t="str">
        <x:v>South</x:v>
      </x:c>
      <x:c r="F2815" s="11" t="str">
        <x:v>Office Supplies</x:v>
      </x:c>
      <x:c r="G2815" s="11" t="str">
        <x:v>Storage box</x:v>
      </x:c>
      <x:c r="H2815" s="11" t="n">
        <x:v>2</x:v>
      </x:c>
      <x:c r="I2815" s="19" t="n">
        <x:v>0</x:v>
      </x:c>
      <x:c r="J2815" s="11" t="n">
        <x:v>0</x:v>
      </x:c>
      <x:c r="K2815" s="20" t="n">
        <x:v>52</x:v>
      </x:c>
      <x:c r="L2815" s="20" t="n">
        <x:v>0</x:v>
      </x:c>
      <x:c r="M2815" s="20" t="n">
        <x:v>24</x:v>
      </x:c>
      <x:c r="N2815" s="20" t="n">
        <x:f>IF(J2815=1,0,K2815-L2815)</x:f>
        <x:v>52</x:v>
      </x:c>
      <x:c r="O2815" s="20" t="n">
        <x:f>N2815-M2815</x:f>
        <x:v>28</x:v>
      </x:c>
    </x:row>
    <x:row r="2816" ht="22" customHeight="1">
      <x:c r="A2816" s="11" t="n">
        <x:v>2812</x:v>
      </x:c>
      <x:c r="B2816" s="11" t="n">
        <x:v>1426</x:v>
      </x:c>
      <x:c r="C2816" s="18" t="n">
        <x:v>45712</x:v>
      </x:c>
      <x:c r="D2816" s="11" t="str">
        <x:v>2025-02</x:v>
      </x:c>
      <x:c r="E2816" s="11" t="str">
        <x:v>South</x:v>
      </x:c>
      <x:c r="F2816" s="11" t="str">
        <x:v>Furniture</x:v>
      </x:c>
      <x:c r="G2816" s="11" t="str">
        <x:v>Chair</x:v>
      </x:c>
      <x:c r="H2816" s="11" t="n">
        <x:v>2</x:v>
      </x:c>
      <x:c r="I2816" s="19" t="n">
        <x:v>0.05</x:v>
      </x:c>
      <x:c r="J2816" s="11" t="n">
        <x:v>0</x:v>
      </x:c>
      <x:c r="K2816" s="20" t="n">
        <x:v>340</x:v>
      </x:c>
      <x:c r="L2816" s="20" t="n">
        <x:v>17</x:v>
      </x:c>
      <x:c r="M2816" s="20" t="n">
        <x:v>220</x:v>
      </x:c>
      <x:c r="N2816" s="20" t="n">
        <x:f>IF(J2816=1,0,K2816-L2816)</x:f>
        <x:v>323</x:v>
      </x:c>
      <x:c r="O2816" s="20" t="n">
        <x:f>N2816-M2816</x:f>
        <x:v>103</x:v>
      </x:c>
    </x:row>
    <x:row r="2817" ht="22" customHeight="1">
      <x:c r="A2817" s="11" t="n">
        <x:v>2813</x:v>
      </x:c>
      <x:c r="B2817" s="11" t="n">
        <x:v>1427</x:v>
      </x:c>
      <x:c r="C2817" s="18" t="n">
        <x:v>45572</x:v>
      </x:c>
      <x:c r="D2817" s="11" t="str">
        <x:v>2024-10</x:v>
      </x:c>
      <x:c r="E2817" s="11" t="str">
        <x:v>Central</x:v>
      </x:c>
      <x:c r="F2817" s="11" t="str">
        <x:v>Furniture</x:v>
      </x:c>
      <x:c r="G2817" s="11" t="str">
        <x:v>Desk</x:v>
      </x:c>
      <x:c r="H2817" s="11" t="n">
        <x:v>4</x:v>
      </x:c>
      <x:c r="I2817" s="19" t="n">
        <x:v>0</x:v>
      </x:c>
      <x:c r="J2817" s="11" t="n">
        <x:v>0</x:v>
      </x:c>
      <x:c r="K2817" s="20" t="n">
        <x:v>1120</x:v>
      </x:c>
      <x:c r="L2817" s="20" t="n">
        <x:v>0</x:v>
      </x:c>
      <x:c r="M2817" s="20" t="n">
        <x:v>760</x:v>
      </x:c>
      <x:c r="N2817" s="20" t="n">
        <x:f>IF(J2817=1,0,K2817-L2817)</x:f>
        <x:v>1120</x:v>
      </x:c>
      <x:c r="O2817" s="20" t="n">
        <x:f>N2817-M2817</x:f>
        <x:v>360</x:v>
      </x:c>
    </x:row>
    <x:row r="2818" ht="22" customHeight="1">
      <x:c r="A2818" s="11" t="n">
        <x:v>2814</x:v>
      </x:c>
      <x:c r="B2818" s="11" t="n">
        <x:v>1427</x:v>
      </x:c>
      <x:c r="C2818" s="18" t="n">
        <x:v>45572</x:v>
      </x:c>
      <x:c r="D2818" s="11" t="str">
        <x:v>2024-10</x:v>
      </x:c>
      <x:c r="E2818" s="11" t="str">
        <x:v>Central</x:v>
      </x:c>
      <x:c r="F2818" s="11" t="str">
        <x:v>Technology</x:v>
      </x:c>
      <x:c r="G2818" s="11" t="str">
        <x:v>Keyboard</x:v>
      </x:c>
      <x:c r="H2818" s="11" t="n">
        <x:v>1</x:v>
      </x:c>
      <x:c r="I2818" s="19" t="n">
        <x:v>0.1</x:v>
      </x:c>
      <x:c r="J2818" s="11" t="n">
        <x:v>0</x:v>
      </x:c>
      <x:c r="K2818" s="20" t="n">
        <x:v>65</x:v>
      </x:c>
      <x:c r="L2818" s="20" t="n">
        <x:v>6.5</x:v>
      </x:c>
      <x:c r="M2818" s="20" t="n">
        <x:v>32</x:v>
      </x:c>
      <x:c r="N2818" s="20" t="n">
        <x:f>IF(J2818=1,0,K2818-L2818)</x:f>
        <x:v>58.5</x:v>
      </x:c>
      <x:c r="O2818" s="20" t="n">
        <x:f>N2818-M2818</x:f>
        <x:v>26.5</x:v>
      </x:c>
    </x:row>
    <x:row r="2819" ht="22" customHeight="1">
      <x:c r="A2819" s="11" t="n">
        <x:v>2815</x:v>
      </x:c>
      <x:c r="B2819" s="11" t="n">
        <x:v>1428</x:v>
      </x:c>
      <x:c r="C2819" s="18" t="n">
        <x:v>45500</x:v>
      </x:c>
      <x:c r="D2819" s="11" t="str">
        <x:v>2024-07</x:v>
      </x:c>
      <x:c r="E2819" s="11" t="str">
        <x:v>East</x:v>
      </x:c>
      <x:c r="F2819" s="11" t="str">
        <x:v>Furniture</x:v>
      </x:c>
      <x:c r="G2819" s="11" t="str">
        <x:v>Chair</x:v>
      </x:c>
      <x:c r="H2819" s="11" t="n">
        <x:v>3</x:v>
      </x:c>
      <x:c r="I2819" s="19" t="n">
        <x:v>0</x:v>
      </x:c>
      <x:c r="J2819" s="11" t="n">
        <x:v>0</x:v>
      </x:c>
      <x:c r="K2819" s="20" t="n">
        <x:v>510</x:v>
      </x:c>
      <x:c r="L2819" s="20" t="n">
        <x:v>0</x:v>
      </x:c>
      <x:c r="M2819" s="20" t="n">
        <x:v>330</x:v>
      </x:c>
      <x:c r="N2819" s="20" t="n">
        <x:f>IF(J2819=1,0,K2819-L2819)</x:f>
        <x:v>510</x:v>
      </x:c>
      <x:c r="O2819" s="20" t="n">
        <x:f>N2819-M2819</x:f>
        <x:v>180</x:v>
      </x:c>
    </x:row>
    <x:row r="2820" ht="22" customHeight="1">
      <x:c r="A2820" s="11" t="n">
        <x:v>2816</x:v>
      </x:c>
      <x:c r="B2820" s="11" t="n">
        <x:v>1428</x:v>
      </x:c>
      <x:c r="C2820" s="18" t="n">
        <x:v>45500</x:v>
      </x:c>
      <x:c r="D2820" s="11" t="str">
        <x:v>2024-07</x:v>
      </x:c>
      <x:c r="E2820" s="11" t="str">
        <x:v>East</x:v>
      </x:c>
      <x:c r="F2820" s="11" t="str">
        <x:v>Technology</x:v>
      </x:c>
      <x:c r="G2820" s="11" t="str">
        <x:v>Monitor</x:v>
      </x:c>
      <x:c r="H2820" s="11" t="n">
        <x:v>1</x:v>
      </x:c>
      <x:c r="I2820" s="19" t="n">
        <x:v>0.1</x:v>
      </x:c>
      <x:c r="J2820" s="11" t="n">
        <x:v>0</x:v>
      </x:c>
      <x:c r="K2820" s="20" t="n">
        <x:v>240</x:v>
      </x:c>
      <x:c r="L2820" s="20" t="n">
        <x:v>24</x:v>
      </x:c>
      <x:c r="M2820" s="20" t="n">
        <x:v>160</x:v>
      </x:c>
      <x:c r="N2820" s="20" t="n">
        <x:f>IF(J2820=1,0,K2820-L2820)</x:f>
        <x:v>216</x:v>
      </x:c>
      <x:c r="O2820" s="20" t="n">
        <x:f>N2820-M2820</x:f>
        <x:v>56</x:v>
      </x:c>
    </x:row>
    <x:row r="2821" ht="22" customHeight="1">
      <x:c r="A2821" s="11" t="n">
        <x:v>2817</x:v>
      </x:c>
      <x:c r="B2821" s="11" t="n">
        <x:v>1429</x:v>
      </x:c>
      <x:c r="C2821" s="18" t="n">
        <x:v>45834</x:v>
      </x:c>
      <x:c r="D2821" s="11" t="str">
        <x:v>2025-06</x:v>
      </x:c>
      <x:c r="E2821" s="11" t="str">
        <x:v>Central</x:v>
      </x:c>
      <x:c r="F2821" s="11" t="str">
        <x:v>Technology</x:v>
      </x:c>
      <x:c r="G2821" s="11" t="str">
        <x:v>Monitor</x:v>
      </x:c>
      <x:c r="H2821" s="11" t="n">
        <x:v>4</x:v>
      </x:c>
      <x:c r="I2821" s="19" t="n">
        <x:v>0</x:v>
      </x:c>
      <x:c r="J2821" s="11" t="n">
        <x:v>0</x:v>
      </x:c>
      <x:c r="K2821" s="20" t="n">
        <x:v>960</x:v>
      </x:c>
      <x:c r="L2821" s="20" t="n">
        <x:v>0</x:v>
      </x:c>
      <x:c r="M2821" s="20" t="n">
        <x:v>640</x:v>
      </x:c>
      <x:c r="N2821" s="20" t="n">
        <x:f>IF(J2821=1,0,K2821-L2821)</x:f>
        <x:v>960</x:v>
      </x:c>
      <x:c r="O2821" s="20" t="n">
        <x:f>N2821-M2821</x:f>
        <x:v>320</x:v>
      </x:c>
    </x:row>
    <x:row r="2822" ht="22" customHeight="1">
      <x:c r="A2822" s="11" t="n">
        <x:v>2818</x:v>
      </x:c>
      <x:c r="B2822" s="11" t="n">
        <x:v>1429</x:v>
      </x:c>
      <x:c r="C2822" s="18" t="n">
        <x:v>45834</x:v>
      </x:c>
      <x:c r="D2822" s="11" t="str">
        <x:v>2025-06</x:v>
      </x:c>
      <x:c r="E2822" s="11" t="str">
        <x:v>Central</x:v>
      </x:c>
      <x:c r="F2822" s="11" t="str">
        <x:v>Furniture</x:v>
      </x:c>
      <x:c r="G2822" s="11" t="str">
        <x:v>Chair</x:v>
      </x:c>
      <x:c r="H2822" s="11" t="n">
        <x:v>3</x:v>
      </x:c>
      <x:c r="I2822" s="19" t="n">
        <x:v>0.35</x:v>
      </x:c>
      <x:c r="J2822" s="11" t="n">
        <x:v>0</x:v>
      </x:c>
      <x:c r="K2822" s="20" t="n">
        <x:v>510</x:v>
      </x:c>
      <x:c r="L2822" s="20" t="n">
        <x:v>178.5</x:v>
      </x:c>
      <x:c r="M2822" s="20" t="n">
        <x:v>330</x:v>
      </x:c>
      <x:c r="N2822" s="20" t="n">
        <x:f>IF(J2822=1,0,K2822-L2822)</x:f>
        <x:v>331.5</x:v>
      </x:c>
      <x:c r="O2822" s="20" t="n">
        <x:f>N2822-M2822</x:f>
        <x:v>1.5</x:v>
      </x:c>
    </x:row>
    <x:row r="2823" ht="22" customHeight="1">
      <x:c r="A2823" s="11" t="n">
        <x:v>2819</x:v>
      </x:c>
      <x:c r="B2823" s="11" t="n">
        <x:v>1430</x:v>
      </x:c>
      <x:c r="C2823" s="18" t="n">
        <x:v>45568</x:v>
      </x:c>
      <x:c r="D2823" s="11" t="str">
        <x:v>2024-10</x:v>
      </x:c>
      <x:c r="E2823" s="11" t="str">
        <x:v>Central</x:v>
      </x:c>
      <x:c r="F2823" s="11" t="str">
        <x:v>Technology</x:v>
      </x:c>
      <x:c r="G2823" s="11" t="str">
        <x:v>Keyboard</x:v>
      </x:c>
      <x:c r="H2823" s="11" t="n">
        <x:v>2</x:v>
      </x:c>
      <x:c r="I2823" s="19" t="n">
        <x:v>0</x:v>
      </x:c>
      <x:c r="J2823" s="11" t="n">
        <x:v>0</x:v>
      </x:c>
      <x:c r="K2823" s="20" t="n">
        <x:v>130</x:v>
      </x:c>
      <x:c r="L2823" s="20" t="n">
        <x:v>0</x:v>
      </x:c>
      <x:c r="M2823" s="20" t="n">
        <x:v>64</x:v>
      </x:c>
      <x:c r="N2823" s="20" t="n">
        <x:f>IF(J2823=1,0,K2823-L2823)</x:f>
        <x:v>130</x:v>
      </x:c>
      <x:c r="O2823" s="20" t="n">
        <x:f>N2823-M2823</x:f>
        <x:v>66</x:v>
      </x:c>
    </x:row>
    <x:row r="2824" ht="22" customHeight="1">
      <x:c r="A2824" s="11" t="n">
        <x:v>2820</x:v>
      </x:c>
      <x:c r="B2824" s="11" t="n">
        <x:v>1431</x:v>
      </x:c>
      <x:c r="C2824" s="18" t="n">
        <x:v>45952</x:v>
      </x:c>
      <x:c r="D2824" s="11" t="str">
        <x:v>2025-10</x:v>
      </x:c>
      <x:c r="E2824" s="11" t="str">
        <x:v>Central</x:v>
      </x:c>
      <x:c r="F2824" s="11" t="str">
        <x:v>Office Supplies</x:v>
      </x:c>
      <x:c r="G2824" s="11" t="str">
        <x:v>Notebook pack</x:v>
      </x:c>
      <x:c r="H2824" s="11" t="n">
        <x:v>5</x:v>
      </x:c>
      <x:c r="I2824" s="19" t="n">
        <x:v>0</x:v>
      </x:c>
      <x:c r="J2824" s="11" t="n">
        <x:v>0</x:v>
      </x:c>
      <x:c r="K2824" s="20" t="n">
        <x:v>90</x:v>
      </x:c>
      <x:c r="L2824" s="20" t="n">
        <x:v>0</x:v>
      </x:c>
      <x:c r="M2824" s="20" t="n">
        <x:v>35</x:v>
      </x:c>
      <x:c r="N2824" s="20" t="n">
        <x:f>IF(J2824=1,0,K2824-L2824)</x:f>
        <x:v>90</x:v>
      </x:c>
      <x:c r="O2824" s="20" t="n">
        <x:f>N2824-M2824</x:f>
        <x:v>55</x:v>
      </x:c>
    </x:row>
    <x:row r="2825" ht="22" customHeight="1">
      <x:c r="A2825" s="11" t="n">
        <x:v>2821</x:v>
      </x:c>
      <x:c r="B2825" s="11" t="n">
        <x:v>1432</x:v>
      </x:c>
      <x:c r="C2825" s="18" t="n">
        <x:v>45671</x:v>
      </x:c>
      <x:c r="D2825" s="11" t="str">
        <x:v>2025-01</x:v>
      </x:c>
      <x:c r="E2825" s="11" t="str">
        <x:v>Central</x:v>
      </x:c>
      <x:c r="F2825" s="11" t="str">
        <x:v>Furniture</x:v>
      </x:c>
      <x:c r="G2825" s="11" t="str">
        <x:v>Desk</x:v>
      </x:c>
      <x:c r="H2825" s="11" t="n">
        <x:v>4</x:v>
      </x:c>
      <x:c r="I2825" s="19" t="n">
        <x:v>0</x:v>
      </x:c>
      <x:c r="J2825" s="11" t="n">
        <x:v>0</x:v>
      </x:c>
      <x:c r="K2825" s="20" t="n">
        <x:v>1120</x:v>
      </x:c>
      <x:c r="L2825" s="20" t="n">
        <x:v>0</x:v>
      </x:c>
      <x:c r="M2825" s="20" t="n">
        <x:v>760</x:v>
      </x:c>
      <x:c r="N2825" s="20" t="n">
        <x:f>IF(J2825=1,0,K2825-L2825)</x:f>
        <x:v>1120</x:v>
      </x:c>
      <x:c r="O2825" s="20" t="n">
        <x:f>N2825-M2825</x:f>
        <x:v>360</x:v>
      </x:c>
    </x:row>
    <x:row r="2826" ht="22" customHeight="1">
      <x:c r="A2826" s="11" t="n">
        <x:v>2822</x:v>
      </x:c>
      <x:c r="B2826" s="11" t="n">
        <x:v>1432</x:v>
      </x:c>
      <x:c r="C2826" s="18" t="n">
        <x:v>45671</x:v>
      </x:c>
      <x:c r="D2826" s="11" t="str">
        <x:v>2025-01</x:v>
      </x:c>
      <x:c r="E2826" s="11" t="str">
        <x:v>Central</x:v>
      </x:c>
      <x:c r="F2826" s="11" t="str">
        <x:v>Technology</x:v>
      </x:c>
      <x:c r="G2826" s="11" t="str">
        <x:v>Monitor</x:v>
      </x:c>
      <x:c r="H2826" s="11" t="n">
        <x:v>1</x:v>
      </x:c>
      <x:c r="I2826" s="19" t="n">
        <x:v>0</x:v>
      </x:c>
      <x:c r="J2826" s="11" t="n">
        <x:v>0</x:v>
      </x:c>
      <x:c r="K2826" s="20" t="n">
        <x:v>240</x:v>
      </x:c>
      <x:c r="L2826" s="20" t="n">
        <x:v>0</x:v>
      </x:c>
      <x:c r="M2826" s="20" t="n">
        <x:v>160</x:v>
      </x:c>
      <x:c r="N2826" s="20" t="n">
        <x:f>IF(J2826=1,0,K2826-L2826)</x:f>
        <x:v>240</x:v>
      </x:c>
      <x:c r="O2826" s="20" t="n">
        <x:f>N2826-M2826</x:f>
        <x:v>80</x:v>
      </x:c>
    </x:row>
    <x:row r="2827" ht="22" customHeight="1">
      <x:c r="A2827" s="11" t="n">
        <x:v>2823</x:v>
      </x:c>
      <x:c r="B2827" s="11" t="n">
        <x:v>1432</x:v>
      </x:c>
      <x:c r="C2827" s="18" t="n">
        <x:v>45671</x:v>
      </x:c>
      <x:c r="D2827" s="11" t="str">
        <x:v>2025-01</x:v>
      </x:c>
      <x:c r="E2827" s="11" t="str">
        <x:v>Central</x:v>
      </x:c>
      <x:c r="F2827" s="11" t="str">
        <x:v>Office Supplies</x:v>
      </x:c>
      <x:c r="G2827" s="11" t="str">
        <x:v>Notebook pack</x:v>
      </x:c>
      <x:c r="H2827" s="11" t="n">
        <x:v>3</x:v>
      </x:c>
      <x:c r="I2827" s="19" t="n">
        <x:v>0</x:v>
      </x:c>
      <x:c r="J2827" s="11" t="n">
        <x:v>0</x:v>
      </x:c>
      <x:c r="K2827" s="20" t="n">
        <x:v>54</x:v>
      </x:c>
      <x:c r="L2827" s="20" t="n">
        <x:v>0</x:v>
      </x:c>
      <x:c r="M2827" s="20" t="n">
        <x:v>21</x:v>
      </x:c>
      <x:c r="N2827" s="20" t="n">
        <x:f>IF(J2827=1,0,K2827-L2827)</x:f>
        <x:v>54</x:v>
      </x:c>
      <x:c r="O2827" s="20" t="n">
        <x:f>N2827-M2827</x:f>
        <x:v>33</x:v>
      </x:c>
    </x:row>
    <x:row r="2828" ht="22" customHeight="1">
      <x:c r="A2828" s="11" t="n">
        <x:v>2824</x:v>
      </x:c>
      <x:c r="B2828" s="11" t="n">
        <x:v>1433</x:v>
      </x:c>
      <x:c r="C2828" s="18" t="n">
        <x:v>45976</x:v>
      </x:c>
      <x:c r="D2828" s="11" t="str">
        <x:v>2025-11</x:v>
      </x:c>
      <x:c r="E2828" s="11" t="str">
        <x:v>South</x:v>
      </x:c>
      <x:c r="F2828" s="11" t="str">
        <x:v>Technology</x:v>
      </x:c>
      <x:c r="G2828" s="11" t="str">
        <x:v>Keyboard</x:v>
      </x:c>
      <x:c r="H2828" s="11" t="n">
        <x:v>2</x:v>
      </x:c>
      <x:c r="I2828" s="19" t="n">
        <x:v>0</x:v>
      </x:c>
      <x:c r="J2828" s="11" t="n">
        <x:v>0</x:v>
      </x:c>
      <x:c r="K2828" s="20" t="n">
        <x:v>130</x:v>
      </x:c>
      <x:c r="L2828" s="20" t="n">
        <x:v>0</x:v>
      </x:c>
      <x:c r="M2828" s="20" t="n">
        <x:v>64</x:v>
      </x:c>
      <x:c r="N2828" s="20" t="n">
        <x:f>IF(J2828=1,0,K2828-L2828)</x:f>
        <x:v>130</x:v>
      </x:c>
      <x:c r="O2828" s="20" t="n">
        <x:f>N2828-M2828</x:f>
        <x:v>66</x:v>
      </x:c>
    </x:row>
    <x:row r="2829" ht="22" customHeight="1">
      <x:c r="A2829" s="11" t="n">
        <x:v>2825</x:v>
      </x:c>
      <x:c r="B2829" s="11" t="n">
        <x:v>1433</x:v>
      </x:c>
      <x:c r="C2829" s="18" t="n">
        <x:v>45976</x:v>
      </x:c>
      <x:c r="D2829" s="11" t="str">
        <x:v>2025-11</x:v>
      </x:c>
      <x:c r="E2829" s="11" t="str">
        <x:v>South</x:v>
      </x:c>
      <x:c r="F2829" s="11" t="str">
        <x:v>Office Supplies</x:v>
      </x:c>
      <x:c r="G2829" s="11" t="str">
        <x:v>Notebook pack</x:v>
      </x:c>
      <x:c r="H2829" s="11" t="n">
        <x:v>5</x:v>
      </x:c>
      <x:c r="I2829" s="19" t="n">
        <x:v>0.1</x:v>
      </x:c>
      <x:c r="J2829" s="11" t="n">
        <x:v>0</x:v>
      </x:c>
      <x:c r="K2829" s="20" t="n">
        <x:v>90</x:v>
      </x:c>
      <x:c r="L2829" s="20" t="n">
        <x:v>9</x:v>
      </x:c>
      <x:c r="M2829" s="20" t="n">
        <x:v>35</x:v>
      </x:c>
      <x:c r="N2829" s="20" t="n">
        <x:f>IF(J2829=1,0,K2829-L2829)</x:f>
        <x:v>81</x:v>
      </x:c>
      <x:c r="O2829" s="20" t="n">
        <x:f>N2829-M2829</x:f>
        <x:v>46</x:v>
      </x:c>
    </x:row>
    <x:row r="2830" ht="22" customHeight="1">
      <x:c r="A2830" s="11" t="n">
        <x:v>2826</x:v>
      </x:c>
      <x:c r="B2830" s="11" t="n">
        <x:v>1433</x:v>
      </x:c>
      <x:c r="C2830" s="18" t="n">
        <x:v>45976</x:v>
      </x:c>
      <x:c r="D2830" s="11" t="str">
        <x:v>2025-11</x:v>
      </x:c>
      <x:c r="E2830" s="11" t="str">
        <x:v>South</x:v>
      </x:c>
      <x:c r="F2830" s="11" t="str">
        <x:v>Furniture</x:v>
      </x:c>
      <x:c r="G2830" s="11" t="str">
        <x:v>Desk</x:v>
      </x:c>
      <x:c r="H2830" s="11" t="n">
        <x:v>1</x:v>
      </x:c>
      <x:c r="I2830" s="19" t="n">
        <x:v>0.35</x:v>
      </x:c>
      <x:c r="J2830" s="11" t="n">
        <x:v>0</x:v>
      </x:c>
      <x:c r="K2830" s="20" t="n">
        <x:v>280</x:v>
      </x:c>
      <x:c r="L2830" s="20" t="n">
        <x:v>98</x:v>
      </x:c>
      <x:c r="M2830" s="20" t="n">
        <x:v>190</x:v>
      </x:c>
      <x:c r="N2830" s="20" t="n">
        <x:f>IF(J2830=1,0,K2830-L2830)</x:f>
        <x:v>182</x:v>
      </x:c>
      <x:c r="O2830" s="20" t="n">
        <x:f>N2830-M2830</x:f>
        <x:v>-8</x:v>
      </x:c>
    </x:row>
    <x:row r="2831" ht="22" customHeight="1">
      <x:c r="A2831" s="11" t="n">
        <x:v>2827</x:v>
      </x:c>
      <x:c r="B2831" s="11" t="n">
        <x:v>1434</x:v>
      </x:c>
      <x:c r="C2831" s="18" t="n">
        <x:v>45403</x:v>
      </x:c>
      <x:c r="D2831" s="11" t="str">
        <x:v>2024-04</x:v>
      </x:c>
      <x:c r="E2831" s="11" t="str">
        <x:v>East</x:v>
      </x:c>
      <x:c r="F2831" s="11" t="str">
        <x:v>Technology</x:v>
      </x:c>
      <x:c r="G2831" s="11" t="str">
        <x:v>Keyboard</x:v>
      </x:c>
      <x:c r="H2831" s="11" t="n">
        <x:v>5</x:v>
      </x:c>
      <x:c r="I2831" s="19" t="n">
        <x:v>0</x:v>
      </x:c>
      <x:c r="J2831" s="11" t="n">
        <x:v>0</x:v>
      </x:c>
      <x:c r="K2831" s="20" t="n">
        <x:v>325</x:v>
      </x:c>
      <x:c r="L2831" s="20" t="n">
        <x:v>0</x:v>
      </x:c>
      <x:c r="M2831" s="20" t="n">
        <x:v>160</x:v>
      </x:c>
      <x:c r="N2831" s="20" t="n">
        <x:f>IF(J2831=1,0,K2831-L2831)</x:f>
        <x:v>325</x:v>
      </x:c>
      <x:c r="O2831" s="20" t="n">
        <x:f>N2831-M2831</x:f>
        <x:v>165</x:v>
      </x:c>
    </x:row>
    <x:row r="2832" ht="22" customHeight="1">
      <x:c r="A2832" s="11" t="n">
        <x:v>2828</x:v>
      </x:c>
      <x:c r="B2832" s="11" t="n">
        <x:v>1434</x:v>
      </x:c>
      <x:c r="C2832" s="18" t="n">
        <x:v>45403</x:v>
      </x:c>
      <x:c r="D2832" s="11" t="str">
        <x:v>2024-04</x:v>
      </x:c>
      <x:c r="E2832" s="11" t="str">
        <x:v>East</x:v>
      </x:c>
      <x:c r="F2832" s="11" t="str">
        <x:v>Technology</x:v>
      </x:c>
      <x:c r="G2832" s="11" t="str">
        <x:v>Monitor</x:v>
      </x:c>
      <x:c r="H2832" s="11" t="n">
        <x:v>5</x:v>
      </x:c>
      <x:c r="I2832" s="19" t="n">
        <x:v>0.15</x:v>
      </x:c>
      <x:c r="J2832" s="11" t="n">
        <x:v>0</x:v>
      </x:c>
      <x:c r="K2832" s="20" t="n">
        <x:v>1200</x:v>
      </x:c>
      <x:c r="L2832" s="20" t="n">
        <x:v>180</x:v>
      </x:c>
      <x:c r="M2832" s="20" t="n">
        <x:v>800</x:v>
      </x:c>
      <x:c r="N2832" s="20" t="n">
        <x:f>IF(J2832=1,0,K2832-L2832)</x:f>
        <x:v>1020</x:v>
      </x:c>
      <x:c r="O2832" s="20" t="n">
        <x:f>N2832-M2832</x:f>
        <x:v>220</x:v>
      </x:c>
    </x:row>
    <x:row r="2833" ht="22" customHeight="1">
      <x:c r="A2833" s="11" t="n">
        <x:v>2829</x:v>
      </x:c>
      <x:c r="B2833" s="11" t="n">
        <x:v>1434</x:v>
      </x:c>
      <x:c r="C2833" s="18" t="n">
        <x:v>45403</x:v>
      </x:c>
      <x:c r="D2833" s="11" t="str">
        <x:v>2024-04</x:v>
      </x:c>
      <x:c r="E2833" s="11" t="str">
        <x:v>East</x:v>
      </x:c>
      <x:c r="F2833" s="11" t="str">
        <x:v>Office Supplies</x:v>
      </x:c>
      <x:c r="G2833" s="11" t="str">
        <x:v>Notebook pack</x:v>
      </x:c>
      <x:c r="H2833" s="11" t="n">
        <x:v>1</x:v>
      </x:c>
      <x:c r="I2833" s="19" t="n">
        <x:v>0.1</x:v>
      </x:c>
      <x:c r="J2833" s="11" t="n">
        <x:v>0</x:v>
      </x:c>
      <x:c r="K2833" s="20" t="n">
        <x:v>18</x:v>
      </x:c>
      <x:c r="L2833" s="20" t="n">
        <x:v>1.8</x:v>
      </x:c>
      <x:c r="M2833" s="20" t="n">
        <x:v>7</x:v>
      </x:c>
      <x:c r="N2833" s="20" t="n">
        <x:f>IF(J2833=1,0,K2833-L2833)</x:f>
        <x:v>16.2</x:v>
      </x:c>
      <x:c r="O2833" s="20" t="n">
        <x:f>N2833-M2833</x:f>
        <x:v>9.2</x:v>
      </x:c>
    </x:row>
    <x:row r="2834" ht="22" customHeight="1">
      <x:c r="A2834" s="11" t="n">
        <x:v>2830</x:v>
      </x:c>
      <x:c r="B2834" s="11" t="n">
        <x:v>1435</x:v>
      </x:c>
      <x:c r="C2834" s="18" t="n">
        <x:v>45492</x:v>
      </x:c>
      <x:c r="D2834" s="11" t="str">
        <x:v>2024-07</x:v>
      </x:c>
      <x:c r="E2834" s="11" t="str">
        <x:v>East</x:v>
      </x:c>
      <x:c r="F2834" s="11" t="str">
        <x:v>Technology</x:v>
      </x:c>
      <x:c r="G2834" s="11" t="str">
        <x:v>Monitor</x:v>
      </x:c>
      <x:c r="H2834" s="11" t="n">
        <x:v>3</x:v>
      </x:c>
      <x:c r="I2834" s="19" t="n">
        <x:v>0.1</x:v>
      </x:c>
      <x:c r="J2834" s="11" t="n">
        <x:v>0</x:v>
      </x:c>
      <x:c r="K2834" s="20" t="n">
        <x:v>720</x:v>
      </x:c>
      <x:c r="L2834" s="20" t="n">
        <x:v>72</x:v>
      </x:c>
      <x:c r="M2834" s="20" t="n">
        <x:v>480</x:v>
      </x:c>
      <x:c r="N2834" s="20" t="n">
        <x:f>IF(J2834=1,0,K2834-L2834)</x:f>
        <x:v>648</x:v>
      </x:c>
      <x:c r="O2834" s="20" t="n">
        <x:f>N2834-M2834</x:f>
        <x:v>168</x:v>
      </x:c>
    </x:row>
    <x:row r="2835" ht="22" customHeight="1">
      <x:c r="A2835" s="11" t="n">
        <x:v>2831</x:v>
      </x:c>
      <x:c r="B2835" s="11" t="n">
        <x:v>1436</x:v>
      </x:c>
      <x:c r="C2835" s="18" t="n">
        <x:v>45837</x:v>
      </x:c>
      <x:c r="D2835" s="11" t="str">
        <x:v>2025-06</x:v>
      </x:c>
      <x:c r="E2835" s="11" t="str">
        <x:v>West</x:v>
      </x:c>
      <x:c r="F2835" s="11" t="str">
        <x:v>Technology</x:v>
      </x:c>
      <x:c r="G2835" s="11" t="str">
        <x:v>Keyboard</x:v>
      </x:c>
      <x:c r="H2835" s="11" t="n">
        <x:v>5</x:v>
      </x:c>
      <x:c r="I2835" s="19" t="n">
        <x:v>0</x:v>
      </x:c>
      <x:c r="J2835" s="11" t="n">
        <x:v>0</x:v>
      </x:c>
      <x:c r="K2835" s="20" t="n">
        <x:v>325</x:v>
      </x:c>
      <x:c r="L2835" s="20" t="n">
        <x:v>0</x:v>
      </x:c>
      <x:c r="M2835" s="20" t="n">
        <x:v>160</x:v>
      </x:c>
      <x:c r="N2835" s="20" t="n">
        <x:f>IF(J2835=1,0,K2835-L2835)</x:f>
        <x:v>325</x:v>
      </x:c>
      <x:c r="O2835" s="20" t="n">
        <x:f>N2835-M2835</x:f>
        <x:v>165</x:v>
      </x:c>
    </x:row>
    <x:row r="2836" ht="22" customHeight="1">
      <x:c r="A2836" s="11" t="n">
        <x:v>2832</x:v>
      </x:c>
      <x:c r="B2836" s="11" t="n">
        <x:v>1437</x:v>
      </x:c>
      <x:c r="C2836" s="18" t="n">
        <x:v>45397</x:v>
      </x:c>
      <x:c r="D2836" s="11" t="str">
        <x:v>2024-04</x:v>
      </x:c>
      <x:c r="E2836" s="11" t="str">
        <x:v>South</x:v>
      </x:c>
      <x:c r="F2836" s="11" t="str">
        <x:v>Technology</x:v>
      </x:c>
      <x:c r="G2836" s="11" t="str">
        <x:v>Keyboard</x:v>
      </x:c>
      <x:c r="H2836" s="11" t="n">
        <x:v>1</x:v>
      </x:c>
      <x:c r="I2836" s="19" t="n">
        <x:v>0</x:v>
      </x:c>
      <x:c r="J2836" s="11" t="n">
        <x:v>0</x:v>
      </x:c>
      <x:c r="K2836" s="20" t="n">
        <x:v>65</x:v>
      </x:c>
      <x:c r="L2836" s="20" t="n">
        <x:v>0</x:v>
      </x:c>
      <x:c r="M2836" s="20" t="n">
        <x:v>32</x:v>
      </x:c>
      <x:c r="N2836" s="20" t="n">
        <x:f>IF(J2836=1,0,K2836-L2836)</x:f>
        <x:v>65</x:v>
      </x:c>
      <x:c r="O2836" s="20" t="n">
        <x:f>N2836-M2836</x:f>
        <x:v>33</x:v>
      </x:c>
    </x:row>
    <x:row r="2837" ht="22" customHeight="1">
      <x:c r="A2837" s="11" t="n">
        <x:v>2833</x:v>
      </x:c>
      <x:c r="B2837" s="11" t="n">
        <x:v>1438</x:v>
      </x:c>
      <x:c r="C2837" s="18" t="n">
        <x:v>45839</x:v>
      </x:c>
      <x:c r="D2837" s="11" t="str">
        <x:v>2025-07</x:v>
      </x:c>
      <x:c r="E2837" s="11" t="str">
        <x:v>Central</x:v>
      </x:c>
      <x:c r="F2837" s="11" t="str">
        <x:v>Office Supplies</x:v>
      </x:c>
      <x:c r="G2837" s="11" t="str">
        <x:v>Storage box</x:v>
      </x:c>
      <x:c r="H2837" s="11" t="n">
        <x:v>5</x:v>
      </x:c>
      <x:c r="I2837" s="19" t="n">
        <x:v>0.1</x:v>
      </x:c>
      <x:c r="J2837" s="11" t="n">
        <x:v>0</x:v>
      </x:c>
      <x:c r="K2837" s="20" t="n">
        <x:v>130</x:v>
      </x:c>
      <x:c r="L2837" s="20" t="n">
        <x:v>13</x:v>
      </x:c>
      <x:c r="M2837" s="20" t="n">
        <x:v>60</x:v>
      </x:c>
      <x:c r="N2837" s="20" t="n">
        <x:f>IF(J2837=1,0,K2837-L2837)</x:f>
        <x:v>117</x:v>
      </x:c>
      <x:c r="O2837" s="20" t="n">
        <x:f>N2837-M2837</x:f>
        <x:v>57</x:v>
      </x:c>
    </x:row>
    <x:row r="2838" ht="22" customHeight="1">
      <x:c r="A2838" s="11" t="n">
        <x:v>2834</x:v>
      </x:c>
      <x:c r="B2838" s="11" t="n">
        <x:v>1439</x:v>
      </x:c>
      <x:c r="C2838" s="18" t="n">
        <x:v>45518</x:v>
      </x:c>
      <x:c r="D2838" s="11" t="str">
        <x:v>2024-08</x:v>
      </x:c>
      <x:c r="E2838" s="11" t="str">
        <x:v>Central</x:v>
      </x:c>
      <x:c r="F2838" s="11" t="str">
        <x:v>Technology</x:v>
      </x:c>
      <x:c r="G2838" s="11" t="str">
        <x:v>Monitor</x:v>
      </x:c>
      <x:c r="H2838" s="11" t="n">
        <x:v>1</x:v>
      </x:c>
      <x:c r="I2838" s="19" t="n">
        <x:v>0</x:v>
      </x:c>
      <x:c r="J2838" s="11" t="n">
        <x:v>0</x:v>
      </x:c>
      <x:c r="K2838" s="20" t="n">
        <x:v>240</x:v>
      </x:c>
      <x:c r="L2838" s="20" t="n">
        <x:v>0</x:v>
      </x:c>
      <x:c r="M2838" s="20" t="n">
        <x:v>160</x:v>
      </x:c>
      <x:c r="N2838" s="20" t="n">
        <x:f>IF(J2838=1,0,K2838-L2838)</x:f>
        <x:v>240</x:v>
      </x:c>
      <x:c r="O2838" s="20" t="n">
        <x:f>N2838-M2838</x:f>
        <x:v>80</x:v>
      </x:c>
    </x:row>
    <x:row r="2839" ht="22" customHeight="1">
      <x:c r="A2839" s="11" t="n">
        <x:v>2835</x:v>
      </x:c>
      <x:c r="B2839" s="11" t="n">
        <x:v>1440</x:v>
      </x:c>
      <x:c r="C2839" s="18" t="n">
        <x:v>45893</x:v>
      </x:c>
      <x:c r="D2839" s="11" t="str">
        <x:v>2025-08</x:v>
      </x:c>
      <x:c r="E2839" s="11" t="str">
        <x:v>West</x:v>
      </x:c>
      <x:c r="F2839" s="11" t="str">
        <x:v>Office Supplies</x:v>
      </x:c>
      <x:c r="G2839" s="11" t="str">
        <x:v>Storage box</x:v>
      </x:c>
      <x:c r="H2839" s="11" t="n">
        <x:v>4</x:v>
      </x:c>
      <x:c r="I2839" s="19" t="n">
        <x:v>0</x:v>
      </x:c>
      <x:c r="J2839" s="11" t="n">
        <x:v>0</x:v>
      </x:c>
      <x:c r="K2839" s="20" t="n">
        <x:v>104</x:v>
      </x:c>
      <x:c r="L2839" s="20" t="n">
        <x:v>0</x:v>
      </x:c>
      <x:c r="M2839" s="20" t="n">
        <x:v>48</x:v>
      </x:c>
      <x:c r="N2839" s="20" t="n">
        <x:f>IF(J2839=1,0,K2839-L2839)</x:f>
        <x:v>104</x:v>
      </x:c>
      <x:c r="O2839" s="20" t="n">
        <x:f>N2839-M2839</x:f>
        <x:v>56</x:v>
      </x:c>
    </x:row>
    <x:row r="2840" ht="22" customHeight="1">
      <x:c r="A2840" s="11" t="n">
        <x:v>2836</x:v>
      </x:c>
      <x:c r="B2840" s="11" t="n">
        <x:v>1440</x:v>
      </x:c>
      <x:c r="C2840" s="18" t="n">
        <x:v>45893</x:v>
      </x:c>
      <x:c r="D2840" s="11" t="str">
        <x:v>2025-08</x:v>
      </x:c>
      <x:c r="E2840" s="11" t="str">
        <x:v>West</x:v>
      </x:c>
      <x:c r="F2840" s="11" t="str">
        <x:v>Office Supplies</x:v>
      </x:c>
      <x:c r="G2840" s="11" t="str">
        <x:v>Notebook pack</x:v>
      </x:c>
      <x:c r="H2840" s="11" t="n">
        <x:v>2</x:v>
      </x:c>
      <x:c r="I2840" s="19" t="n">
        <x:v>0.15</x:v>
      </x:c>
      <x:c r="J2840" s="11" t="n">
        <x:v>0</x:v>
      </x:c>
      <x:c r="K2840" s="20" t="n">
        <x:v>36</x:v>
      </x:c>
      <x:c r="L2840" s="20" t="n">
        <x:v>5.4</x:v>
      </x:c>
      <x:c r="M2840" s="20" t="n">
        <x:v>14</x:v>
      </x:c>
      <x:c r="N2840" s="20" t="n">
        <x:f>IF(J2840=1,0,K2840-L2840)</x:f>
        <x:v>30.6</x:v>
      </x:c>
      <x:c r="O2840" s="20" t="n">
        <x:f>N2840-M2840</x:f>
        <x:v>16.6</x:v>
      </x:c>
    </x:row>
    <x:row r="2841" ht="22" customHeight="1">
      <x:c r="A2841" s="11" t="n">
        <x:v>2837</x:v>
      </x:c>
      <x:c r="B2841" s="11" t="n">
        <x:v>1441</x:v>
      </x:c>
      <x:c r="C2841" s="18" t="n">
        <x:v>45548</x:v>
      </x:c>
      <x:c r="D2841" s="11" t="str">
        <x:v>2024-09</x:v>
      </x:c>
      <x:c r="E2841" s="11" t="str">
        <x:v>West</x:v>
      </x:c>
      <x:c r="F2841" s="11" t="str">
        <x:v>Technology</x:v>
      </x:c>
      <x:c r="G2841" s="11" t="str">
        <x:v>Keyboard</x:v>
      </x:c>
      <x:c r="H2841" s="11" t="n">
        <x:v>3</x:v>
      </x:c>
      <x:c r="I2841" s="19" t="n">
        <x:v>0.15</x:v>
      </x:c>
      <x:c r="J2841" s="11" t="n">
        <x:v>0</x:v>
      </x:c>
      <x:c r="K2841" s="20" t="n">
        <x:v>195</x:v>
      </x:c>
      <x:c r="L2841" s="20" t="n">
        <x:v>29.25</x:v>
      </x:c>
      <x:c r="M2841" s="20" t="n">
        <x:v>96</x:v>
      </x:c>
      <x:c r="N2841" s="20" t="n">
        <x:f>IF(J2841=1,0,K2841-L2841)</x:f>
        <x:v>165.75</x:v>
      </x:c>
      <x:c r="O2841" s="20" t="n">
        <x:f>N2841-M2841</x:f>
        <x:v>69.75</x:v>
      </x:c>
    </x:row>
    <x:row r="2842" ht="22" customHeight="1">
      <x:c r="A2842" s="11" t="n">
        <x:v>2838</x:v>
      </x:c>
      <x:c r="B2842" s="11" t="n">
        <x:v>1442</x:v>
      </x:c>
      <x:c r="C2842" s="18" t="n">
        <x:v>46004</x:v>
      </x:c>
      <x:c r="D2842" s="11" t="str">
        <x:v>2025-12</x:v>
      </x:c>
      <x:c r="E2842" s="11" t="str">
        <x:v>Central</x:v>
      </x:c>
      <x:c r="F2842" s="11" t="str">
        <x:v>Furniture</x:v>
      </x:c>
      <x:c r="G2842" s="11" t="str">
        <x:v>Chair</x:v>
      </x:c>
      <x:c r="H2842" s="11" t="n">
        <x:v>3</x:v>
      </x:c>
      <x:c r="I2842" s="19" t="n">
        <x:v>0</x:v>
      </x:c>
      <x:c r="J2842" s="11" t="n">
        <x:v>0</x:v>
      </x:c>
      <x:c r="K2842" s="20" t="n">
        <x:v>510</x:v>
      </x:c>
      <x:c r="L2842" s="20" t="n">
        <x:v>0</x:v>
      </x:c>
      <x:c r="M2842" s="20" t="n">
        <x:v>330</x:v>
      </x:c>
      <x:c r="N2842" s="20" t="n">
        <x:f>IF(J2842=1,0,K2842-L2842)</x:f>
        <x:v>510</x:v>
      </x:c>
      <x:c r="O2842" s="20" t="n">
        <x:f>N2842-M2842</x:f>
        <x:v>180</x:v>
      </x:c>
    </x:row>
    <x:row r="2843" ht="22" customHeight="1">
      <x:c r="A2843" s="11" t="n">
        <x:v>2839</x:v>
      </x:c>
      <x:c r="B2843" s="11" t="n">
        <x:v>1442</x:v>
      </x:c>
      <x:c r="C2843" s="18" t="n">
        <x:v>46004</x:v>
      </x:c>
      <x:c r="D2843" s="11" t="str">
        <x:v>2025-12</x:v>
      </x:c>
      <x:c r="E2843" s="11" t="str">
        <x:v>Central</x:v>
      </x:c>
      <x:c r="F2843" s="11" t="str">
        <x:v>Technology</x:v>
      </x:c>
      <x:c r="G2843" s="11" t="str">
        <x:v>Keyboard</x:v>
      </x:c>
      <x:c r="H2843" s="11" t="n">
        <x:v>5</x:v>
      </x:c>
      <x:c r="I2843" s="19" t="n">
        <x:v>0</x:v>
      </x:c>
      <x:c r="J2843" s="11" t="n">
        <x:v>0</x:v>
      </x:c>
      <x:c r="K2843" s="20" t="n">
        <x:v>325</x:v>
      </x:c>
      <x:c r="L2843" s="20" t="n">
        <x:v>0</x:v>
      </x:c>
      <x:c r="M2843" s="20" t="n">
        <x:v>160</x:v>
      </x:c>
      <x:c r="N2843" s="20" t="n">
        <x:f>IF(J2843=1,0,K2843-L2843)</x:f>
        <x:v>325</x:v>
      </x:c>
      <x:c r="O2843" s="20" t="n">
        <x:f>N2843-M2843</x:f>
        <x:v>165</x:v>
      </x:c>
    </x:row>
    <x:row r="2844" ht="22" customHeight="1">
      <x:c r="A2844" s="11" t="n">
        <x:v>2840</x:v>
      </x:c>
      <x:c r="B2844" s="11" t="n">
        <x:v>1443</x:v>
      </x:c>
      <x:c r="C2844" s="18" t="n">
        <x:v>45576</x:v>
      </x:c>
      <x:c r="D2844" s="11" t="str">
        <x:v>2024-10</x:v>
      </x:c>
      <x:c r="E2844" s="11" t="str">
        <x:v>East</x:v>
      </x:c>
      <x:c r="F2844" s="11" t="str">
        <x:v>Technology</x:v>
      </x:c>
      <x:c r="G2844" s="11" t="str">
        <x:v>Monitor</x:v>
      </x:c>
      <x:c r="H2844" s="11" t="n">
        <x:v>5</x:v>
      </x:c>
      <x:c r="I2844" s="19" t="n">
        <x:v>0</x:v>
      </x:c>
      <x:c r="J2844" s="11" t="n">
        <x:v>1</x:v>
      </x:c>
      <x:c r="K2844" s="20" t="n">
        <x:v>1200</x:v>
      </x:c>
      <x:c r="L2844" s="20" t="n">
        <x:v>0</x:v>
      </x:c>
      <x:c r="M2844" s="20" t="n">
        <x:v>0</x:v>
      </x:c>
      <x:c r="N2844" s="20" t="n">
        <x:f>IF(J2844=1,0,K2844-L2844)</x:f>
        <x:v>0</x:v>
      </x:c>
      <x:c r="O2844" s="20" t="n">
        <x:f>N2844-M2844</x:f>
        <x:v>0</x:v>
      </x:c>
    </x:row>
    <x:row r="2845" ht="22" customHeight="1">
      <x:c r="A2845" s="11" t="n">
        <x:v>2841</x:v>
      </x:c>
      <x:c r="B2845" s="11" t="n">
        <x:v>1443</x:v>
      </x:c>
      <x:c r="C2845" s="18" t="n">
        <x:v>45576</x:v>
      </x:c>
      <x:c r="D2845" s="11" t="str">
        <x:v>2024-10</x:v>
      </x:c>
      <x:c r="E2845" s="11" t="str">
        <x:v>East</x:v>
      </x:c>
      <x:c r="F2845" s="11" t="str">
        <x:v>Office Supplies</x:v>
      </x:c>
      <x:c r="G2845" s="11" t="str">
        <x:v>Storage box</x:v>
      </x:c>
      <x:c r="H2845" s="11" t="n">
        <x:v>1</x:v>
      </x:c>
      <x:c r="I2845" s="19" t="n">
        <x:v>0.15</x:v>
      </x:c>
      <x:c r="J2845" s="11" t="n">
        <x:v>1</x:v>
      </x:c>
      <x:c r="K2845" s="20" t="n">
        <x:v>26</x:v>
      </x:c>
      <x:c r="L2845" s="20" t="n">
        <x:v>3.9</x:v>
      </x:c>
      <x:c r="M2845" s="20" t="n">
        <x:v>0</x:v>
      </x:c>
      <x:c r="N2845" s="20" t="n">
        <x:f>IF(J2845=1,0,K2845-L2845)</x:f>
        <x:v>0</x:v>
      </x:c>
      <x:c r="O2845" s="20" t="n">
        <x:f>N2845-M2845</x:f>
        <x:v>0</x:v>
      </x:c>
    </x:row>
    <x:row r="2846" ht="22" customHeight="1">
      <x:c r="A2846" s="11" t="n">
        <x:v>2842</x:v>
      </x:c>
      <x:c r="B2846" s="11" t="n">
        <x:v>1443</x:v>
      </x:c>
      <x:c r="C2846" s="18" t="n">
        <x:v>45576</x:v>
      </x:c>
      <x:c r="D2846" s="11" t="str">
        <x:v>2024-10</x:v>
      </x:c>
      <x:c r="E2846" s="11" t="str">
        <x:v>East</x:v>
      </x:c>
      <x:c r="F2846" s="11" t="str">
        <x:v>Technology</x:v>
      </x:c>
      <x:c r="G2846" s="11" t="str">
        <x:v>Keyboard</x:v>
      </x:c>
      <x:c r="H2846" s="11" t="n">
        <x:v>3</x:v>
      </x:c>
      <x:c r="I2846" s="19" t="n">
        <x:v>0</x:v>
      </x:c>
      <x:c r="J2846" s="11" t="n">
        <x:v>0</x:v>
      </x:c>
      <x:c r="K2846" s="20" t="n">
        <x:v>195</x:v>
      </x:c>
      <x:c r="L2846" s="20" t="n">
        <x:v>0</x:v>
      </x:c>
      <x:c r="M2846" s="20" t="n">
        <x:v>96</x:v>
      </x:c>
      <x:c r="N2846" s="20" t="n">
        <x:f>IF(J2846=1,0,K2846-L2846)</x:f>
        <x:v>195</x:v>
      </x:c>
      <x:c r="O2846" s="20" t="n">
        <x:f>N2846-M2846</x:f>
        <x:v>99</x:v>
      </x:c>
    </x:row>
    <x:row r="2847" ht="22" customHeight="1">
      <x:c r="A2847" s="11" t="n">
        <x:v>2843</x:v>
      </x:c>
      <x:c r="B2847" s="11" t="n">
        <x:v>1444</x:v>
      </x:c>
      <x:c r="C2847" s="18" t="n">
        <x:v>45452</x:v>
      </x:c>
      <x:c r="D2847" s="11" t="str">
        <x:v>2024-06</x:v>
      </x:c>
      <x:c r="E2847" s="11" t="str">
        <x:v>West</x:v>
      </x:c>
      <x:c r="F2847" s="11" t="str">
        <x:v>Furniture</x:v>
      </x:c>
      <x:c r="G2847" s="11" t="str">
        <x:v>Chair</x:v>
      </x:c>
      <x:c r="H2847" s="11" t="n">
        <x:v>2</x:v>
      </x:c>
      <x:c r="I2847" s="19" t="n">
        <x:v>0</x:v>
      </x:c>
      <x:c r="J2847" s="11" t="n">
        <x:v>0</x:v>
      </x:c>
      <x:c r="K2847" s="20" t="n">
        <x:v>340</x:v>
      </x:c>
      <x:c r="L2847" s="20" t="n">
        <x:v>0</x:v>
      </x:c>
      <x:c r="M2847" s="20" t="n">
        <x:v>220</x:v>
      </x:c>
      <x:c r="N2847" s="20" t="n">
        <x:f>IF(J2847=1,0,K2847-L2847)</x:f>
        <x:v>340</x:v>
      </x:c>
      <x:c r="O2847" s="20" t="n">
        <x:f>N2847-M2847</x:f>
        <x:v>120</x:v>
      </x:c>
    </x:row>
    <x:row r="2848" ht="22" customHeight="1">
      <x:c r="A2848" s="11" t="n">
        <x:v>2844</x:v>
      </x:c>
      <x:c r="B2848" s="11" t="n">
        <x:v>1444</x:v>
      </x:c>
      <x:c r="C2848" s="18" t="n">
        <x:v>45452</x:v>
      </x:c>
      <x:c r="D2848" s="11" t="str">
        <x:v>2024-06</x:v>
      </x:c>
      <x:c r="E2848" s="11" t="str">
        <x:v>West</x:v>
      </x:c>
      <x:c r="F2848" s="11" t="str">
        <x:v>Office Supplies</x:v>
      </x:c>
      <x:c r="G2848" s="11" t="str">
        <x:v>Storage box</x:v>
      </x:c>
      <x:c r="H2848" s="11" t="n">
        <x:v>1</x:v>
      </x:c>
      <x:c r="I2848" s="19" t="n">
        <x:v>0.1</x:v>
      </x:c>
      <x:c r="J2848" s="11" t="n">
        <x:v>0</x:v>
      </x:c>
      <x:c r="K2848" s="20" t="n">
        <x:v>26</x:v>
      </x:c>
      <x:c r="L2848" s="20" t="n">
        <x:v>2.6</x:v>
      </x:c>
      <x:c r="M2848" s="20" t="n">
        <x:v>12</x:v>
      </x:c>
      <x:c r="N2848" s="20" t="n">
        <x:f>IF(J2848=1,0,K2848-L2848)</x:f>
        <x:v>23.4</x:v>
      </x:c>
      <x:c r="O2848" s="20" t="n">
        <x:f>N2848-M2848</x:f>
        <x:v>11.399999999999999</x:v>
      </x:c>
    </x:row>
    <x:row r="2849" ht="22" customHeight="1">
      <x:c r="A2849" s="11" t="n">
        <x:v>2845</x:v>
      </x:c>
      <x:c r="B2849" s="11" t="n">
        <x:v>1444</x:v>
      </x:c>
      <x:c r="C2849" s="18" t="n">
        <x:v>45452</x:v>
      </x:c>
      <x:c r="D2849" s="11" t="str">
        <x:v>2024-06</x:v>
      </x:c>
      <x:c r="E2849" s="11" t="str">
        <x:v>West</x:v>
      </x:c>
      <x:c r="F2849" s="11" t="str">
        <x:v>Office Supplies</x:v>
      </x:c>
      <x:c r="G2849" s="11" t="str">
        <x:v>Notebook pack</x:v>
      </x:c>
      <x:c r="H2849" s="11" t="n">
        <x:v>2</x:v>
      </x:c>
      <x:c r="I2849" s="19" t="n">
        <x:v>0</x:v>
      </x:c>
      <x:c r="J2849" s="11" t="n">
        <x:v>0</x:v>
      </x:c>
      <x:c r="K2849" s="20" t="n">
        <x:v>36</x:v>
      </x:c>
      <x:c r="L2849" s="20" t="n">
        <x:v>0</x:v>
      </x:c>
      <x:c r="M2849" s="20" t="n">
        <x:v>14</x:v>
      </x:c>
      <x:c r="N2849" s="20" t="n">
        <x:f>IF(J2849=1,0,K2849-L2849)</x:f>
        <x:v>36</x:v>
      </x:c>
      <x:c r="O2849" s="20" t="n">
        <x:f>N2849-M2849</x:f>
        <x:v>22</x:v>
      </x:c>
    </x:row>
    <x:row r="2850" ht="22" customHeight="1">
      <x:c r="A2850" s="11" t="n">
        <x:v>2846</x:v>
      </x:c>
      <x:c r="B2850" s="11" t="n">
        <x:v>1445</x:v>
      </x:c>
      <x:c r="C2850" s="18" t="n">
        <x:v>45501</x:v>
      </x:c>
      <x:c r="D2850" s="11" t="str">
        <x:v>2024-07</x:v>
      </x:c>
      <x:c r="E2850" s="11" t="str">
        <x:v>East</x:v>
      </x:c>
      <x:c r="F2850" s="11" t="str">
        <x:v>Technology</x:v>
      </x:c>
      <x:c r="G2850" s="11" t="str">
        <x:v>Keyboard</x:v>
      </x:c>
      <x:c r="H2850" s="11" t="n">
        <x:v>2</x:v>
      </x:c>
      <x:c r="I2850" s="19" t="n">
        <x:v>0.1</x:v>
      </x:c>
      <x:c r="J2850" s="11" t="n">
        <x:v>0</x:v>
      </x:c>
      <x:c r="K2850" s="20" t="n">
        <x:v>130</x:v>
      </x:c>
      <x:c r="L2850" s="20" t="n">
        <x:v>13</x:v>
      </x:c>
      <x:c r="M2850" s="20" t="n">
        <x:v>64</x:v>
      </x:c>
      <x:c r="N2850" s="20" t="n">
        <x:f>IF(J2850=1,0,K2850-L2850)</x:f>
        <x:v>117</x:v>
      </x:c>
      <x:c r="O2850" s="20" t="n">
        <x:f>N2850-M2850</x:f>
        <x:v>53</x:v>
      </x:c>
    </x:row>
    <x:row r="2851" ht="22" customHeight="1">
      <x:c r="A2851" s="11" t="n">
        <x:v>2847</x:v>
      </x:c>
      <x:c r="B2851" s="11" t="n">
        <x:v>1445</x:v>
      </x:c>
      <x:c r="C2851" s="18" t="n">
        <x:v>45501</x:v>
      </x:c>
      <x:c r="D2851" s="11" t="str">
        <x:v>2024-07</x:v>
      </x:c>
      <x:c r="E2851" s="11" t="str">
        <x:v>East</x:v>
      </x:c>
      <x:c r="F2851" s="11" t="str">
        <x:v>Furniture</x:v>
      </x:c>
      <x:c r="G2851" s="11" t="str">
        <x:v>Chair</x:v>
      </x:c>
      <x:c r="H2851" s="11" t="n">
        <x:v>2</x:v>
      </x:c>
      <x:c r="I2851" s="19" t="n">
        <x:v>0.15</x:v>
      </x:c>
      <x:c r="J2851" s="11" t="n">
        <x:v>1</x:v>
      </x:c>
      <x:c r="K2851" s="20" t="n">
        <x:v>340</x:v>
      </x:c>
      <x:c r="L2851" s="20" t="n">
        <x:v>51</x:v>
      </x:c>
      <x:c r="M2851" s="20" t="n">
        <x:v>0</x:v>
      </x:c>
      <x:c r="N2851" s="20" t="n">
        <x:f>IF(J2851=1,0,K2851-L2851)</x:f>
        <x:v>0</x:v>
      </x:c>
      <x:c r="O2851" s="20" t="n">
        <x:f>N2851-M2851</x:f>
        <x:v>0</x:v>
      </x:c>
    </x:row>
    <x:row r="2852" ht="22" customHeight="1">
      <x:c r="A2852" s="11" t="n">
        <x:v>2848</x:v>
      </x:c>
      <x:c r="B2852" s="11" t="n">
        <x:v>1445</x:v>
      </x:c>
      <x:c r="C2852" s="18" t="n">
        <x:v>45501</x:v>
      </x:c>
      <x:c r="D2852" s="11" t="str">
        <x:v>2024-07</x:v>
      </x:c>
      <x:c r="E2852" s="11" t="str">
        <x:v>East</x:v>
      </x:c>
      <x:c r="F2852" s="11" t="str">
        <x:v>Furniture</x:v>
      </x:c>
      <x:c r="G2852" s="11" t="str">
        <x:v>Desk</x:v>
      </x:c>
      <x:c r="H2852" s="11" t="n">
        <x:v>2</x:v>
      </x:c>
      <x:c r="I2852" s="19" t="n">
        <x:v>0.25</x:v>
      </x:c>
      <x:c r="J2852" s="11" t="n">
        <x:v>0</x:v>
      </x:c>
      <x:c r="K2852" s="20" t="n">
        <x:v>560</x:v>
      </x:c>
      <x:c r="L2852" s="20" t="n">
        <x:v>140</x:v>
      </x:c>
      <x:c r="M2852" s="20" t="n">
        <x:v>380</x:v>
      </x:c>
      <x:c r="N2852" s="20" t="n">
        <x:f>IF(J2852=1,0,K2852-L2852)</x:f>
        <x:v>420</x:v>
      </x:c>
      <x:c r="O2852" s="20" t="n">
        <x:f>N2852-M2852</x:f>
        <x:v>40</x:v>
      </x:c>
    </x:row>
    <x:row r="2853" ht="22" customHeight="1">
      <x:c r="A2853" s="11" t="n">
        <x:v>2849</x:v>
      </x:c>
      <x:c r="B2853" s="11" t="n">
        <x:v>1446</x:v>
      </x:c>
      <x:c r="C2853" s="18" t="n">
        <x:v>45453</x:v>
      </x:c>
      <x:c r="D2853" s="11" t="str">
        <x:v>2024-06</x:v>
      </x:c>
      <x:c r="E2853" s="11" t="str">
        <x:v>Central</x:v>
      </x:c>
      <x:c r="F2853" s="11" t="str">
        <x:v>Technology</x:v>
      </x:c>
      <x:c r="G2853" s="11" t="str">
        <x:v>Keyboard</x:v>
      </x:c>
      <x:c r="H2853" s="11" t="n">
        <x:v>1</x:v>
      </x:c>
      <x:c r="I2853" s="19" t="n">
        <x:v>0.1</x:v>
      </x:c>
      <x:c r="J2853" s="11" t="n">
        <x:v>0</x:v>
      </x:c>
      <x:c r="K2853" s="20" t="n">
        <x:v>65</x:v>
      </x:c>
      <x:c r="L2853" s="20" t="n">
        <x:v>6.5</x:v>
      </x:c>
      <x:c r="M2853" s="20" t="n">
        <x:v>32</x:v>
      </x:c>
      <x:c r="N2853" s="20" t="n">
        <x:f>IF(J2853=1,0,K2853-L2853)</x:f>
        <x:v>58.5</x:v>
      </x:c>
      <x:c r="O2853" s="20" t="n">
        <x:f>N2853-M2853</x:f>
        <x:v>26.5</x:v>
      </x:c>
    </x:row>
    <x:row r="2854" ht="22" customHeight="1">
      <x:c r="A2854" s="11" t="n">
        <x:v>2850</x:v>
      </x:c>
      <x:c r="B2854" s="11" t="n">
        <x:v>1447</x:v>
      </x:c>
      <x:c r="C2854" s="18" t="n">
        <x:v>45462</x:v>
      </x:c>
      <x:c r="D2854" s="11" t="str">
        <x:v>2024-06</x:v>
      </x:c>
      <x:c r="E2854" s="11" t="str">
        <x:v>West</x:v>
      </x:c>
      <x:c r="F2854" s="11" t="str">
        <x:v>Furniture</x:v>
      </x:c>
      <x:c r="G2854" s="11" t="str">
        <x:v>Chair</x:v>
      </x:c>
      <x:c r="H2854" s="11" t="n">
        <x:v>5</x:v>
      </x:c>
      <x:c r="I2854" s="19" t="n">
        <x:v>0.05</x:v>
      </x:c>
      <x:c r="J2854" s="11" t="n">
        <x:v>0</x:v>
      </x:c>
      <x:c r="K2854" s="20" t="n">
        <x:v>850</x:v>
      </x:c>
      <x:c r="L2854" s="20" t="n">
        <x:v>42.5</x:v>
      </x:c>
      <x:c r="M2854" s="20" t="n">
        <x:v>550</x:v>
      </x:c>
      <x:c r="N2854" s="20" t="n">
        <x:f>IF(J2854=1,0,K2854-L2854)</x:f>
        <x:v>807.5</x:v>
      </x:c>
      <x:c r="O2854" s="20" t="n">
        <x:f>N2854-M2854</x:f>
        <x:v>257.5</x:v>
      </x:c>
    </x:row>
    <x:row r="2855" ht="22" customHeight="1">
      <x:c r="A2855" s="11" t="n">
        <x:v>2851</x:v>
      </x:c>
      <x:c r="B2855" s="11" t="n">
        <x:v>1447</x:v>
      </x:c>
      <x:c r="C2855" s="18" t="n">
        <x:v>45462</x:v>
      </x:c>
      <x:c r="D2855" s="11" t="str">
        <x:v>2024-06</x:v>
      </x:c>
      <x:c r="E2855" s="11" t="str">
        <x:v>West</x:v>
      </x:c>
      <x:c r="F2855" s="11" t="str">
        <x:v>Office Supplies</x:v>
      </x:c>
      <x:c r="G2855" s="11" t="str">
        <x:v>Notebook pack</x:v>
      </x:c>
      <x:c r="H2855" s="11" t="n">
        <x:v>4</x:v>
      </x:c>
      <x:c r="I2855" s="19" t="n">
        <x:v>0</x:v>
      </x:c>
      <x:c r="J2855" s="11" t="n">
        <x:v>0</x:v>
      </x:c>
      <x:c r="K2855" s="20" t="n">
        <x:v>72</x:v>
      </x:c>
      <x:c r="L2855" s="20" t="n">
        <x:v>0</x:v>
      </x:c>
      <x:c r="M2855" s="20" t="n">
        <x:v>28</x:v>
      </x:c>
      <x:c r="N2855" s="20" t="n">
        <x:f>IF(J2855=1,0,K2855-L2855)</x:f>
        <x:v>72</x:v>
      </x:c>
      <x:c r="O2855" s="20" t="n">
        <x:f>N2855-M2855</x:f>
        <x:v>44</x:v>
      </x:c>
    </x:row>
    <x:row r="2856" ht="22" customHeight="1">
      <x:c r="A2856" s="11" t="n">
        <x:v>2852</x:v>
      </x:c>
      <x:c r="B2856" s="11" t="n">
        <x:v>1448</x:v>
      </x:c>
      <x:c r="C2856" s="18" t="n">
        <x:v>45747</x:v>
      </x:c>
      <x:c r="D2856" s="11" t="str">
        <x:v>2025-03</x:v>
      </x:c>
      <x:c r="E2856" s="11" t="str">
        <x:v>West</x:v>
      </x:c>
      <x:c r="F2856" s="11" t="str">
        <x:v>Office Supplies</x:v>
      </x:c>
      <x:c r="G2856" s="11" t="str">
        <x:v>Notebook pack</x:v>
      </x:c>
      <x:c r="H2856" s="11" t="n">
        <x:v>1</x:v>
      </x:c>
      <x:c r="I2856" s="19" t="n">
        <x:v>0</x:v>
      </x:c>
      <x:c r="J2856" s="11" t="n">
        <x:v>0</x:v>
      </x:c>
      <x:c r="K2856" s="20" t="n">
        <x:v>18</x:v>
      </x:c>
      <x:c r="L2856" s="20" t="n">
        <x:v>0</x:v>
      </x:c>
      <x:c r="M2856" s="20" t="n">
        <x:v>7</x:v>
      </x:c>
      <x:c r="N2856" s="20" t="n">
        <x:f>IF(J2856=1,0,K2856-L2856)</x:f>
        <x:v>18</x:v>
      </x:c>
      <x:c r="O2856" s="20" t="n">
        <x:f>N2856-M2856</x:f>
        <x:v>11</x:v>
      </x:c>
    </x:row>
    <x:row r="2857" ht="22" customHeight="1">
      <x:c r="A2857" s="11" t="n">
        <x:v>2853</x:v>
      </x:c>
      <x:c r="B2857" s="11" t="n">
        <x:v>1448</x:v>
      </x:c>
      <x:c r="C2857" s="18" t="n">
        <x:v>45747</x:v>
      </x:c>
      <x:c r="D2857" s="11" t="str">
        <x:v>2025-03</x:v>
      </x:c>
      <x:c r="E2857" s="11" t="str">
        <x:v>West</x:v>
      </x:c>
      <x:c r="F2857" s="11" t="str">
        <x:v>Furniture</x:v>
      </x:c>
      <x:c r="G2857" s="11" t="str">
        <x:v>Chair</x:v>
      </x:c>
      <x:c r="H2857" s="11" t="n">
        <x:v>4</x:v>
      </x:c>
      <x:c r="I2857" s="19" t="n">
        <x:v>0.35</x:v>
      </x:c>
      <x:c r="J2857" s="11" t="n">
        <x:v>0</x:v>
      </x:c>
      <x:c r="K2857" s="20" t="n">
        <x:v>680</x:v>
      </x:c>
      <x:c r="L2857" s="20" t="n">
        <x:v>238</x:v>
      </x:c>
      <x:c r="M2857" s="20" t="n">
        <x:v>440</x:v>
      </x:c>
      <x:c r="N2857" s="20" t="n">
        <x:f>IF(J2857=1,0,K2857-L2857)</x:f>
        <x:v>442</x:v>
      </x:c>
      <x:c r="O2857" s="20" t="n">
        <x:f>N2857-M2857</x:f>
        <x:v>2</x:v>
      </x:c>
    </x:row>
    <x:row r="2858" ht="22" customHeight="1">
      <x:c r="A2858" s="11" t="n">
        <x:v>2854</x:v>
      </x:c>
      <x:c r="B2858" s="11" t="n">
        <x:v>1449</x:v>
      </x:c>
      <x:c r="C2858" s="18" t="n">
        <x:v>45887</x:v>
      </x:c>
      <x:c r="D2858" s="11" t="str">
        <x:v>2025-08</x:v>
      </x:c>
      <x:c r="E2858" s="11" t="str">
        <x:v>Central</x:v>
      </x:c>
      <x:c r="F2858" s="11" t="str">
        <x:v>Furniture</x:v>
      </x:c>
      <x:c r="G2858" s="11" t="str">
        <x:v>Chair</x:v>
      </x:c>
      <x:c r="H2858" s="11" t="n">
        <x:v>5</x:v>
      </x:c>
      <x:c r="I2858" s="19" t="n">
        <x:v>0</x:v>
      </x:c>
      <x:c r="J2858" s="11" t="n">
        <x:v>0</x:v>
      </x:c>
      <x:c r="K2858" s="20" t="n">
        <x:v>850</x:v>
      </x:c>
      <x:c r="L2858" s="20" t="n">
        <x:v>0</x:v>
      </x:c>
      <x:c r="M2858" s="20" t="n">
        <x:v>550</x:v>
      </x:c>
      <x:c r="N2858" s="20" t="n">
        <x:f>IF(J2858=1,0,K2858-L2858)</x:f>
        <x:v>850</x:v>
      </x:c>
      <x:c r="O2858" s="20" t="n">
        <x:f>N2858-M2858</x:f>
        <x:v>300</x:v>
      </x:c>
    </x:row>
    <x:row r="2859" ht="22" customHeight="1">
      <x:c r="A2859" s="11" t="n">
        <x:v>2855</x:v>
      </x:c>
      <x:c r="B2859" s="11" t="n">
        <x:v>1450</x:v>
      </x:c>
      <x:c r="C2859" s="18" t="n">
        <x:v>45696</x:v>
      </x:c>
      <x:c r="D2859" s="11" t="str">
        <x:v>2025-02</x:v>
      </x:c>
      <x:c r="E2859" s="11" t="str">
        <x:v>South</x:v>
      </x:c>
      <x:c r="F2859" s="11" t="str">
        <x:v>Office Supplies</x:v>
      </x:c>
      <x:c r="G2859" s="11" t="str">
        <x:v>Notebook pack</x:v>
      </x:c>
      <x:c r="H2859" s="11" t="n">
        <x:v>2</x:v>
      </x:c>
      <x:c r="I2859" s="19" t="n">
        <x:v>0.15</x:v>
      </x:c>
      <x:c r="J2859" s="11" t="n">
        <x:v>0</x:v>
      </x:c>
      <x:c r="K2859" s="20" t="n">
        <x:v>36</x:v>
      </x:c>
      <x:c r="L2859" s="20" t="n">
        <x:v>5.4</x:v>
      </x:c>
      <x:c r="M2859" s="20" t="n">
        <x:v>14</x:v>
      </x:c>
      <x:c r="N2859" s="20" t="n">
        <x:f>IF(J2859=1,0,K2859-L2859)</x:f>
        <x:v>30.6</x:v>
      </x:c>
      <x:c r="O2859" s="20" t="n">
        <x:f>N2859-M2859</x:f>
        <x:v>16.6</x:v>
      </x:c>
    </x:row>
    <x:row r="2860" ht="22" customHeight="1">
      <x:c r="A2860" s="11" t="n">
        <x:v>2856</x:v>
      </x:c>
      <x:c r="B2860" s="11" t="n">
        <x:v>1451</x:v>
      </x:c>
      <x:c r="C2860" s="18" t="n">
        <x:v>45421</x:v>
      </x:c>
      <x:c r="D2860" s="11" t="str">
        <x:v>2024-05</x:v>
      </x:c>
      <x:c r="E2860" s="11" t="str">
        <x:v>Central</x:v>
      </x:c>
      <x:c r="F2860" s="11" t="str">
        <x:v>Office Supplies</x:v>
      </x:c>
      <x:c r="G2860" s="11" t="str">
        <x:v>Notebook pack</x:v>
      </x:c>
      <x:c r="H2860" s="11" t="n">
        <x:v>2</x:v>
      </x:c>
      <x:c r="I2860" s="19" t="n">
        <x:v>0.15</x:v>
      </x:c>
      <x:c r="J2860" s="11" t="n">
        <x:v>0</x:v>
      </x:c>
      <x:c r="K2860" s="20" t="n">
        <x:v>36</x:v>
      </x:c>
      <x:c r="L2860" s="20" t="n">
        <x:v>5.4</x:v>
      </x:c>
      <x:c r="M2860" s="20" t="n">
        <x:v>14</x:v>
      </x:c>
      <x:c r="N2860" s="20" t="n">
        <x:f>IF(J2860=1,0,K2860-L2860)</x:f>
        <x:v>30.6</x:v>
      </x:c>
      <x:c r="O2860" s="20" t="n">
        <x:f>N2860-M2860</x:f>
        <x:v>16.6</x:v>
      </x:c>
    </x:row>
    <x:row r="2861" ht="22" customHeight="1">
      <x:c r="A2861" s="11" t="n">
        <x:v>2857</x:v>
      </x:c>
      <x:c r="B2861" s="11" t="n">
        <x:v>1451</x:v>
      </x:c>
      <x:c r="C2861" s="18" t="n">
        <x:v>45421</x:v>
      </x:c>
      <x:c r="D2861" s="11" t="str">
        <x:v>2024-05</x:v>
      </x:c>
      <x:c r="E2861" s="11" t="str">
        <x:v>Central</x:v>
      </x:c>
      <x:c r="F2861" s="11" t="str">
        <x:v>Office Supplies</x:v>
      </x:c>
      <x:c r="G2861" s="11" t="str">
        <x:v>Storage box</x:v>
      </x:c>
      <x:c r="H2861" s="11" t="n">
        <x:v>3</x:v>
      </x:c>
      <x:c r="I2861" s="19" t="n">
        <x:v>0.15</x:v>
      </x:c>
      <x:c r="J2861" s="11" t="n">
        <x:v>0</x:v>
      </x:c>
      <x:c r="K2861" s="20" t="n">
        <x:v>78</x:v>
      </x:c>
      <x:c r="L2861" s="20" t="n">
        <x:v>11.7</x:v>
      </x:c>
      <x:c r="M2861" s="20" t="n">
        <x:v>36</x:v>
      </x:c>
      <x:c r="N2861" s="20" t="n">
        <x:f>IF(J2861=1,0,K2861-L2861)</x:f>
        <x:v>66.3</x:v>
      </x:c>
      <x:c r="O2861" s="20" t="n">
        <x:f>N2861-M2861</x:f>
        <x:v>30.299999999999997</x:v>
      </x:c>
    </x:row>
    <x:row r="2862" ht="22" customHeight="1">
      <x:c r="A2862" s="11" t="n">
        <x:v>2858</x:v>
      </x:c>
      <x:c r="B2862" s="11" t="n">
        <x:v>1451</x:v>
      </x:c>
      <x:c r="C2862" s="18" t="n">
        <x:v>45421</x:v>
      </x:c>
      <x:c r="D2862" s="11" t="str">
        <x:v>2024-05</x:v>
      </x:c>
      <x:c r="E2862" s="11" t="str">
        <x:v>Central</x:v>
      </x:c>
      <x:c r="F2862" s="11" t="str">
        <x:v>Furniture</x:v>
      </x:c>
      <x:c r="G2862" s="11" t="str">
        <x:v>Desk</x:v>
      </x:c>
      <x:c r="H2862" s="11" t="n">
        <x:v>3</x:v>
      </x:c>
      <x:c r="I2862" s="19" t="n">
        <x:v>0.1</x:v>
      </x:c>
      <x:c r="J2862" s="11" t="n">
        <x:v>0</x:v>
      </x:c>
      <x:c r="K2862" s="20" t="n">
        <x:v>840</x:v>
      </x:c>
      <x:c r="L2862" s="20" t="n">
        <x:v>84</x:v>
      </x:c>
      <x:c r="M2862" s="20" t="n">
        <x:v>570</x:v>
      </x:c>
      <x:c r="N2862" s="20" t="n">
        <x:f>IF(J2862=1,0,K2862-L2862)</x:f>
        <x:v>756</x:v>
      </x:c>
      <x:c r="O2862" s="20" t="n">
        <x:f>N2862-M2862</x:f>
        <x:v>186</x:v>
      </x:c>
    </x:row>
    <x:row r="2863" ht="22" customHeight="1">
      <x:c r="A2863" s="11" t="n">
        <x:v>2859</x:v>
      </x:c>
      <x:c r="B2863" s="11" t="n">
        <x:v>1452</x:v>
      </x:c>
      <x:c r="C2863" s="18" t="n">
        <x:v>45431</x:v>
      </x:c>
      <x:c r="D2863" s="11" t="str">
        <x:v>2024-05</x:v>
      </x:c>
      <x:c r="E2863" s="11" t="str">
        <x:v>West</x:v>
      </x:c>
      <x:c r="F2863" s="11" t="str">
        <x:v>Technology</x:v>
      </x:c>
      <x:c r="G2863" s="11" t="str">
        <x:v>Keyboard</x:v>
      </x:c>
      <x:c r="H2863" s="11" t="n">
        <x:v>2</x:v>
      </x:c>
      <x:c r="I2863" s="19" t="n">
        <x:v>0</x:v>
      </x:c>
      <x:c r="J2863" s="11" t="n">
        <x:v>0</x:v>
      </x:c>
      <x:c r="K2863" s="20" t="n">
        <x:v>130</x:v>
      </x:c>
      <x:c r="L2863" s="20" t="n">
        <x:v>0</x:v>
      </x:c>
      <x:c r="M2863" s="20" t="n">
        <x:v>64</x:v>
      </x:c>
      <x:c r="N2863" s="20" t="n">
        <x:f>IF(J2863=1,0,K2863-L2863)</x:f>
        <x:v>130</x:v>
      </x:c>
      <x:c r="O2863" s="20" t="n">
        <x:f>N2863-M2863</x:f>
        <x:v>66</x:v>
      </x:c>
    </x:row>
    <x:row r="2864" ht="22" customHeight="1">
      <x:c r="A2864" s="11" t="n">
        <x:v>2860</x:v>
      </x:c>
      <x:c r="B2864" s="11" t="n">
        <x:v>1452</x:v>
      </x:c>
      <x:c r="C2864" s="18" t="n">
        <x:v>45431</x:v>
      </x:c>
      <x:c r="D2864" s="11" t="str">
        <x:v>2024-05</x:v>
      </x:c>
      <x:c r="E2864" s="11" t="str">
        <x:v>West</x:v>
      </x:c>
      <x:c r="F2864" s="11" t="str">
        <x:v>Furniture</x:v>
      </x:c>
      <x:c r="G2864" s="11" t="str">
        <x:v>Chair</x:v>
      </x:c>
      <x:c r="H2864" s="11" t="n">
        <x:v>1</x:v>
      </x:c>
      <x:c r="I2864" s="19" t="n">
        <x:v>0</x:v>
      </x:c>
      <x:c r="J2864" s="11" t="n">
        <x:v>0</x:v>
      </x:c>
      <x:c r="K2864" s="20" t="n">
        <x:v>170</x:v>
      </x:c>
      <x:c r="L2864" s="20" t="n">
        <x:v>0</x:v>
      </x:c>
      <x:c r="M2864" s="20" t="n">
        <x:v>110</x:v>
      </x:c>
      <x:c r="N2864" s="20" t="n">
        <x:f>IF(J2864=1,0,K2864-L2864)</x:f>
        <x:v>170</x:v>
      </x:c>
      <x:c r="O2864" s="20" t="n">
        <x:f>N2864-M2864</x:f>
        <x:v>60</x:v>
      </x:c>
    </x:row>
    <x:row r="2865" ht="22" customHeight="1">
      <x:c r="A2865" s="11" t="n">
        <x:v>2861</x:v>
      </x:c>
      <x:c r="B2865" s="11" t="n">
        <x:v>1453</x:v>
      </x:c>
      <x:c r="C2865" s="18" t="n">
        <x:v>45365</x:v>
      </x:c>
      <x:c r="D2865" s="11" t="str">
        <x:v>2024-03</x:v>
      </x:c>
      <x:c r="E2865" s="11" t="str">
        <x:v>South</x:v>
      </x:c>
      <x:c r="F2865" s="11" t="str">
        <x:v>Technology</x:v>
      </x:c>
      <x:c r="G2865" s="11" t="str">
        <x:v>Monitor</x:v>
      </x:c>
      <x:c r="H2865" s="11" t="n">
        <x:v>3</x:v>
      </x:c>
      <x:c r="I2865" s="19" t="n">
        <x:v>0.05</x:v>
      </x:c>
      <x:c r="J2865" s="11" t="n">
        <x:v>1</x:v>
      </x:c>
      <x:c r="K2865" s="20" t="n">
        <x:v>720</x:v>
      </x:c>
      <x:c r="L2865" s="20" t="n">
        <x:v>36</x:v>
      </x:c>
      <x:c r="M2865" s="20" t="n">
        <x:v>0</x:v>
      </x:c>
      <x:c r="N2865" s="20" t="n">
        <x:f>IF(J2865=1,0,K2865-L2865)</x:f>
        <x:v>0</x:v>
      </x:c>
      <x:c r="O2865" s="20" t="n">
        <x:f>N2865-M2865</x:f>
        <x:v>0</x:v>
      </x:c>
    </x:row>
    <x:row r="2866" ht="22" customHeight="1">
      <x:c r="A2866" s="11" t="n">
        <x:v>2862</x:v>
      </x:c>
      <x:c r="B2866" s="11" t="n">
        <x:v>1453</x:v>
      </x:c>
      <x:c r="C2866" s="18" t="n">
        <x:v>45365</x:v>
      </x:c>
      <x:c r="D2866" s="11" t="str">
        <x:v>2024-03</x:v>
      </x:c>
      <x:c r="E2866" s="11" t="str">
        <x:v>South</x:v>
      </x:c>
      <x:c r="F2866" s="11" t="str">
        <x:v>Technology</x:v>
      </x:c>
      <x:c r="G2866" s="11" t="str">
        <x:v>Keyboard</x:v>
      </x:c>
      <x:c r="H2866" s="11" t="n">
        <x:v>1</x:v>
      </x:c>
      <x:c r="I2866" s="19" t="n">
        <x:v>0</x:v>
      </x:c>
      <x:c r="J2866" s="11" t="n">
        <x:v>0</x:v>
      </x:c>
      <x:c r="K2866" s="20" t="n">
        <x:v>65</x:v>
      </x:c>
      <x:c r="L2866" s="20" t="n">
        <x:v>0</x:v>
      </x:c>
      <x:c r="M2866" s="20" t="n">
        <x:v>32</x:v>
      </x:c>
      <x:c r="N2866" s="20" t="n">
        <x:f>IF(J2866=1,0,K2866-L2866)</x:f>
        <x:v>65</x:v>
      </x:c>
      <x:c r="O2866" s="20" t="n">
        <x:f>N2866-M2866</x:f>
        <x:v>33</x:v>
      </x:c>
    </x:row>
    <x:row r="2867" ht="22" customHeight="1">
      <x:c r="A2867" s="11" t="n">
        <x:v>2863</x:v>
      </x:c>
      <x:c r="B2867" s="11" t="n">
        <x:v>1453</x:v>
      </x:c>
      <x:c r="C2867" s="18" t="n">
        <x:v>45365</x:v>
      </x:c>
      <x:c r="D2867" s="11" t="str">
        <x:v>2024-03</x:v>
      </x:c>
      <x:c r="E2867" s="11" t="str">
        <x:v>South</x:v>
      </x:c>
      <x:c r="F2867" s="11" t="str">
        <x:v>Furniture</x:v>
      </x:c>
      <x:c r="G2867" s="11" t="str">
        <x:v>Chair</x:v>
      </x:c>
      <x:c r="H2867" s="11" t="n">
        <x:v>1</x:v>
      </x:c>
      <x:c r="I2867" s="19" t="n">
        <x:v>0</x:v>
      </x:c>
      <x:c r="J2867" s="11" t="n">
        <x:v>0</x:v>
      </x:c>
      <x:c r="K2867" s="20" t="n">
        <x:v>170</x:v>
      </x:c>
      <x:c r="L2867" s="20" t="n">
        <x:v>0</x:v>
      </x:c>
      <x:c r="M2867" s="20" t="n">
        <x:v>110</x:v>
      </x:c>
      <x:c r="N2867" s="20" t="n">
        <x:f>IF(J2867=1,0,K2867-L2867)</x:f>
        <x:v>170</x:v>
      </x:c>
      <x:c r="O2867" s="20" t="n">
        <x:f>N2867-M2867</x:f>
        <x:v>60</x:v>
      </x:c>
    </x:row>
    <x:row r="2868" ht="22" customHeight="1">
      <x:c r="A2868" s="11" t="n">
        <x:v>2864</x:v>
      </x:c>
      <x:c r="B2868" s="11" t="n">
        <x:v>1454</x:v>
      </x:c>
      <x:c r="C2868" s="18" t="n">
        <x:v>45460</x:v>
      </x:c>
      <x:c r="D2868" s="11" t="str">
        <x:v>2024-06</x:v>
      </x:c>
      <x:c r="E2868" s="11" t="str">
        <x:v>Central</x:v>
      </x:c>
      <x:c r="F2868" s="11" t="str">
        <x:v>Office Supplies</x:v>
      </x:c>
      <x:c r="G2868" s="11" t="str">
        <x:v>Storage box</x:v>
      </x:c>
      <x:c r="H2868" s="11" t="n">
        <x:v>2</x:v>
      </x:c>
      <x:c r="I2868" s="19" t="n">
        <x:v>0.1</x:v>
      </x:c>
      <x:c r="J2868" s="11" t="n">
        <x:v>0</x:v>
      </x:c>
      <x:c r="K2868" s="20" t="n">
        <x:v>52</x:v>
      </x:c>
      <x:c r="L2868" s="20" t="n">
        <x:v>5.2</x:v>
      </x:c>
      <x:c r="M2868" s="20" t="n">
        <x:v>24</x:v>
      </x:c>
      <x:c r="N2868" s="20" t="n">
        <x:f>IF(J2868=1,0,K2868-L2868)</x:f>
        <x:v>46.8</x:v>
      </x:c>
      <x:c r="O2868" s="20" t="n">
        <x:f>N2868-M2868</x:f>
        <x:v>22.799999999999997</x:v>
      </x:c>
    </x:row>
    <x:row r="2869" ht="22" customHeight="1">
      <x:c r="A2869" s="11" t="n">
        <x:v>2865</x:v>
      </x:c>
      <x:c r="B2869" s="11" t="n">
        <x:v>1455</x:v>
      </x:c>
      <x:c r="C2869" s="18" t="n">
        <x:v>45392</x:v>
      </x:c>
      <x:c r="D2869" s="11" t="str">
        <x:v>2024-04</x:v>
      </x:c>
      <x:c r="E2869" s="11" t="str">
        <x:v>East</x:v>
      </x:c>
      <x:c r="F2869" s="11" t="str">
        <x:v>Office Supplies</x:v>
      </x:c>
      <x:c r="G2869" s="11" t="str">
        <x:v>Storage box</x:v>
      </x:c>
      <x:c r="H2869" s="11" t="n">
        <x:v>5</x:v>
      </x:c>
      <x:c r="I2869" s="19" t="n">
        <x:v>0</x:v>
      </x:c>
      <x:c r="J2869" s="11" t="n">
        <x:v>0</x:v>
      </x:c>
      <x:c r="K2869" s="20" t="n">
        <x:v>130</x:v>
      </x:c>
      <x:c r="L2869" s="20" t="n">
        <x:v>0</x:v>
      </x:c>
      <x:c r="M2869" s="20" t="n">
        <x:v>60</x:v>
      </x:c>
      <x:c r="N2869" s="20" t="n">
        <x:f>IF(J2869=1,0,K2869-L2869)</x:f>
        <x:v>130</x:v>
      </x:c>
      <x:c r="O2869" s="20" t="n">
        <x:f>N2869-M2869</x:f>
        <x:v>70</x:v>
      </x:c>
    </x:row>
    <x:row r="2870" ht="22" customHeight="1">
      <x:c r="A2870" s="11" t="n">
        <x:v>2866</x:v>
      </x:c>
      <x:c r="B2870" s="11" t="n">
        <x:v>1456</x:v>
      </x:c>
      <x:c r="C2870" s="18" t="n">
        <x:v>45653</x:v>
      </x:c>
      <x:c r="D2870" s="11" t="str">
        <x:v>2024-12</x:v>
      </x:c>
      <x:c r="E2870" s="11" t="str">
        <x:v>East</x:v>
      </x:c>
      <x:c r="F2870" s="11" t="str">
        <x:v>Furniture</x:v>
      </x:c>
      <x:c r="G2870" s="11" t="str">
        <x:v>Desk</x:v>
      </x:c>
      <x:c r="H2870" s="11" t="n">
        <x:v>3</x:v>
      </x:c>
      <x:c r="I2870" s="19" t="n">
        <x:v>0.1</x:v>
      </x:c>
      <x:c r="J2870" s="11" t="n">
        <x:v>0</x:v>
      </x:c>
      <x:c r="K2870" s="20" t="n">
        <x:v>840</x:v>
      </x:c>
      <x:c r="L2870" s="20" t="n">
        <x:v>84</x:v>
      </x:c>
      <x:c r="M2870" s="20" t="n">
        <x:v>570</x:v>
      </x:c>
      <x:c r="N2870" s="20" t="n">
        <x:f>IF(J2870=1,0,K2870-L2870)</x:f>
        <x:v>756</x:v>
      </x:c>
      <x:c r="O2870" s="20" t="n">
        <x:f>N2870-M2870</x:f>
        <x:v>186</x:v>
      </x:c>
    </x:row>
    <x:row r="2871" ht="22" customHeight="1">
      <x:c r="A2871" s="11" t="n">
        <x:v>2867</x:v>
      </x:c>
      <x:c r="B2871" s="11" t="n">
        <x:v>1456</x:v>
      </x:c>
      <x:c r="C2871" s="18" t="n">
        <x:v>45653</x:v>
      </x:c>
      <x:c r="D2871" s="11" t="str">
        <x:v>2024-12</x:v>
      </x:c>
      <x:c r="E2871" s="11" t="str">
        <x:v>East</x:v>
      </x:c>
      <x:c r="F2871" s="11" t="str">
        <x:v>Office Supplies</x:v>
      </x:c>
      <x:c r="G2871" s="11" t="str">
        <x:v>Notebook pack</x:v>
      </x:c>
      <x:c r="H2871" s="11" t="n">
        <x:v>5</x:v>
      </x:c>
      <x:c r="I2871" s="19" t="n">
        <x:v>0</x:v>
      </x:c>
      <x:c r="J2871" s="11" t="n">
        <x:v>0</x:v>
      </x:c>
      <x:c r="K2871" s="20" t="n">
        <x:v>90</x:v>
      </x:c>
      <x:c r="L2871" s="20" t="n">
        <x:v>0</x:v>
      </x:c>
      <x:c r="M2871" s="20" t="n">
        <x:v>35</x:v>
      </x:c>
      <x:c r="N2871" s="20" t="n">
        <x:f>IF(J2871=1,0,K2871-L2871)</x:f>
        <x:v>90</x:v>
      </x:c>
      <x:c r="O2871" s="20" t="n">
        <x:f>N2871-M2871</x:f>
        <x:v>55</x:v>
      </x:c>
    </x:row>
    <x:row r="2872" ht="22" customHeight="1">
      <x:c r="A2872" s="11" t="n">
        <x:v>2868</x:v>
      </x:c>
      <x:c r="B2872" s="11" t="n">
        <x:v>1456</x:v>
      </x:c>
      <x:c r="C2872" s="18" t="n">
        <x:v>45653</x:v>
      </x:c>
      <x:c r="D2872" s="11" t="str">
        <x:v>2024-12</x:v>
      </x:c>
      <x:c r="E2872" s="11" t="str">
        <x:v>East</x:v>
      </x:c>
      <x:c r="F2872" s="11" t="str">
        <x:v>Technology</x:v>
      </x:c>
      <x:c r="G2872" s="11" t="str">
        <x:v>Monitor</x:v>
      </x:c>
      <x:c r="H2872" s="11" t="n">
        <x:v>5</x:v>
      </x:c>
      <x:c r="I2872" s="19" t="n">
        <x:v>0.15</x:v>
      </x:c>
      <x:c r="J2872" s="11" t="n">
        <x:v>0</x:v>
      </x:c>
      <x:c r="K2872" s="20" t="n">
        <x:v>1200</x:v>
      </x:c>
      <x:c r="L2872" s="20" t="n">
        <x:v>180</x:v>
      </x:c>
      <x:c r="M2872" s="20" t="n">
        <x:v>800</x:v>
      </x:c>
      <x:c r="N2872" s="20" t="n">
        <x:f>IF(J2872=1,0,K2872-L2872)</x:f>
        <x:v>1020</x:v>
      </x:c>
      <x:c r="O2872" s="20" t="n">
        <x:f>N2872-M2872</x:f>
        <x:v>220</x:v>
      </x:c>
    </x:row>
    <x:row r="2873" ht="22" customHeight="1">
      <x:c r="A2873" s="11" t="n">
        <x:v>2869</x:v>
      </x:c>
      <x:c r="B2873" s="11" t="n">
        <x:v>1457</x:v>
      </x:c>
      <x:c r="C2873" s="18" t="n">
        <x:v>45794</x:v>
      </x:c>
      <x:c r="D2873" s="11" t="str">
        <x:v>2025-05</x:v>
      </x:c>
      <x:c r="E2873" s="11" t="str">
        <x:v>Central</x:v>
      </x:c>
      <x:c r="F2873" s="11" t="str">
        <x:v>Furniture</x:v>
      </x:c>
      <x:c r="G2873" s="11" t="str">
        <x:v>Chair</x:v>
      </x:c>
      <x:c r="H2873" s="11" t="n">
        <x:v>3</x:v>
      </x:c>
      <x:c r="I2873" s="19" t="n">
        <x:v>0</x:v>
      </x:c>
      <x:c r="J2873" s="11" t="n">
        <x:v>0</x:v>
      </x:c>
      <x:c r="K2873" s="20" t="n">
        <x:v>510</x:v>
      </x:c>
      <x:c r="L2873" s="20" t="n">
        <x:v>0</x:v>
      </x:c>
      <x:c r="M2873" s="20" t="n">
        <x:v>330</x:v>
      </x:c>
      <x:c r="N2873" s="20" t="n">
        <x:f>IF(J2873=1,0,K2873-L2873)</x:f>
        <x:v>510</x:v>
      </x:c>
      <x:c r="O2873" s="20" t="n">
        <x:f>N2873-M2873</x:f>
        <x:v>180</x:v>
      </x:c>
    </x:row>
    <x:row r="2874" ht="22" customHeight="1">
      <x:c r="A2874" s="11" t="n">
        <x:v>2870</x:v>
      </x:c>
      <x:c r="B2874" s="11" t="n">
        <x:v>1458</x:v>
      </x:c>
      <x:c r="C2874" s="18" t="n">
        <x:v>45772</x:v>
      </x:c>
      <x:c r="D2874" s="11" t="str">
        <x:v>2025-04</x:v>
      </x:c>
      <x:c r="E2874" s="11" t="str">
        <x:v>East</x:v>
      </x:c>
      <x:c r="F2874" s="11" t="str">
        <x:v>Furniture</x:v>
      </x:c>
      <x:c r="G2874" s="11" t="str">
        <x:v>Desk</x:v>
      </x:c>
      <x:c r="H2874" s="11" t="n">
        <x:v>5</x:v>
      </x:c>
      <x:c r="I2874" s="19" t="n">
        <x:v>0</x:v>
      </x:c>
      <x:c r="J2874" s="11" t="n">
        <x:v>1</x:v>
      </x:c>
      <x:c r="K2874" s="20" t="n">
        <x:v>1400</x:v>
      </x:c>
      <x:c r="L2874" s="20" t="n">
        <x:v>0</x:v>
      </x:c>
      <x:c r="M2874" s="20" t="n">
        <x:v>0</x:v>
      </x:c>
      <x:c r="N2874" s="20" t="n">
        <x:f>IF(J2874=1,0,K2874-L2874)</x:f>
        <x:v>0</x:v>
      </x:c>
      <x:c r="O2874" s="20" t="n">
        <x:f>N2874-M2874</x:f>
        <x:v>0</x:v>
      </x:c>
    </x:row>
    <x:row r="2875" ht="22" customHeight="1">
      <x:c r="A2875" s="11" t="n">
        <x:v>2871</x:v>
      </x:c>
      <x:c r="B2875" s="11" t="n">
        <x:v>1458</x:v>
      </x:c>
      <x:c r="C2875" s="18" t="n">
        <x:v>45772</x:v>
      </x:c>
      <x:c r="D2875" s="11" t="str">
        <x:v>2025-04</x:v>
      </x:c>
      <x:c r="E2875" s="11" t="str">
        <x:v>East</x:v>
      </x:c>
      <x:c r="F2875" s="11" t="str">
        <x:v>Office Supplies</x:v>
      </x:c>
      <x:c r="G2875" s="11" t="str">
        <x:v>Storage box</x:v>
      </x:c>
      <x:c r="H2875" s="11" t="n">
        <x:v>3</x:v>
      </x:c>
      <x:c r="I2875" s="19" t="n">
        <x:v>0</x:v>
      </x:c>
      <x:c r="J2875" s="11" t="n">
        <x:v>0</x:v>
      </x:c>
      <x:c r="K2875" s="20" t="n">
        <x:v>78</x:v>
      </x:c>
      <x:c r="L2875" s="20" t="n">
        <x:v>0</x:v>
      </x:c>
      <x:c r="M2875" s="20" t="n">
        <x:v>36</x:v>
      </x:c>
      <x:c r="N2875" s="20" t="n">
        <x:f>IF(J2875=1,0,K2875-L2875)</x:f>
        <x:v>78</x:v>
      </x:c>
      <x:c r="O2875" s="20" t="n">
        <x:f>N2875-M2875</x:f>
        <x:v>42</x:v>
      </x:c>
    </x:row>
    <x:row r="2876" ht="22" customHeight="1">
      <x:c r="A2876" s="11" t="n">
        <x:v>2872</x:v>
      </x:c>
      <x:c r="B2876" s="11" t="n">
        <x:v>1459</x:v>
      </x:c>
      <x:c r="C2876" s="18" t="n">
        <x:v>45943</x:v>
      </x:c>
      <x:c r="D2876" s="11" t="str">
        <x:v>2025-10</x:v>
      </x:c>
      <x:c r="E2876" s="11" t="str">
        <x:v>East</x:v>
      </x:c>
      <x:c r="F2876" s="11" t="str">
        <x:v>Office Supplies</x:v>
      </x:c>
      <x:c r="G2876" s="11" t="str">
        <x:v>Storage box</x:v>
      </x:c>
      <x:c r="H2876" s="11" t="n">
        <x:v>3</x:v>
      </x:c>
      <x:c r="I2876" s="19" t="n">
        <x:v>0.15</x:v>
      </x:c>
      <x:c r="J2876" s="11" t="n">
        <x:v>0</x:v>
      </x:c>
      <x:c r="K2876" s="20" t="n">
        <x:v>78</x:v>
      </x:c>
      <x:c r="L2876" s="20" t="n">
        <x:v>11.7</x:v>
      </x:c>
      <x:c r="M2876" s="20" t="n">
        <x:v>36</x:v>
      </x:c>
      <x:c r="N2876" s="20" t="n">
        <x:f>IF(J2876=1,0,K2876-L2876)</x:f>
        <x:v>66.3</x:v>
      </x:c>
      <x:c r="O2876" s="20" t="n">
        <x:f>N2876-M2876</x:f>
        <x:v>30.299999999999997</x:v>
      </x:c>
    </x:row>
    <x:row r="2877" ht="22" customHeight="1">
      <x:c r="A2877" s="11" t="n">
        <x:v>2873</x:v>
      </x:c>
      <x:c r="B2877" s="11" t="n">
        <x:v>1459</x:v>
      </x:c>
      <x:c r="C2877" s="18" t="n">
        <x:v>45943</x:v>
      </x:c>
      <x:c r="D2877" s="11" t="str">
        <x:v>2025-10</x:v>
      </x:c>
      <x:c r="E2877" s="11" t="str">
        <x:v>East</x:v>
      </x:c>
      <x:c r="F2877" s="11" t="str">
        <x:v>Office Supplies</x:v>
      </x:c>
      <x:c r="G2877" s="11" t="str">
        <x:v>Notebook pack</x:v>
      </x:c>
      <x:c r="H2877" s="11" t="n">
        <x:v>4</x:v>
      </x:c>
      <x:c r="I2877" s="19" t="n">
        <x:v>0.15</x:v>
      </x:c>
      <x:c r="J2877" s="11" t="n">
        <x:v>0</x:v>
      </x:c>
      <x:c r="K2877" s="20" t="n">
        <x:v>72</x:v>
      </x:c>
      <x:c r="L2877" s="20" t="n">
        <x:v>10.8</x:v>
      </x:c>
      <x:c r="M2877" s="20" t="n">
        <x:v>28</x:v>
      </x:c>
      <x:c r="N2877" s="20" t="n">
        <x:f>IF(J2877=1,0,K2877-L2877)</x:f>
        <x:v>61.2</x:v>
      </x:c>
      <x:c r="O2877" s="20" t="n">
        <x:f>N2877-M2877</x:f>
        <x:v>33.2</x:v>
      </x:c>
    </x:row>
    <x:row r="2878" ht="22" customHeight="1">
      <x:c r="A2878" s="11" t="n">
        <x:v>2874</x:v>
      </x:c>
      <x:c r="B2878" s="11" t="n">
        <x:v>1460</x:v>
      </x:c>
      <x:c r="C2878" s="18" t="n">
        <x:v>45714</x:v>
      </x:c>
      <x:c r="D2878" s="11" t="str">
        <x:v>2025-02</x:v>
      </x:c>
      <x:c r="E2878" s="11" t="str">
        <x:v>Central</x:v>
      </x:c>
      <x:c r="F2878" s="11" t="str">
        <x:v>Furniture</x:v>
      </x:c>
      <x:c r="G2878" s="11" t="str">
        <x:v>Chair</x:v>
      </x:c>
      <x:c r="H2878" s="11" t="n">
        <x:v>1</x:v>
      </x:c>
      <x:c r="I2878" s="19" t="n">
        <x:v>0.15</x:v>
      </x:c>
      <x:c r="J2878" s="11" t="n">
        <x:v>0</x:v>
      </x:c>
      <x:c r="K2878" s="20" t="n">
        <x:v>170</x:v>
      </x:c>
      <x:c r="L2878" s="20" t="n">
        <x:v>25.5</x:v>
      </x:c>
      <x:c r="M2878" s="20" t="n">
        <x:v>110</x:v>
      </x:c>
      <x:c r="N2878" s="20" t="n">
        <x:f>IF(J2878=1,0,K2878-L2878)</x:f>
        <x:v>144.5</x:v>
      </x:c>
      <x:c r="O2878" s="20" t="n">
        <x:f>N2878-M2878</x:f>
        <x:v>34.5</x:v>
      </x:c>
    </x:row>
    <x:row r="2879" ht="22" customHeight="1">
      <x:c r="A2879" s="11" t="n">
        <x:v>2875</x:v>
      </x:c>
      <x:c r="B2879" s="11" t="n">
        <x:v>1460</x:v>
      </x:c>
      <x:c r="C2879" s="18" t="n">
        <x:v>45714</x:v>
      </x:c>
      <x:c r="D2879" s="11" t="str">
        <x:v>2025-02</x:v>
      </x:c>
      <x:c r="E2879" s="11" t="str">
        <x:v>Central</x:v>
      </x:c>
      <x:c r="F2879" s="11" t="str">
        <x:v>Technology</x:v>
      </x:c>
      <x:c r="G2879" s="11" t="str">
        <x:v>Monitor</x:v>
      </x:c>
      <x:c r="H2879" s="11" t="n">
        <x:v>2</x:v>
      </x:c>
      <x:c r="I2879" s="19" t="n">
        <x:v>0.15</x:v>
      </x:c>
      <x:c r="J2879" s="11" t="n">
        <x:v>0</x:v>
      </x:c>
      <x:c r="K2879" s="20" t="n">
        <x:v>480</x:v>
      </x:c>
      <x:c r="L2879" s="20" t="n">
        <x:v>72</x:v>
      </x:c>
      <x:c r="M2879" s="20" t="n">
        <x:v>320</x:v>
      </x:c>
      <x:c r="N2879" s="20" t="n">
        <x:f>IF(J2879=1,0,K2879-L2879)</x:f>
        <x:v>408</x:v>
      </x:c>
      <x:c r="O2879" s="20" t="n">
        <x:f>N2879-M2879</x:f>
        <x:v>88</x:v>
      </x:c>
    </x:row>
    <x:row r="2880" ht="22" customHeight="1">
      <x:c r="A2880" s="11" t="n">
        <x:v>2876</x:v>
      </x:c>
      <x:c r="B2880" s="11" t="n">
        <x:v>1460</x:v>
      </x:c>
      <x:c r="C2880" s="18" t="n">
        <x:v>45714</x:v>
      </x:c>
      <x:c r="D2880" s="11" t="str">
        <x:v>2025-02</x:v>
      </x:c>
      <x:c r="E2880" s="11" t="str">
        <x:v>Central</x:v>
      </x:c>
      <x:c r="F2880" s="11" t="str">
        <x:v>Office Supplies</x:v>
      </x:c>
      <x:c r="G2880" s="11" t="str">
        <x:v>Notebook pack</x:v>
      </x:c>
      <x:c r="H2880" s="11" t="n">
        <x:v>1</x:v>
      </x:c>
      <x:c r="I2880" s="19" t="n">
        <x:v>0.15</x:v>
      </x:c>
      <x:c r="J2880" s="11" t="n">
        <x:v>0</x:v>
      </x:c>
      <x:c r="K2880" s="20" t="n">
        <x:v>18</x:v>
      </x:c>
      <x:c r="L2880" s="20" t="n">
        <x:v>2.7</x:v>
      </x:c>
      <x:c r="M2880" s="20" t="n">
        <x:v>7</x:v>
      </x:c>
      <x:c r="N2880" s="20" t="n">
        <x:f>IF(J2880=1,0,K2880-L2880)</x:f>
        <x:v>15.3</x:v>
      </x:c>
      <x:c r="O2880" s="20" t="n">
        <x:f>N2880-M2880</x:f>
        <x:v>8.3</x:v>
      </x:c>
    </x:row>
    <x:row r="2881" ht="22" customHeight="1">
      <x:c r="A2881" s="11" t="n">
        <x:v>2877</x:v>
      </x:c>
      <x:c r="B2881" s="11" t="n">
        <x:v>1461</x:v>
      </x:c>
      <x:c r="C2881" s="18" t="n">
        <x:v>45932</x:v>
      </x:c>
      <x:c r="D2881" s="11" t="str">
        <x:v>2025-10</x:v>
      </x:c>
      <x:c r="E2881" s="11" t="str">
        <x:v>East</x:v>
      </x:c>
      <x:c r="F2881" s="11" t="str">
        <x:v>Furniture</x:v>
      </x:c>
      <x:c r="G2881" s="11" t="str">
        <x:v>Chair</x:v>
      </x:c>
      <x:c r="H2881" s="11" t="n">
        <x:v>4</x:v>
      </x:c>
      <x:c r="I2881" s="19" t="n">
        <x:v>0.35</x:v>
      </x:c>
      <x:c r="J2881" s="11" t="n">
        <x:v>0</x:v>
      </x:c>
      <x:c r="K2881" s="20" t="n">
        <x:v>680</x:v>
      </x:c>
      <x:c r="L2881" s="20" t="n">
        <x:v>238</x:v>
      </x:c>
      <x:c r="M2881" s="20" t="n">
        <x:v>440</x:v>
      </x:c>
      <x:c r="N2881" s="20" t="n">
        <x:f>IF(J2881=1,0,K2881-L2881)</x:f>
        <x:v>442</x:v>
      </x:c>
      <x:c r="O2881" s="20" t="n">
        <x:f>N2881-M2881</x:f>
        <x:v>2</x:v>
      </x:c>
    </x:row>
    <x:row r="2882" ht="22" customHeight="1">
      <x:c r="A2882" s="11" t="n">
        <x:v>2878</x:v>
      </x:c>
      <x:c r="B2882" s="11" t="n">
        <x:v>1461</x:v>
      </x:c>
      <x:c r="C2882" s="18" t="n">
        <x:v>45932</x:v>
      </x:c>
      <x:c r="D2882" s="11" t="str">
        <x:v>2025-10</x:v>
      </x:c>
      <x:c r="E2882" s="11" t="str">
        <x:v>East</x:v>
      </x:c>
      <x:c r="F2882" s="11" t="str">
        <x:v>Office Supplies</x:v>
      </x:c>
      <x:c r="G2882" s="11" t="str">
        <x:v>Storage box</x:v>
      </x:c>
      <x:c r="H2882" s="11" t="n">
        <x:v>1</x:v>
      </x:c>
      <x:c r="I2882" s="19" t="n">
        <x:v>0.15</x:v>
      </x:c>
      <x:c r="J2882" s="11" t="n">
        <x:v>0</x:v>
      </x:c>
      <x:c r="K2882" s="20" t="n">
        <x:v>26</x:v>
      </x:c>
      <x:c r="L2882" s="20" t="n">
        <x:v>3.9</x:v>
      </x:c>
      <x:c r="M2882" s="20" t="n">
        <x:v>12</x:v>
      </x:c>
      <x:c r="N2882" s="20" t="n">
        <x:f>IF(J2882=1,0,K2882-L2882)</x:f>
        <x:v>22.1</x:v>
      </x:c>
      <x:c r="O2882" s="20" t="n">
        <x:f>N2882-M2882</x:f>
        <x:v>10.100000000000001</x:v>
      </x:c>
    </x:row>
    <x:row r="2883" ht="22" customHeight="1">
      <x:c r="A2883" s="11" t="n">
        <x:v>2879</x:v>
      </x:c>
      <x:c r="B2883" s="11" t="n">
        <x:v>1462</x:v>
      </x:c>
      <x:c r="C2883" s="18" t="n">
        <x:v>45830</x:v>
      </x:c>
      <x:c r="D2883" s="11" t="str">
        <x:v>2025-06</x:v>
      </x:c>
      <x:c r="E2883" s="11" t="str">
        <x:v>East</x:v>
      </x:c>
      <x:c r="F2883" s="11" t="str">
        <x:v>Furniture</x:v>
      </x:c>
      <x:c r="G2883" s="11" t="str">
        <x:v>Desk</x:v>
      </x:c>
      <x:c r="H2883" s="11" t="n">
        <x:v>3</x:v>
      </x:c>
      <x:c r="I2883" s="19" t="n">
        <x:v>0</x:v>
      </x:c>
      <x:c r="J2883" s="11" t="n">
        <x:v>0</x:v>
      </x:c>
      <x:c r="K2883" s="20" t="n">
        <x:v>840</x:v>
      </x:c>
      <x:c r="L2883" s="20" t="n">
        <x:v>0</x:v>
      </x:c>
      <x:c r="M2883" s="20" t="n">
        <x:v>570</x:v>
      </x:c>
      <x:c r="N2883" s="20" t="n">
        <x:f>IF(J2883=1,0,K2883-L2883)</x:f>
        <x:v>840</x:v>
      </x:c>
      <x:c r="O2883" s="20" t="n">
        <x:f>N2883-M2883</x:f>
        <x:v>270</x:v>
      </x:c>
    </x:row>
    <x:row r="2884" ht="22" customHeight="1">
      <x:c r="A2884" s="11" t="n">
        <x:v>2880</x:v>
      </x:c>
      <x:c r="B2884" s="11" t="n">
        <x:v>1463</x:v>
      </x:c>
      <x:c r="C2884" s="18" t="n">
        <x:v>45693</x:v>
      </x:c>
      <x:c r="D2884" s="11" t="str">
        <x:v>2025-02</x:v>
      </x:c>
      <x:c r="E2884" s="11" t="str">
        <x:v>West</x:v>
      </x:c>
      <x:c r="F2884" s="11" t="str">
        <x:v>Office Supplies</x:v>
      </x:c>
      <x:c r="G2884" s="11" t="str">
        <x:v>Notebook pack</x:v>
      </x:c>
      <x:c r="H2884" s="11" t="n">
        <x:v>3</x:v>
      </x:c>
      <x:c r="I2884" s="19" t="n">
        <x:v>0</x:v>
      </x:c>
      <x:c r="J2884" s="11" t="n">
        <x:v>0</x:v>
      </x:c>
      <x:c r="K2884" s="20" t="n">
        <x:v>54</x:v>
      </x:c>
      <x:c r="L2884" s="20" t="n">
        <x:v>0</x:v>
      </x:c>
      <x:c r="M2884" s="20" t="n">
        <x:v>21</x:v>
      </x:c>
      <x:c r="N2884" s="20" t="n">
        <x:f>IF(J2884=1,0,K2884-L2884)</x:f>
        <x:v>54</x:v>
      </x:c>
      <x:c r="O2884" s="20" t="n">
        <x:f>N2884-M2884</x:f>
        <x:v>33</x:v>
      </x:c>
    </x:row>
    <x:row r="2885" ht="22" customHeight="1">
      <x:c r="A2885" s="11" t="n">
        <x:v>2881</x:v>
      </x:c>
      <x:c r="B2885" s="11" t="n">
        <x:v>1463</x:v>
      </x:c>
      <x:c r="C2885" s="18" t="n">
        <x:v>45693</x:v>
      </x:c>
      <x:c r="D2885" s="11" t="str">
        <x:v>2025-02</x:v>
      </x:c>
      <x:c r="E2885" s="11" t="str">
        <x:v>West</x:v>
      </x:c>
      <x:c r="F2885" s="11" t="str">
        <x:v>Furniture</x:v>
      </x:c>
      <x:c r="G2885" s="11" t="str">
        <x:v>Desk</x:v>
      </x:c>
      <x:c r="H2885" s="11" t="n">
        <x:v>4</x:v>
      </x:c>
      <x:c r="I2885" s="19" t="n">
        <x:v>0.35</x:v>
      </x:c>
      <x:c r="J2885" s="11" t="n">
        <x:v>0</x:v>
      </x:c>
      <x:c r="K2885" s="20" t="n">
        <x:v>1120</x:v>
      </x:c>
      <x:c r="L2885" s="20" t="n">
        <x:v>392</x:v>
      </x:c>
      <x:c r="M2885" s="20" t="n">
        <x:v>760</x:v>
      </x:c>
      <x:c r="N2885" s="20" t="n">
        <x:f>IF(J2885=1,0,K2885-L2885)</x:f>
        <x:v>728</x:v>
      </x:c>
      <x:c r="O2885" s="20" t="n">
        <x:f>N2885-M2885</x:f>
        <x:v>-32</x:v>
      </x:c>
    </x:row>
    <x:row r="2886" ht="22" customHeight="1">
      <x:c r="A2886" s="11" t="n">
        <x:v>2882</x:v>
      </x:c>
      <x:c r="B2886" s="11" t="n">
        <x:v>1463</x:v>
      </x:c>
      <x:c r="C2886" s="18" t="n">
        <x:v>45693</x:v>
      </x:c>
      <x:c r="D2886" s="11" t="str">
        <x:v>2025-02</x:v>
      </x:c>
      <x:c r="E2886" s="11" t="str">
        <x:v>West</x:v>
      </x:c>
      <x:c r="F2886" s="11" t="str">
        <x:v>Technology</x:v>
      </x:c>
      <x:c r="G2886" s="11" t="str">
        <x:v>Monitor</x:v>
      </x:c>
      <x:c r="H2886" s="11" t="n">
        <x:v>2</x:v>
      </x:c>
      <x:c r="I2886" s="19" t="n">
        <x:v>0.15</x:v>
      </x:c>
      <x:c r="J2886" s="11" t="n">
        <x:v>0</x:v>
      </x:c>
      <x:c r="K2886" s="20" t="n">
        <x:v>480</x:v>
      </x:c>
      <x:c r="L2886" s="20" t="n">
        <x:v>72</x:v>
      </x:c>
      <x:c r="M2886" s="20" t="n">
        <x:v>320</x:v>
      </x:c>
      <x:c r="N2886" s="20" t="n">
        <x:f>IF(J2886=1,0,K2886-L2886)</x:f>
        <x:v>408</x:v>
      </x:c>
      <x:c r="O2886" s="20" t="n">
        <x:f>N2886-M2886</x:f>
        <x:v>88</x:v>
      </x:c>
    </x:row>
    <x:row r="2887" ht="22" customHeight="1">
      <x:c r="A2887" s="11" t="n">
        <x:v>2883</x:v>
      </x:c>
      <x:c r="B2887" s="11" t="n">
        <x:v>1464</x:v>
      </x:c>
      <x:c r="C2887" s="18" t="n">
        <x:v>45484</x:v>
      </x:c>
      <x:c r="D2887" s="11" t="str">
        <x:v>2024-07</x:v>
      </x:c>
      <x:c r="E2887" s="11" t="str">
        <x:v>East</x:v>
      </x:c>
      <x:c r="F2887" s="11" t="str">
        <x:v>Technology</x:v>
      </x:c>
      <x:c r="G2887" s="11" t="str">
        <x:v>Monitor</x:v>
      </x:c>
      <x:c r="H2887" s="11" t="n">
        <x:v>2</x:v>
      </x:c>
      <x:c r="I2887" s="19" t="n">
        <x:v>0</x:v>
      </x:c>
      <x:c r="J2887" s="11" t="n">
        <x:v>0</x:v>
      </x:c>
      <x:c r="K2887" s="20" t="n">
        <x:v>480</x:v>
      </x:c>
      <x:c r="L2887" s="20" t="n">
        <x:v>0</x:v>
      </x:c>
      <x:c r="M2887" s="20" t="n">
        <x:v>320</x:v>
      </x:c>
      <x:c r="N2887" s="20" t="n">
        <x:f>IF(J2887=1,0,K2887-L2887)</x:f>
        <x:v>480</x:v>
      </x:c>
      <x:c r="O2887" s="20" t="n">
        <x:f>N2887-M2887</x:f>
        <x:v>160</x:v>
      </x:c>
    </x:row>
    <x:row r="2888" ht="22" customHeight="1">
      <x:c r="A2888" s="11" t="n">
        <x:v>2884</x:v>
      </x:c>
      <x:c r="B2888" s="11" t="n">
        <x:v>1464</x:v>
      </x:c>
      <x:c r="C2888" s="18" t="n">
        <x:v>45484</x:v>
      </x:c>
      <x:c r="D2888" s="11" t="str">
        <x:v>2024-07</x:v>
      </x:c>
      <x:c r="E2888" s="11" t="str">
        <x:v>East</x:v>
      </x:c>
      <x:c r="F2888" s="11" t="str">
        <x:v>Furniture</x:v>
      </x:c>
      <x:c r="G2888" s="11" t="str">
        <x:v>Chair</x:v>
      </x:c>
      <x:c r="H2888" s="11" t="n">
        <x:v>4</x:v>
      </x:c>
      <x:c r="I2888" s="19" t="n">
        <x:v>0.1</x:v>
      </x:c>
      <x:c r="J2888" s="11" t="n">
        <x:v>0</x:v>
      </x:c>
      <x:c r="K2888" s="20" t="n">
        <x:v>680</x:v>
      </x:c>
      <x:c r="L2888" s="20" t="n">
        <x:v>68</x:v>
      </x:c>
      <x:c r="M2888" s="20" t="n">
        <x:v>440</x:v>
      </x:c>
      <x:c r="N2888" s="20" t="n">
        <x:f>IF(J2888=1,0,K2888-L2888)</x:f>
        <x:v>612</x:v>
      </x:c>
      <x:c r="O2888" s="20" t="n">
        <x:f>N2888-M2888</x:f>
        <x:v>172</x:v>
      </x:c>
    </x:row>
    <x:row r="2889" ht="22" customHeight="1">
      <x:c r="A2889" s="11" t="n">
        <x:v>2885</x:v>
      </x:c>
      <x:c r="B2889" s="11" t="n">
        <x:v>1465</x:v>
      </x:c>
      <x:c r="C2889" s="18" t="n">
        <x:v>45826</x:v>
      </x:c>
      <x:c r="D2889" s="11" t="str">
        <x:v>2025-06</x:v>
      </x:c>
      <x:c r="E2889" s="11" t="str">
        <x:v>Central</x:v>
      </x:c>
      <x:c r="F2889" s="11" t="str">
        <x:v>Technology</x:v>
      </x:c>
      <x:c r="G2889" s="11" t="str">
        <x:v>Monitor</x:v>
      </x:c>
      <x:c r="H2889" s="11" t="n">
        <x:v>1</x:v>
      </x:c>
      <x:c r="I2889" s="19" t="n">
        <x:v>0</x:v>
      </x:c>
      <x:c r="J2889" s="11" t="n">
        <x:v>0</x:v>
      </x:c>
      <x:c r="K2889" s="20" t="n">
        <x:v>240</x:v>
      </x:c>
      <x:c r="L2889" s="20" t="n">
        <x:v>0</x:v>
      </x:c>
      <x:c r="M2889" s="20" t="n">
        <x:v>160</x:v>
      </x:c>
      <x:c r="N2889" s="20" t="n">
        <x:f>IF(J2889=1,0,K2889-L2889)</x:f>
        <x:v>240</x:v>
      </x:c>
      <x:c r="O2889" s="20" t="n">
        <x:f>N2889-M2889</x:f>
        <x:v>80</x:v>
      </x:c>
    </x:row>
    <x:row r="2890" ht="22" customHeight="1">
      <x:c r="A2890" s="11" t="n">
        <x:v>2886</x:v>
      </x:c>
      <x:c r="B2890" s="11" t="n">
        <x:v>1465</x:v>
      </x:c>
      <x:c r="C2890" s="18" t="n">
        <x:v>45826</x:v>
      </x:c>
      <x:c r="D2890" s="11" t="str">
        <x:v>2025-06</x:v>
      </x:c>
      <x:c r="E2890" s="11" t="str">
        <x:v>Central</x:v>
      </x:c>
      <x:c r="F2890" s="11" t="str">
        <x:v>Furniture</x:v>
      </x:c>
      <x:c r="G2890" s="11" t="str">
        <x:v>Chair</x:v>
      </x:c>
      <x:c r="H2890" s="11" t="n">
        <x:v>2</x:v>
      </x:c>
      <x:c r="I2890" s="19" t="n">
        <x:v>0.15</x:v>
      </x:c>
      <x:c r="J2890" s="11" t="n">
        <x:v>0</x:v>
      </x:c>
      <x:c r="K2890" s="20" t="n">
        <x:v>340</x:v>
      </x:c>
      <x:c r="L2890" s="20" t="n">
        <x:v>51</x:v>
      </x:c>
      <x:c r="M2890" s="20" t="n">
        <x:v>220</x:v>
      </x:c>
      <x:c r="N2890" s="20" t="n">
        <x:f>IF(J2890=1,0,K2890-L2890)</x:f>
        <x:v>289</x:v>
      </x:c>
      <x:c r="O2890" s="20" t="n">
        <x:f>N2890-M2890</x:f>
        <x:v>69</x:v>
      </x:c>
    </x:row>
    <x:row r="2891" ht="22" customHeight="1">
      <x:c r="A2891" s="11" t="n">
        <x:v>2887</x:v>
      </x:c>
      <x:c r="B2891" s="11" t="n">
        <x:v>1466</x:v>
      </x:c>
      <x:c r="C2891" s="18" t="n">
        <x:v>45833</x:v>
      </x:c>
      <x:c r="D2891" s="11" t="str">
        <x:v>2025-06</x:v>
      </x:c>
      <x:c r="E2891" s="11" t="str">
        <x:v>West</x:v>
      </x:c>
      <x:c r="F2891" s="11" t="str">
        <x:v>Technology</x:v>
      </x:c>
      <x:c r="G2891" s="11" t="str">
        <x:v>Monitor</x:v>
      </x:c>
      <x:c r="H2891" s="11" t="n">
        <x:v>3</x:v>
      </x:c>
      <x:c r="I2891" s="19" t="n">
        <x:v>0</x:v>
      </x:c>
      <x:c r="J2891" s="11" t="n">
        <x:v>0</x:v>
      </x:c>
      <x:c r="K2891" s="20" t="n">
        <x:v>720</x:v>
      </x:c>
      <x:c r="L2891" s="20" t="n">
        <x:v>0</x:v>
      </x:c>
      <x:c r="M2891" s="20" t="n">
        <x:v>480</x:v>
      </x:c>
      <x:c r="N2891" s="20" t="n">
        <x:f>IF(J2891=1,0,K2891-L2891)</x:f>
        <x:v>720</x:v>
      </x:c>
      <x:c r="O2891" s="20" t="n">
        <x:f>N2891-M2891</x:f>
        <x:v>240</x:v>
      </x:c>
    </x:row>
    <x:row r="2892" ht="22" customHeight="1">
      <x:c r="A2892" s="11" t="n">
        <x:v>2888</x:v>
      </x:c>
      <x:c r="B2892" s="11" t="n">
        <x:v>1467</x:v>
      </x:c>
      <x:c r="C2892" s="18" t="n">
        <x:v>45333</x:v>
      </x:c>
      <x:c r="D2892" s="11" t="str">
        <x:v>2024-02</x:v>
      </x:c>
      <x:c r="E2892" s="11" t="str">
        <x:v>South</x:v>
      </x:c>
      <x:c r="F2892" s="11" t="str">
        <x:v>Technology</x:v>
      </x:c>
      <x:c r="G2892" s="11" t="str">
        <x:v>Keyboard</x:v>
      </x:c>
      <x:c r="H2892" s="11" t="n">
        <x:v>3</x:v>
      </x:c>
      <x:c r="I2892" s="19" t="n">
        <x:v>0.05</x:v>
      </x:c>
      <x:c r="J2892" s="11" t="n">
        <x:v>0</x:v>
      </x:c>
      <x:c r="K2892" s="20" t="n">
        <x:v>195</x:v>
      </x:c>
      <x:c r="L2892" s="20" t="n">
        <x:v>9.75</x:v>
      </x:c>
      <x:c r="M2892" s="20" t="n">
        <x:v>96</x:v>
      </x:c>
      <x:c r="N2892" s="20" t="n">
        <x:f>IF(J2892=1,0,K2892-L2892)</x:f>
        <x:v>185.25</x:v>
      </x:c>
      <x:c r="O2892" s="20" t="n">
        <x:f>N2892-M2892</x:f>
        <x:v>89.25</x:v>
      </x:c>
    </x:row>
    <x:row r="2893" ht="22" customHeight="1">
      <x:c r="A2893" s="11" t="n">
        <x:v>2889</x:v>
      </x:c>
      <x:c r="B2893" s="11" t="n">
        <x:v>1467</x:v>
      </x:c>
      <x:c r="C2893" s="18" t="n">
        <x:v>45333</x:v>
      </x:c>
      <x:c r="D2893" s="11" t="str">
        <x:v>2024-02</x:v>
      </x:c>
      <x:c r="E2893" s="11" t="str">
        <x:v>South</x:v>
      </x:c>
      <x:c r="F2893" s="11" t="str">
        <x:v>Furniture</x:v>
      </x:c>
      <x:c r="G2893" s="11" t="str">
        <x:v>Chair</x:v>
      </x:c>
      <x:c r="H2893" s="11" t="n">
        <x:v>1</x:v>
      </x:c>
      <x:c r="I2893" s="19" t="n">
        <x:v>0</x:v>
      </x:c>
      <x:c r="J2893" s="11" t="n">
        <x:v>0</x:v>
      </x:c>
      <x:c r="K2893" s="20" t="n">
        <x:v>170</x:v>
      </x:c>
      <x:c r="L2893" s="20" t="n">
        <x:v>0</x:v>
      </x:c>
      <x:c r="M2893" s="20" t="n">
        <x:v>110</x:v>
      </x:c>
      <x:c r="N2893" s="20" t="n">
        <x:f>IF(J2893=1,0,K2893-L2893)</x:f>
        <x:v>170</x:v>
      </x:c>
      <x:c r="O2893" s="20" t="n">
        <x:f>N2893-M2893</x:f>
        <x:v>60</x:v>
      </x:c>
    </x:row>
    <x:row r="2894" ht="22" customHeight="1">
      <x:c r="A2894" s="11" t="n">
        <x:v>2890</x:v>
      </x:c>
      <x:c r="B2894" s="11" t="n">
        <x:v>1467</x:v>
      </x:c>
      <x:c r="C2894" s="18" t="n">
        <x:v>45333</x:v>
      </x:c>
      <x:c r="D2894" s="11" t="str">
        <x:v>2024-02</x:v>
      </x:c>
      <x:c r="E2894" s="11" t="str">
        <x:v>South</x:v>
      </x:c>
      <x:c r="F2894" s="11" t="str">
        <x:v>Technology</x:v>
      </x:c>
      <x:c r="G2894" s="11" t="str">
        <x:v>Monitor</x:v>
      </x:c>
      <x:c r="H2894" s="11" t="n">
        <x:v>2</x:v>
      </x:c>
      <x:c r="I2894" s="19" t="n">
        <x:v>0.05</x:v>
      </x:c>
      <x:c r="J2894" s="11" t="n">
        <x:v>0</x:v>
      </x:c>
      <x:c r="K2894" s="20" t="n">
        <x:v>480</x:v>
      </x:c>
      <x:c r="L2894" s="20" t="n">
        <x:v>24</x:v>
      </x:c>
      <x:c r="M2894" s="20" t="n">
        <x:v>320</x:v>
      </x:c>
      <x:c r="N2894" s="20" t="n">
        <x:f>IF(J2894=1,0,K2894-L2894)</x:f>
        <x:v>456</x:v>
      </x:c>
      <x:c r="O2894" s="20" t="n">
        <x:f>N2894-M2894</x:f>
        <x:v>136</x:v>
      </x:c>
    </x:row>
    <x:row r="2895" ht="22" customHeight="1">
      <x:c r="A2895" s="11" t="n">
        <x:v>2891</x:v>
      </x:c>
      <x:c r="B2895" s="11" t="n">
        <x:v>1468</x:v>
      </x:c>
      <x:c r="C2895" s="18" t="n">
        <x:v>45991</x:v>
      </x:c>
      <x:c r="D2895" s="11" t="str">
        <x:v>2025-11</x:v>
      </x:c>
      <x:c r="E2895" s="11" t="str">
        <x:v>East</x:v>
      </x:c>
      <x:c r="F2895" s="11" t="str">
        <x:v>Office Supplies</x:v>
      </x:c>
      <x:c r="G2895" s="11" t="str">
        <x:v>Storage box</x:v>
      </x:c>
      <x:c r="H2895" s="11" t="n">
        <x:v>1</x:v>
      </x:c>
      <x:c r="I2895" s="19" t="n">
        <x:v>0</x:v>
      </x:c>
      <x:c r="J2895" s="11" t="n">
        <x:v>0</x:v>
      </x:c>
      <x:c r="K2895" s="20" t="n">
        <x:v>26</x:v>
      </x:c>
      <x:c r="L2895" s="20" t="n">
        <x:v>0</x:v>
      </x:c>
      <x:c r="M2895" s="20" t="n">
        <x:v>12</x:v>
      </x:c>
      <x:c r="N2895" s="20" t="n">
        <x:f>IF(J2895=1,0,K2895-L2895)</x:f>
        <x:v>26</x:v>
      </x:c>
      <x:c r="O2895" s="20" t="n">
        <x:f>N2895-M2895</x:f>
        <x:v>14</x:v>
      </x:c>
    </x:row>
    <x:row r="2896" ht="22" customHeight="1">
      <x:c r="A2896" s="11" t="n">
        <x:v>2892</x:v>
      </x:c>
      <x:c r="B2896" s="11" t="n">
        <x:v>1469</x:v>
      </x:c>
      <x:c r="C2896" s="18" t="n">
        <x:v>45607</x:v>
      </x:c>
      <x:c r="D2896" s="11" t="str">
        <x:v>2024-11</x:v>
      </x:c>
      <x:c r="E2896" s="11" t="str">
        <x:v>East</x:v>
      </x:c>
      <x:c r="F2896" s="11" t="str">
        <x:v>Office Supplies</x:v>
      </x:c>
      <x:c r="G2896" s="11" t="str">
        <x:v>Notebook pack</x:v>
      </x:c>
      <x:c r="H2896" s="11" t="n">
        <x:v>5</x:v>
      </x:c>
      <x:c r="I2896" s="19" t="n">
        <x:v>0.15</x:v>
      </x:c>
      <x:c r="J2896" s="11" t="n">
        <x:v>0</x:v>
      </x:c>
      <x:c r="K2896" s="20" t="n">
        <x:v>90</x:v>
      </x:c>
      <x:c r="L2896" s="20" t="n">
        <x:v>13.5</x:v>
      </x:c>
      <x:c r="M2896" s="20" t="n">
        <x:v>35</x:v>
      </x:c>
      <x:c r="N2896" s="20" t="n">
        <x:f>IF(J2896=1,0,K2896-L2896)</x:f>
        <x:v>76.5</x:v>
      </x:c>
      <x:c r="O2896" s="20" t="n">
        <x:f>N2896-M2896</x:f>
        <x:v>41.5</x:v>
      </x:c>
    </x:row>
    <x:row r="2897" ht="22" customHeight="1">
      <x:c r="A2897" s="11" t="n">
        <x:v>2893</x:v>
      </x:c>
      <x:c r="B2897" s="11" t="n">
        <x:v>1469</x:v>
      </x:c>
      <x:c r="C2897" s="18" t="n">
        <x:v>45607</x:v>
      </x:c>
      <x:c r="D2897" s="11" t="str">
        <x:v>2024-11</x:v>
      </x:c>
      <x:c r="E2897" s="11" t="str">
        <x:v>East</x:v>
      </x:c>
      <x:c r="F2897" s="11" t="str">
        <x:v>Office Supplies</x:v>
      </x:c>
      <x:c r="G2897" s="11" t="str">
        <x:v>Storage box</x:v>
      </x:c>
      <x:c r="H2897" s="11" t="n">
        <x:v>1</x:v>
      </x:c>
      <x:c r="I2897" s="19" t="n">
        <x:v>0</x:v>
      </x:c>
      <x:c r="J2897" s="11" t="n">
        <x:v>0</x:v>
      </x:c>
      <x:c r="K2897" s="20" t="n">
        <x:v>26</x:v>
      </x:c>
      <x:c r="L2897" s="20" t="n">
        <x:v>0</x:v>
      </x:c>
      <x:c r="M2897" s="20" t="n">
        <x:v>12</x:v>
      </x:c>
      <x:c r="N2897" s="20" t="n">
        <x:f>IF(J2897=1,0,K2897-L2897)</x:f>
        <x:v>26</x:v>
      </x:c>
      <x:c r="O2897" s="20" t="n">
        <x:f>N2897-M2897</x:f>
        <x:v>14</x:v>
      </x:c>
    </x:row>
    <x:row r="2898" ht="22" customHeight="1">
      <x:c r="A2898" s="11" t="n">
        <x:v>2894</x:v>
      </x:c>
      <x:c r="B2898" s="11" t="n">
        <x:v>1470</x:v>
      </x:c>
      <x:c r="C2898" s="18" t="n">
        <x:v>45669</x:v>
      </x:c>
      <x:c r="D2898" s="11" t="str">
        <x:v>2025-01</x:v>
      </x:c>
      <x:c r="E2898" s="11" t="str">
        <x:v>Central</x:v>
      </x:c>
      <x:c r="F2898" s="11" t="str">
        <x:v>Technology</x:v>
      </x:c>
      <x:c r="G2898" s="11" t="str">
        <x:v>Monitor</x:v>
      </x:c>
      <x:c r="H2898" s="11" t="n">
        <x:v>4</x:v>
      </x:c>
      <x:c r="I2898" s="19" t="n">
        <x:v>0.15</x:v>
      </x:c>
      <x:c r="J2898" s="11" t="n">
        <x:v>0</x:v>
      </x:c>
      <x:c r="K2898" s="20" t="n">
        <x:v>960</x:v>
      </x:c>
      <x:c r="L2898" s="20" t="n">
        <x:v>144</x:v>
      </x:c>
      <x:c r="M2898" s="20" t="n">
        <x:v>640</x:v>
      </x:c>
      <x:c r="N2898" s="20" t="n">
        <x:f>IF(J2898=1,0,K2898-L2898)</x:f>
        <x:v>816</x:v>
      </x:c>
      <x:c r="O2898" s="20" t="n">
        <x:f>N2898-M2898</x:f>
        <x:v>176</x:v>
      </x:c>
    </x:row>
    <x:row r="2899" ht="22" customHeight="1">
      <x:c r="A2899" s="11" t="n">
        <x:v>2895</x:v>
      </x:c>
      <x:c r="B2899" s="11" t="n">
        <x:v>1470</x:v>
      </x:c>
      <x:c r="C2899" s="18" t="n">
        <x:v>45669</x:v>
      </x:c>
      <x:c r="D2899" s="11" t="str">
        <x:v>2025-01</x:v>
      </x:c>
      <x:c r="E2899" s="11" t="str">
        <x:v>Central</x:v>
      </x:c>
      <x:c r="F2899" s="11" t="str">
        <x:v>Furniture</x:v>
      </x:c>
      <x:c r="G2899" s="11" t="str">
        <x:v>Chair</x:v>
      </x:c>
      <x:c r="H2899" s="11" t="n">
        <x:v>1</x:v>
      </x:c>
      <x:c r="I2899" s="19" t="n">
        <x:v>0.15</x:v>
      </x:c>
      <x:c r="J2899" s="11" t="n">
        <x:v>1</x:v>
      </x:c>
      <x:c r="K2899" s="20" t="n">
        <x:v>170</x:v>
      </x:c>
      <x:c r="L2899" s="20" t="n">
        <x:v>25.5</x:v>
      </x:c>
      <x:c r="M2899" s="20" t="n">
        <x:v>0</x:v>
      </x:c>
      <x:c r="N2899" s="20" t="n">
        <x:f>IF(J2899=1,0,K2899-L2899)</x:f>
        <x:v>0</x:v>
      </x:c>
      <x:c r="O2899" s="20" t="n">
        <x:f>N2899-M2899</x:f>
        <x:v>0</x:v>
      </x:c>
    </x:row>
    <x:row r="2900" ht="22" customHeight="1">
      <x:c r="A2900" s="11" t="n">
        <x:v>2896</x:v>
      </x:c>
      <x:c r="B2900" s="11" t="n">
        <x:v>1471</x:v>
      </x:c>
      <x:c r="C2900" s="18" t="n">
        <x:v>45995</x:v>
      </x:c>
      <x:c r="D2900" s="11" t="str">
        <x:v>2025-12</x:v>
      </x:c>
      <x:c r="E2900" s="11" t="str">
        <x:v>West</x:v>
      </x:c>
      <x:c r="F2900" s="11" t="str">
        <x:v>Furniture</x:v>
      </x:c>
      <x:c r="G2900" s="11" t="str">
        <x:v>Chair</x:v>
      </x:c>
      <x:c r="H2900" s="11" t="n">
        <x:v>2</x:v>
      </x:c>
      <x:c r="I2900" s="19" t="n">
        <x:v>0.05</x:v>
      </x:c>
      <x:c r="J2900" s="11" t="n">
        <x:v>0</x:v>
      </x:c>
      <x:c r="K2900" s="20" t="n">
        <x:v>340</x:v>
      </x:c>
      <x:c r="L2900" s="20" t="n">
        <x:v>17</x:v>
      </x:c>
      <x:c r="M2900" s="20" t="n">
        <x:v>220</x:v>
      </x:c>
      <x:c r="N2900" s="20" t="n">
        <x:f>IF(J2900=1,0,K2900-L2900)</x:f>
        <x:v>323</x:v>
      </x:c>
      <x:c r="O2900" s="20" t="n">
        <x:f>N2900-M2900</x:f>
        <x:v>103</x:v>
      </x:c>
    </x:row>
    <x:row r="2901" ht="22" customHeight="1">
      <x:c r="A2901" s="11" t="n">
        <x:v>2897</x:v>
      </x:c>
      <x:c r="B2901" s="11" t="n">
        <x:v>1471</x:v>
      </x:c>
      <x:c r="C2901" s="18" t="n">
        <x:v>45995</x:v>
      </x:c>
      <x:c r="D2901" s="11" t="str">
        <x:v>2025-12</x:v>
      </x:c>
      <x:c r="E2901" s="11" t="str">
        <x:v>West</x:v>
      </x:c>
      <x:c r="F2901" s="11" t="str">
        <x:v>Office Supplies</x:v>
      </x:c>
      <x:c r="G2901" s="11" t="str">
        <x:v>Storage box</x:v>
      </x:c>
      <x:c r="H2901" s="11" t="n">
        <x:v>3</x:v>
      </x:c>
      <x:c r="I2901" s="19" t="n">
        <x:v>0</x:v>
      </x:c>
      <x:c r="J2901" s="11" t="n">
        <x:v>0</x:v>
      </x:c>
      <x:c r="K2901" s="20" t="n">
        <x:v>78</x:v>
      </x:c>
      <x:c r="L2901" s="20" t="n">
        <x:v>0</x:v>
      </x:c>
      <x:c r="M2901" s="20" t="n">
        <x:v>36</x:v>
      </x:c>
      <x:c r="N2901" s="20" t="n">
        <x:f>IF(J2901=1,0,K2901-L2901)</x:f>
        <x:v>78</x:v>
      </x:c>
      <x:c r="O2901" s="20" t="n">
        <x:f>N2901-M2901</x:f>
        <x:v>42</x:v>
      </x:c>
    </x:row>
    <x:row r="2902" ht="22" customHeight="1">
      <x:c r="A2902" s="11" t="n">
        <x:v>2898</x:v>
      </x:c>
      <x:c r="B2902" s="11" t="n">
        <x:v>1472</x:v>
      </x:c>
      <x:c r="C2902" s="18" t="n">
        <x:v>45555</x:v>
      </x:c>
      <x:c r="D2902" s="11" t="str">
        <x:v>2024-09</x:v>
      </x:c>
      <x:c r="E2902" s="11" t="str">
        <x:v>East</x:v>
      </x:c>
      <x:c r="F2902" s="11" t="str">
        <x:v>Furniture</x:v>
      </x:c>
      <x:c r="G2902" s="11" t="str">
        <x:v>Desk</x:v>
      </x:c>
      <x:c r="H2902" s="11" t="n">
        <x:v>2</x:v>
      </x:c>
      <x:c r="I2902" s="19" t="n">
        <x:v>0</x:v>
      </x:c>
      <x:c r="J2902" s="11" t="n">
        <x:v>0</x:v>
      </x:c>
      <x:c r="K2902" s="20" t="n">
        <x:v>560</x:v>
      </x:c>
      <x:c r="L2902" s="20" t="n">
        <x:v>0</x:v>
      </x:c>
      <x:c r="M2902" s="20" t="n">
        <x:v>380</x:v>
      </x:c>
      <x:c r="N2902" s="20" t="n">
        <x:f>IF(J2902=1,0,K2902-L2902)</x:f>
        <x:v>560</x:v>
      </x:c>
      <x:c r="O2902" s="20" t="n">
        <x:f>N2902-M2902</x:f>
        <x:v>180</x:v>
      </x:c>
    </x:row>
    <x:row r="2903" ht="22" customHeight="1">
      <x:c r="A2903" s="11" t="n">
        <x:v>2899</x:v>
      </x:c>
      <x:c r="B2903" s="11" t="n">
        <x:v>1472</x:v>
      </x:c>
      <x:c r="C2903" s="18" t="n">
        <x:v>45555</x:v>
      </x:c>
      <x:c r="D2903" s="11" t="str">
        <x:v>2024-09</x:v>
      </x:c>
      <x:c r="E2903" s="11" t="str">
        <x:v>East</x:v>
      </x:c>
      <x:c r="F2903" s="11" t="str">
        <x:v>Technology</x:v>
      </x:c>
      <x:c r="G2903" s="11" t="str">
        <x:v>Keyboard</x:v>
      </x:c>
      <x:c r="H2903" s="11" t="n">
        <x:v>5</x:v>
      </x:c>
      <x:c r="I2903" s="19" t="n">
        <x:v>0.1</x:v>
      </x:c>
      <x:c r="J2903" s="11" t="n">
        <x:v>0</x:v>
      </x:c>
      <x:c r="K2903" s="20" t="n">
        <x:v>325</x:v>
      </x:c>
      <x:c r="L2903" s="20" t="n">
        <x:v>32.5</x:v>
      </x:c>
      <x:c r="M2903" s="20" t="n">
        <x:v>160</x:v>
      </x:c>
      <x:c r="N2903" s="20" t="n">
        <x:f>IF(J2903=1,0,K2903-L2903)</x:f>
        <x:v>292.5</x:v>
      </x:c>
      <x:c r="O2903" s="20" t="n">
        <x:f>N2903-M2903</x:f>
        <x:v>132.5</x:v>
      </x:c>
    </x:row>
    <x:row r="2904" ht="22" customHeight="1">
      <x:c r="A2904" s="11" t="n">
        <x:v>2900</x:v>
      </x:c>
      <x:c r="B2904" s="11" t="n">
        <x:v>1472</x:v>
      </x:c>
      <x:c r="C2904" s="18" t="n">
        <x:v>45555</x:v>
      </x:c>
      <x:c r="D2904" s="11" t="str">
        <x:v>2024-09</x:v>
      </x:c>
      <x:c r="E2904" s="11" t="str">
        <x:v>East</x:v>
      </x:c>
      <x:c r="F2904" s="11" t="str">
        <x:v>Furniture</x:v>
      </x:c>
      <x:c r="G2904" s="11" t="str">
        <x:v>Chair</x:v>
      </x:c>
      <x:c r="H2904" s="11" t="n">
        <x:v>1</x:v>
      </x:c>
      <x:c r="I2904" s="19" t="n">
        <x:v>0</x:v>
      </x:c>
      <x:c r="J2904" s="11" t="n">
        <x:v>0</x:v>
      </x:c>
      <x:c r="K2904" s="20" t="n">
        <x:v>170</x:v>
      </x:c>
      <x:c r="L2904" s="20" t="n">
        <x:v>0</x:v>
      </x:c>
      <x:c r="M2904" s="20" t="n">
        <x:v>110</x:v>
      </x:c>
      <x:c r="N2904" s="20" t="n">
        <x:f>IF(J2904=1,0,K2904-L2904)</x:f>
        <x:v>170</x:v>
      </x:c>
      <x:c r="O2904" s="20" t="n">
        <x:f>N2904-M2904</x:f>
        <x:v>60</x:v>
      </x:c>
    </x:row>
    <x:row r="2905" ht="22" customHeight="1">
      <x:c r="A2905" s="11" t="n">
        <x:v>2901</x:v>
      </x:c>
      <x:c r="B2905" s="11" t="n">
        <x:v>1473</x:v>
      </x:c>
      <x:c r="C2905" s="18" t="n">
        <x:v>45495</x:v>
      </x:c>
      <x:c r="D2905" s="11" t="str">
        <x:v>2024-07</x:v>
      </x:c>
      <x:c r="E2905" s="11" t="str">
        <x:v>Central</x:v>
      </x:c>
      <x:c r="F2905" s="11" t="str">
        <x:v>Office Supplies</x:v>
      </x:c>
      <x:c r="G2905" s="11" t="str">
        <x:v>Storage box</x:v>
      </x:c>
      <x:c r="H2905" s="11" t="n">
        <x:v>2</x:v>
      </x:c>
      <x:c r="I2905" s="19" t="n">
        <x:v>0</x:v>
      </x:c>
      <x:c r="J2905" s="11" t="n">
        <x:v>0</x:v>
      </x:c>
      <x:c r="K2905" s="20" t="n">
        <x:v>52</x:v>
      </x:c>
      <x:c r="L2905" s="20" t="n">
        <x:v>0</x:v>
      </x:c>
      <x:c r="M2905" s="20" t="n">
        <x:v>24</x:v>
      </x:c>
      <x:c r="N2905" s="20" t="n">
        <x:f>IF(J2905=1,0,K2905-L2905)</x:f>
        <x:v>52</x:v>
      </x:c>
      <x:c r="O2905" s="20" t="n">
        <x:f>N2905-M2905</x:f>
        <x:v>28</x:v>
      </x:c>
    </x:row>
    <x:row r="2906" ht="22" customHeight="1">
      <x:c r="A2906" s="11" t="n">
        <x:v>2902</x:v>
      </x:c>
      <x:c r="B2906" s="11" t="n">
        <x:v>1473</x:v>
      </x:c>
      <x:c r="C2906" s="18" t="n">
        <x:v>45495</x:v>
      </x:c>
      <x:c r="D2906" s="11" t="str">
        <x:v>2024-07</x:v>
      </x:c>
      <x:c r="E2906" s="11" t="str">
        <x:v>Central</x:v>
      </x:c>
      <x:c r="F2906" s="11" t="str">
        <x:v>Furniture</x:v>
      </x:c>
      <x:c r="G2906" s="11" t="str">
        <x:v>Chair</x:v>
      </x:c>
      <x:c r="H2906" s="11" t="n">
        <x:v>3</x:v>
      </x:c>
      <x:c r="I2906" s="19" t="n">
        <x:v>0.05</x:v>
      </x:c>
      <x:c r="J2906" s="11" t="n">
        <x:v>1</x:v>
      </x:c>
      <x:c r="K2906" s="20" t="n">
        <x:v>510</x:v>
      </x:c>
      <x:c r="L2906" s="20" t="n">
        <x:v>25.5</x:v>
      </x:c>
      <x:c r="M2906" s="20" t="n">
        <x:v>0</x:v>
      </x:c>
      <x:c r="N2906" s="20" t="n">
        <x:f>IF(J2906=1,0,K2906-L2906)</x:f>
        <x:v>0</x:v>
      </x:c>
      <x:c r="O2906" s="20" t="n">
        <x:f>N2906-M2906</x:f>
        <x:v>0</x:v>
      </x:c>
    </x:row>
    <x:row r="2907" ht="22" customHeight="1">
      <x:c r="A2907" s="11" t="n">
        <x:v>2903</x:v>
      </x:c>
      <x:c r="B2907" s="11" t="n">
        <x:v>1473</x:v>
      </x:c>
      <x:c r="C2907" s="18" t="n">
        <x:v>45495</x:v>
      </x:c>
      <x:c r="D2907" s="11" t="str">
        <x:v>2024-07</x:v>
      </x:c>
      <x:c r="E2907" s="11" t="str">
        <x:v>Central</x:v>
      </x:c>
      <x:c r="F2907" s="11" t="str">
        <x:v>Technology</x:v>
      </x:c>
      <x:c r="G2907" s="11" t="str">
        <x:v>Keyboard</x:v>
      </x:c>
      <x:c r="H2907" s="11" t="n">
        <x:v>4</x:v>
      </x:c>
      <x:c r="I2907" s="19" t="n">
        <x:v>0</x:v>
      </x:c>
      <x:c r="J2907" s="11" t="n">
        <x:v>0</x:v>
      </x:c>
      <x:c r="K2907" s="20" t="n">
        <x:v>260</x:v>
      </x:c>
      <x:c r="L2907" s="20" t="n">
        <x:v>0</x:v>
      </x:c>
      <x:c r="M2907" s="20" t="n">
        <x:v>128</x:v>
      </x:c>
      <x:c r="N2907" s="20" t="n">
        <x:f>IF(J2907=1,0,K2907-L2907)</x:f>
        <x:v>260</x:v>
      </x:c>
      <x:c r="O2907" s="20" t="n">
        <x:f>N2907-M2907</x:f>
        <x:v>132</x:v>
      </x:c>
    </x:row>
    <x:row r="2908" ht="22" customHeight="1">
      <x:c r="A2908" s="11" t="n">
        <x:v>2904</x:v>
      </x:c>
      <x:c r="B2908" s="11" t="n">
        <x:v>1474</x:v>
      </x:c>
      <x:c r="C2908" s="18" t="n">
        <x:v>45377</x:v>
      </x:c>
      <x:c r="D2908" s="11" t="str">
        <x:v>2024-03</x:v>
      </x:c>
      <x:c r="E2908" s="11" t="str">
        <x:v>South</x:v>
      </x:c>
      <x:c r="F2908" s="11" t="str">
        <x:v>Technology</x:v>
      </x:c>
      <x:c r="G2908" s="11" t="str">
        <x:v>Keyboard</x:v>
      </x:c>
      <x:c r="H2908" s="11" t="n">
        <x:v>4</x:v>
      </x:c>
      <x:c r="I2908" s="19" t="n">
        <x:v>0.15</x:v>
      </x:c>
      <x:c r="J2908" s="11" t="n">
        <x:v>0</x:v>
      </x:c>
      <x:c r="K2908" s="20" t="n">
        <x:v>260</x:v>
      </x:c>
      <x:c r="L2908" s="20" t="n">
        <x:v>39</x:v>
      </x:c>
      <x:c r="M2908" s="20" t="n">
        <x:v>128</x:v>
      </x:c>
      <x:c r="N2908" s="20" t="n">
        <x:f>IF(J2908=1,0,K2908-L2908)</x:f>
        <x:v>221</x:v>
      </x:c>
      <x:c r="O2908" s="20" t="n">
        <x:f>N2908-M2908</x:f>
        <x:v>93</x:v>
      </x:c>
    </x:row>
    <x:row r="2909" ht="22" customHeight="1">
      <x:c r="A2909" s="11" t="n">
        <x:v>2905</x:v>
      </x:c>
      <x:c r="B2909" s="11" t="n">
        <x:v>1474</x:v>
      </x:c>
      <x:c r="C2909" s="18" t="n">
        <x:v>45377</x:v>
      </x:c>
      <x:c r="D2909" s="11" t="str">
        <x:v>2024-03</x:v>
      </x:c>
      <x:c r="E2909" s="11" t="str">
        <x:v>South</x:v>
      </x:c>
      <x:c r="F2909" s="11" t="str">
        <x:v>Furniture</x:v>
      </x:c>
      <x:c r="G2909" s="11" t="str">
        <x:v>Desk</x:v>
      </x:c>
      <x:c r="H2909" s="11" t="n">
        <x:v>5</x:v>
      </x:c>
      <x:c r="I2909" s="19" t="n">
        <x:v>0</x:v>
      </x:c>
      <x:c r="J2909" s="11" t="n">
        <x:v>1</x:v>
      </x:c>
      <x:c r="K2909" s="20" t="n">
        <x:v>1400</x:v>
      </x:c>
      <x:c r="L2909" s="20" t="n">
        <x:v>0</x:v>
      </x:c>
      <x:c r="M2909" s="20" t="n">
        <x:v>0</x:v>
      </x:c>
      <x:c r="N2909" s="20" t="n">
        <x:f>IF(J2909=1,0,K2909-L2909)</x:f>
        <x:v>0</x:v>
      </x:c>
      <x:c r="O2909" s="20" t="n">
        <x:f>N2909-M2909</x:f>
        <x:v>0</x:v>
      </x:c>
    </x:row>
    <x:row r="2910" ht="22" customHeight="1">
      <x:c r="A2910" s="11" t="n">
        <x:v>2906</x:v>
      </x:c>
      <x:c r="B2910" s="11" t="n">
        <x:v>1475</x:v>
      </x:c>
      <x:c r="C2910" s="18" t="n">
        <x:v>45481</x:v>
      </x:c>
      <x:c r="D2910" s="11" t="str">
        <x:v>2024-07</x:v>
      </x:c>
      <x:c r="E2910" s="11" t="str">
        <x:v>Central</x:v>
      </x:c>
      <x:c r="F2910" s="11" t="str">
        <x:v>Office Supplies</x:v>
      </x:c>
      <x:c r="G2910" s="11" t="str">
        <x:v>Notebook pack</x:v>
      </x:c>
      <x:c r="H2910" s="11" t="n">
        <x:v>1</x:v>
      </x:c>
      <x:c r="I2910" s="19" t="n">
        <x:v>0.05</x:v>
      </x:c>
      <x:c r="J2910" s="11" t="n">
        <x:v>0</x:v>
      </x:c>
      <x:c r="K2910" s="20" t="n">
        <x:v>18</x:v>
      </x:c>
      <x:c r="L2910" s="20" t="n">
        <x:v>0.9</x:v>
      </x:c>
      <x:c r="M2910" s="20" t="n">
        <x:v>7</x:v>
      </x:c>
      <x:c r="N2910" s="20" t="n">
        <x:f>IF(J2910=1,0,K2910-L2910)</x:f>
        <x:v>17.1</x:v>
      </x:c>
      <x:c r="O2910" s="20" t="n">
        <x:f>N2910-M2910</x:f>
        <x:v>10.100000000000001</x:v>
      </x:c>
    </x:row>
    <x:row r="2911" ht="22" customHeight="1">
      <x:c r="A2911" s="11" t="n">
        <x:v>2907</x:v>
      </x:c>
      <x:c r="B2911" s="11" t="n">
        <x:v>1476</x:v>
      </x:c>
      <x:c r="C2911" s="18" t="n">
        <x:v>45406</x:v>
      </x:c>
      <x:c r="D2911" s="11" t="str">
        <x:v>2024-04</x:v>
      </x:c>
      <x:c r="E2911" s="11" t="str">
        <x:v>West</x:v>
      </x:c>
      <x:c r="F2911" s="11" t="str">
        <x:v>Office Supplies</x:v>
      </x:c>
      <x:c r="G2911" s="11" t="str">
        <x:v>Notebook pack</x:v>
      </x:c>
      <x:c r="H2911" s="11" t="n">
        <x:v>4</x:v>
      </x:c>
      <x:c r="I2911" s="19" t="n">
        <x:v>0.05</x:v>
      </x:c>
      <x:c r="J2911" s="11" t="n">
        <x:v>0</x:v>
      </x:c>
      <x:c r="K2911" s="20" t="n">
        <x:v>72</x:v>
      </x:c>
      <x:c r="L2911" s="20" t="n">
        <x:v>3.6</x:v>
      </x:c>
      <x:c r="M2911" s="20" t="n">
        <x:v>28</x:v>
      </x:c>
      <x:c r="N2911" s="20" t="n">
        <x:f>IF(J2911=1,0,K2911-L2911)</x:f>
        <x:v>68.4</x:v>
      </x:c>
      <x:c r="O2911" s="20" t="n">
        <x:f>N2911-M2911</x:f>
        <x:v>40.400000000000006</x:v>
      </x:c>
    </x:row>
    <x:row r="2912" ht="22" customHeight="1">
      <x:c r="A2912" s="11" t="n">
        <x:v>2908</x:v>
      </x:c>
      <x:c r="B2912" s="11" t="n">
        <x:v>1476</x:v>
      </x:c>
      <x:c r="C2912" s="18" t="n">
        <x:v>45406</x:v>
      </x:c>
      <x:c r="D2912" s="11" t="str">
        <x:v>2024-04</x:v>
      </x:c>
      <x:c r="E2912" s="11" t="str">
        <x:v>West</x:v>
      </x:c>
      <x:c r="F2912" s="11" t="str">
        <x:v>Furniture</x:v>
      </x:c>
      <x:c r="G2912" s="11" t="str">
        <x:v>Desk</x:v>
      </x:c>
      <x:c r="H2912" s="11" t="n">
        <x:v>4</x:v>
      </x:c>
      <x:c r="I2912" s="19" t="n">
        <x:v>0.1</x:v>
      </x:c>
      <x:c r="J2912" s="11" t="n">
        <x:v>0</x:v>
      </x:c>
      <x:c r="K2912" s="20" t="n">
        <x:v>1120</x:v>
      </x:c>
      <x:c r="L2912" s="20" t="n">
        <x:v>112</x:v>
      </x:c>
      <x:c r="M2912" s="20" t="n">
        <x:v>760</x:v>
      </x:c>
      <x:c r="N2912" s="20" t="n">
        <x:f>IF(J2912=1,0,K2912-L2912)</x:f>
        <x:v>1008</x:v>
      </x:c>
      <x:c r="O2912" s="20" t="n">
        <x:f>N2912-M2912</x:f>
        <x:v>248</x:v>
      </x:c>
    </x:row>
    <x:row r="2913" ht="22" customHeight="1">
      <x:c r="A2913" s="11" t="n">
        <x:v>2909</x:v>
      </x:c>
      <x:c r="B2913" s="11" t="n">
        <x:v>1476</x:v>
      </x:c>
      <x:c r="C2913" s="18" t="n">
        <x:v>45406</x:v>
      </x:c>
      <x:c r="D2913" s="11" t="str">
        <x:v>2024-04</x:v>
      </x:c>
      <x:c r="E2913" s="11" t="str">
        <x:v>West</x:v>
      </x:c>
      <x:c r="F2913" s="11" t="str">
        <x:v>Furniture</x:v>
      </x:c>
      <x:c r="G2913" s="11" t="str">
        <x:v>Chair</x:v>
      </x:c>
      <x:c r="H2913" s="11" t="n">
        <x:v>5</x:v>
      </x:c>
      <x:c r="I2913" s="19" t="n">
        <x:v>0</x:v>
      </x:c>
      <x:c r="J2913" s="11" t="n">
        <x:v>0</x:v>
      </x:c>
      <x:c r="K2913" s="20" t="n">
        <x:v>850</x:v>
      </x:c>
      <x:c r="L2913" s="20" t="n">
        <x:v>0</x:v>
      </x:c>
      <x:c r="M2913" s="20" t="n">
        <x:v>550</x:v>
      </x:c>
      <x:c r="N2913" s="20" t="n">
        <x:f>IF(J2913=1,0,K2913-L2913)</x:f>
        <x:v>850</x:v>
      </x:c>
      <x:c r="O2913" s="20" t="n">
        <x:f>N2913-M2913</x:f>
        <x:v>300</x:v>
      </x:c>
    </x:row>
    <x:row r="2914" ht="22" customHeight="1">
      <x:c r="A2914" s="11" t="n">
        <x:v>2910</x:v>
      </x:c>
      <x:c r="B2914" s="11" t="n">
        <x:v>1477</x:v>
      </x:c>
      <x:c r="C2914" s="18" t="n">
        <x:v>45717</x:v>
      </x:c>
      <x:c r="D2914" s="11" t="str">
        <x:v>2025-03</x:v>
      </x:c>
      <x:c r="E2914" s="11" t="str">
        <x:v>East</x:v>
      </x:c>
      <x:c r="F2914" s="11" t="str">
        <x:v>Technology</x:v>
      </x:c>
      <x:c r="G2914" s="11" t="str">
        <x:v>Monitor</x:v>
      </x:c>
      <x:c r="H2914" s="11" t="n">
        <x:v>3</x:v>
      </x:c>
      <x:c r="I2914" s="19" t="n">
        <x:v>0</x:v>
      </x:c>
      <x:c r="J2914" s="11" t="n">
        <x:v>0</x:v>
      </x:c>
      <x:c r="K2914" s="20" t="n">
        <x:v>720</x:v>
      </x:c>
      <x:c r="L2914" s="20" t="n">
        <x:v>0</x:v>
      </x:c>
      <x:c r="M2914" s="20" t="n">
        <x:v>480</x:v>
      </x:c>
      <x:c r="N2914" s="20" t="n">
        <x:f>IF(J2914=1,0,K2914-L2914)</x:f>
        <x:v>720</x:v>
      </x:c>
      <x:c r="O2914" s="20" t="n">
        <x:f>N2914-M2914</x:f>
        <x:v>240</x:v>
      </x:c>
    </x:row>
    <x:row r="2915" ht="22" customHeight="1">
      <x:c r="A2915" s="11" t="n">
        <x:v>2911</x:v>
      </x:c>
      <x:c r="B2915" s="11" t="n">
        <x:v>1477</x:v>
      </x:c>
      <x:c r="C2915" s="18" t="n">
        <x:v>45717</x:v>
      </x:c>
      <x:c r="D2915" s="11" t="str">
        <x:v>2025-03</x:v>
      </x:c>
      <x:c r="E2915" s="11" t="str">
        <x:v>East</x:v>
      </x:c>
      <x:c r="F2915" s="11" t="str">
        <x:v>Office Supplies</x:v>
      </x:c>
      <x:c r="G2915" s="11" t="str">
        <x:v>Notebook pack</x:v>
      </x:c>
      <x:c r="H2915" s="11" t="n">
        <x:v>1</x:v>
      </x:c>
      <x:c r="I2915" s="19" t="n">
        <x:v>0.05</x:v>
      </x:c>
      <x:c r="J2915" s="11" t="n">
        <x:v>0</x:v>
      </x:c>
      <x:c r="K2915" s="20" t="n">
        <x:v>18</x:v>
      </x:c>
      <x:c r="L2915" s="20" t="n">
        <x:v>0.9</x:v>
      </x:c>
      <x:c r="M2915" s="20" t="n">
        <x:v>7</x:v>
      </x:c>
      <x:c r="N2915" s="20" t="n">
        <x:f>IF(J2915=1,0,K2915-L2915)</x:f>
        <x:v>17.1</x:v>
      </x:c>
      <x:c r="O2915" s="20" t="n">
        <x:f>N2915-M2915</x:f>
        <x:v>10.100000000000001</x:v>
      </x:c>
    </x:row>
    <x:row r="2916" ht="22" customHeight="1">
      <x:c r="A2916" s="11" t="n">
        <x:v>2912</x:v>
      </x:c>
      <x:c r="B2916" s="11" t="n">
        <x:v>1478</x:v>
      </x:c>
      <x:c r="C2916" s="18" t="n">
        <x:v>45418</x:v>
      </x:c>
      <x:c r="D2916" s="11" t="str">
        <x:v>2024-05</x:v>
      </x:c>
      <x:c r="E2916" s="11" t="str">
        <x:v>South</x:v>
      </x:c>
      <x:c r="F2916" s="11" t="str">
        <x:v>Office Supplies</x:v>
      </x:c>
      <x:c r="G2916" s="11" t="str">
        <x:v>Notebook pack</x:v>
      </x:c>
      <x:c r="H2916" s="11" t="n">
        <x:v>3</x:v>
      </x:c>
      <x:c r="I2916" s="19" t="n">
        <x:v>0</x:v>
      </x:c>
      <x:c r="J2916" s="11" t="n">
        <x:v>0</x:v>
      </x:c>
      <x:c r="K2916" s="20" t="n">
        <x:v>54</x:v>
      </x:c>
      <x:c r="L2916" s="20" t="n">
        <x:v>0</x:v>
      </x:c>
      <x:c r="M2916" s="20" t="n">
        <x:v>21</x:v>
      </x:c>
      <x:c r="N2916" s="20" t="n">
        <x:f>IF(J2916=1,0,K2916-L2916)</x:f>
        <x:v>54</x:v>
      </x:c>
      <x:c r="O2916" s="20" t="n">
        <x:f>N2916-M2916</x:f>
        <x:v>33</x:v>
      </x:c>
    </x:row>
    <x:row r="2917" ht="22" customHeight="1">
      <x:c r="A2917" s="11" t="n">
        <x:v>2913</x:v>
      </x:c>
      <x:c r="B2917" s="11" t="n">
        <x:v>1479</x:v>
      </x:c>
      <x:c r="C2917" s="18" t="n">
        <x:v>45834</x:v>
      </x:c>
      <x:c r="D2917" s="11" t="str">
        <x:v>2025-06</x:v>
      </x:c>
      <x:c r="E2917" s="11" t="str">
        <x:v>Central</x:v>
      </x:c>
      <x:c r="F2917" s="11" t="str">
        <x:v>Office Supplies</x:v>
      </x:c>
      <x:c r="G2917" s="11" t="str">
        <x:v>Notebook pack</x:v>
      </x:c>
      <x:c r="H2917" s="11" t="n">
        <x:v>2</x:v>
      </x:c>
      <x:c r="I2917" s="19" t="n">
        <x:v>0.1</x:v>
      </x:c>
      <x:c r="J2917" s="11" t="n">
        <x:v>0</x:v>
      </x:c>
      <x:c r="K2917" s="20" t="n">
        <x:v>36</x:v>
      </x:c>
      <x:c r="L2917" s="20" t="n">
        <x:v>3.6</x:v>
      </x:c>
      <x:c r="M2917" s="20" t="n">
        <x:v>14</x:v>
      </x:c>
      <x:c r="N2917" s="20" t="n">
        <x:f>IF(J2917=1,0,K2917-L2917)</x:f>
        <x:v>32.4</x:v>
      </x:c>
      <x:c r="O2917" s="20" t="n">
        <x:f>N2917-M2917</x:f>
        <x:v>18.4</x:v>
      </x:c>
    </x:row>
    <x:row r="2918" ht="22" customHeight="1">
      <x:c r="A2918" s="11" t="n">
        <x:v>2914</x:v>
      </x:c>
      <x:c r="B2918" s="11" t="n">
        <x:v>1480</x:v>
      </x:c>
      <x:c r="C2918" s="18" t="n">
        <x:v>45453</x:v>
      </x:c>
      <x:c r="D2918" s="11" t="str">
        <x:v>2024-06</x:v>
      </x:c>
      <x:c r="E2918" s="11" t="str">
        <x:v>West</x:v>
      </x:c>
      <x:c r="F2918" s="11" t="str">
        <x:v>Furniture</x:v>
      </x:c>
      <x:c r="G2918" s="11" t="str">
        <x:v>Chair</x:v>
      </x:c>
      <x:c r="H2918" s="11" t="n">
        <x:v>4</x:v>
      </x:c>
      <x:c r="I2918" s="19" t="n">
        <x:v>0.1</x:v>
      </x:c>
      <x:c r="J2918" s="11" t="n">
        <x:v>0</x:v>
      </x:c>
      <x:c r="K2918" s="20" t="n">
        <x:v>680</x:v>
      </x:c>
      <x:c r="L2918" s="20" t="n">
        <x:v>68</x:v>
      </x:c>
      <x:c r="M2918" s="20" t="n">
        <x:v>440</x:v>
      </x:c>
      <x:c r="N2918" s="20" t="n">
        <x:f>IF(J2918=1,0,K2918-L2918)</x:f>
        <x:v>612</x:v>
      </x:c>
      <x:c r="O2918" s="20" t="n">
        <x:f>N2918-M2918</x:f>
        <x:v>172</x:v>
      </x:c>
    </x:row>
    <x:row r="2919" ht="22" customHeight="1">
      <x:c r="A2919" s="11" t="n">
        <x:v>2915</x:v>
      </x:c>
      <x:c r="B2919" s="11" t="n">
        <x:v>1481</x:v>
      </x:c>
      <x:c r="C2919" s="18" t="n">
        <x:v>45720</x:v>
      </x:c>
      <x:c r="D2919" s="11" t="str">
        <x:v>2025-03</x:v>
      </x:c>
      <x:c r="E2919" s="11" t="str">
        <x:v>South</x:v>
      </x:c>
      <x:c r="F2919" s="11" t="str">
        <x:v>Furniture</x:v>
      </x:c>
      <x:c r="G2919" s="11" t="str">
        <x:v>Desk</x:v>
      </x:c>
      <x:c r="H2919" s="11" t="n">
        <x:v>2</x:v>
      </x:c>
      <x:c r="I2919" s="19" t="n">
        <x:v>0.25</x:v>
      </x:c>
      <x:c r="J2919" s="11" t="n">
        <x:v>0</x:v>
      </x:c>
      <x:c r="K2919" s="20" t="n">
        <x:v>560</x:v>
      </x:c>
      <x:c r="L2919" s="20" t="n">
        <x:v>140</x:v>
      </x:c>
      <x:c r="M2919" s="20" t="n">
        <x:v>380</x:v>
      </x:c>
      <x:c r="N2919" s="20" t="n">
        <x:f>IF(J2919=1,0,K2919-L2919)</x:f>
        <x:v>420</x:v>
      </x:c>
      <x:c r="O2919" s="20" t="n">
        <x:f>N2919-M2919</x:f>
        <x:v>40</x:v>
      </x:c>
    </x:row>
    <x:row r="2920" ht="22" customHeight="1">
      <x:c r="A2920" s="11" t="n">
        <x:v>2916</x:v>
      </x:c>
      <x:c r="B2920" s="11" t="n">
        <x:v>1481</x:v>
      </x:c>
      <x:c r="C2920" s="18" t="n">
        <x:v>45720</x:v>
      </x:c>
      <x:c r="D2920" s="11" t="str">
        <x:v>2025-03</x:v>
      </x:c>
      <x:c r="E2920" s="11" t="str">
        <x:v>South</x:v>
      </x:c>
      <x:c r="F2920" s="11" t="str">
        <x:v>Technology</x:v>
      </x:c>
      <x:c r="G2920" s="11" t="str">
        <x:v>Monitor</x:v>
      </x:c>
      <x:c r="H2920" s="11" t="n">
        <x:v>1</x:v>
      </x:c>
      <x:c r="I2920" s="19" t="n">
        <x:v>0.05</x:v>
      </x:c>
      <x:c r="J2920" s="11" t="n">
        <x:v>0</x:v>
      </x:c>
      <x:c r="K2920" s="20" t="n">
        <x:v>240</x:v>
      </x:c>
      <x:c r="L2920" s="20" t="n">
        <x:v>12</x:v>
      </x:c>
      <x:c r="M2920" s="20" t="n">
        <x:v>160</x:v>
      </x:c>
      <x:c r="N2920" s="20" t="n">
        <x:f>IF(J2920=1,0,K2920-L2920)</x:f>
        <x:v>228</x:v>
      </x:c>
      <x:c r="O2920" s="20" t="n">
        <x:f>N2920-M2920</x:f>
        <x:v>68</x:v>
      </x:c>
    </x:row>
    <x:row r="2921" ht="22" customHeight="1">
      <x:c r="A2921" s="11" t="n">
        <x:v>2917</x:v>
      </x:c>
      <x:c r="B2921" s="11" t="n">
        <x:v>1482</x:v>
      </x:c>
      <x:c r="C2921" s="18" t="n">
        <x:v>45637</x:v>
      </x:c>
      <x:c r="D2921" s="11" t="str">
        <x:v>2024-12</x:v>
      </x:c>
      <x:c r="E2921" s="11" t="str">
        <x:v>West</x:v>
      </x:c>
      <x:c r="F2921" s="11" t="str">
        <x:v>Technology</x:v>
      </x:c>
      <x:c r="G2921" s="11" t="str">
        <x:v>Keyboard</x:v>
      </x:c>
      <x:c r="H2921" s="11" t="n">
        <x:v>1</x:v>
      </x:c>
      <x:c r="I2921" s="19" t="n">
        <x:v>0.15</x:v>
      </x:c>
      <x:c r="J2921" s="11" t="n">
        <x:v>0</x:v>
      </x:c>
      <x:c r="K2921" s="20" t="n">
        <x:v>65</x:v>
      </x:c>
      <x:c r="L2921" s="20" t="n">
        <x:v>9.75</x:v>
      </x:c>
      <x:c r="M2921" s="20" t="n">
        <x:v>32</x:v>
      </x:c>
      <x:c r="N2921" s="20" t="n">
        <x:f>IF(J2921=1,0,K2921-L2921)</x:f>
        <x:v>55.25</x:v>
      </x:c>
      <x:c r="O2921" s="20" t="n">
        <x:f>N2921-M2921</x:f>
        <x:v>23.25</x:v>
      </x:c>
    </x:row>
    <x:row r="2922" ht="22" customHeight="1">
      <x:c r="A2922" s="11" t="n">
        <x:v>2918</x:v>
      </x:c>
      <x:c r="B2922" s="11" t="n">
        <x:v>1482</x:v>
      </x:c>
      <x:c r="C2922" s="18" t="n">
        <x:v>45637</x:v>
      </x:c>
      <x:c r="D2922" s="11" t="str">
        <x:v>2024-12</x:v>
      </x:c>
      <x:c r="E2922" s="11" t="str">
        <x:v>West</x:v>
      </x:c>
      <x:c r="F2922" s="11" t="str">
        <x:v>Office Supplies</x:v>
      </x:c>
      <x:c r="G2922" s="11" t="str">
        <x:v>Storage box</x:v>
      </x:c>
      <x:c r="H2922" s="11" t="n">
        <x:v>1</x:v>
      </x:c>
      <x:c r="I2922" s="19" t="n">
        <x:v>0</x:v>
      </x:c>
      <x:c r="J2922" s="11" t="n">
        <x:v>0</x:v>
      </x:c>
      <x:c r="K2922" s="20" t="n">
        <x:v>26</x:v>
      </x:c>
      <x:c r="L2922" s="20" t="n">
        <x:v>0</x:v>
      </x:c>
      <x:c r="M2922" s="20" t="n">
        <x:v>12</x:v>
      </x:c>
      <x:c r="N2922" s="20" t="n">
        <x:f>IF(J2922=1,0,K2922-L2922)</x:f>
        <x:v>26</x:v>
      </x:c>
      <x:c r="O2922" s="20" t="n">
        <x:f>N2922-M2922</x:f>
        <x:v>14</x:v>
      </x:c>
    </x:row>
    <x:row r="2923" ht="22" customHeight="1">
      <x:c r="A2923" s="11" t="n">
        <x:v>2919</x:v>
      </x:c>
      <x:c r="B2923" s="11" t="n">
        <x:v>1483</x:v>
      </x:c>
      <x:c r="C2923" s="18" t="n">
        <x:v>45310</x:v>
      </x:c>
      <x:c r="D2923" s="11" t="str">
        <x:v>2024-01</x:v>
      </x:c>
      <x:c r="E2923" s="11" t="str">
        <x:v>East</x:v>
      </x:c>
      <x:c r="F2923" s="11" t="str">
        <x:v>Office Supplies</x:v>
      </x:c>
      <x:c r="G2923" s="11" t="str">
        <x:v>Notebook pack</x:v>
      </x:c>
      <x:c r="H2923" s="11" t="n">
        <x:v>2</x:v>
      </x:c>
      <x:c r="I2923" s="19" t="n">
        <x:v>0.05</x:v>
      </x:c>
      <x:c r="J2923" s="11" t="n">
        <x:v>0</x:v>
      </x:c>
      <x:c r="K2923" s="20" t="n">
        <x:v>36</x:v>
      </x:c>
      <x:c r="L2923" s="20" t="n">
        <x:v>1.8</x:v>
      </x:c>
      <x:c r="M2923" s="20" t="n">
        <x:v>14</x:v>
      </x:c>
      <x:c r="N2923" s="20" t="n">
        <x:f>IF(J2923=1,0,K2923-L2923)</x:f>
        <x:v>34.2</x:v>
      </x:c>
      <x:c r="O2923" s="20" t="n">
        <x:f>N2923-M2923</x:f>
        <x:v>20.200000000000003</x:v>
      </x:c>
    </x:row>
    <x:row r="2924" ht="22" customHeight="1">
      <x:c r="A2924" s="11" t="n">
        <x:v>2920</x:v>
      </x:c>
      <x:c r="B2924" s="11" t="n">
        <x:v>1484</x:v>
      </x:c>
      <x:c r="C2924" s="18" t="n">
        <x:v>45914</x:v>
      </x:c>
      <x:c r="D2924" s="11" t="str">
        <x:v>2025-09</x:v>
      </x:c>
      <x:c r="E2924" s="11" t="str">
        <x:v>East</x:v>
      </x:c>
      <x:c r="F2924" s="11" t="str">
        <x:v>Furniture</x:v>
      </x:c>
      <x:c r="G2924" s="11" t="str">
        <x:v>Chair</x:v>
      </x:c>
      <x:c r="H2924" s="11" t="n">
        <x:v>1</x:v>
      </x:c>
      <x:c r="I2924" s="19" t="n">
        <x:v>0.15</x:v>
      </x:c>
      <x:c r="J2924" s="11" t="n">
        <x:v>0</x:v>
      </x:c>
      <x:c r="K2924" s="20" t="n">
        <x:v>170</x:v>
      </x:c>
      <x:c r="L2924" s="20" t="n">
        <x:v>25.5</x:v>
      </x:c>
      <x:c r="M2924" s="20" t="n">
        <x:v>110</x:v>
      </x:c>
      <x:c r="N2924" s="20" t="n">
        <x:f>IF(J2924=1,0,K2924-L2924)</x:f>
        <x:v>144.5</x:v>
      </x:c>
      <x:c r="O2924" s="20" t="n">
        <x:f>N2924-M2924</x:f>
        <x:v>34.5</x:v>
      </x:c>
    </x:row>
    <x:row r="2925" ht="22" customHeight="1">
      <x:c r="A2925" s="11" t="n">
        <x:v>2921</x:v>
      </x:c>
      <x:c r="B2925" s="11" t="n">
        <x:v>1484</x:v>
      </x:c>
      <x:c r="C2925" s="18" t="n">
        <x:v>45914</x:v>
      </x:c>
      <x:c r="D2925" s="11" t="str">
        <x:v>2025-09</x:v>
      </x:c>
      <x:c r="E2925" s="11" t="str">
        <x:v>East</x:v>
      </x:c>
      <x:c r="F2925" s="11" t="str">
        <x:v>Technology</x:v>
      </x:c>
      <x:c r="G2925" s="11" t="str">
        <x:v>Keyboard</x:v>
      </x:c>
      <x:c r="H2925" s="11" t="n">
        <x:v>2</x:v>
      </x:c>
      <x:c r="I2925" s="19" t="n">
        <x:v>0</x:v>
      </x:c>
      <x:c r="J2925" s="11" t="n">
        <x:v>0</x:v>
      </x:c>
      <x:c r="K2925" s="20" t="n">
        <x:v>130</x:v>
      </x:c>
      <x:c r="L2925" s="20" t="n">
        <x:v>0</x:v>
      </x:c>
      <x:c r="M2925" s="20" t="n">
        <x:v>64</x:v>
      </x:c>
      <x:c r="N2925" s="20" t="n">
        <x:f>IF(J2925=1,0,K2925-L2925)</x:f>
        <x:v>130</x:v>
      </x:c>
      <x:c r="O2925" s="20" t="n">
        <x:f>N2925-M2925</x:f>
        <x:v>66</x:v>
      </x:c>
    </x:row>
    <x:row r="2926" ht="22" customHeight="1">
      <x:c r="A2926" s="11" t="n">
        <x:v>2922</x:v>
      </x:c>
      <x:c r="B2926" s="11" t="n">
        <x:v>1485</x:v>
      </x:c>
      <x:c r="C2926" s="18" t="n">
        <x:v>45515</x:v>
      </x:c>
      <x:c r="D2926" s="11" t="str">
        <x:v>2024-08</x:v>
      </x:c>
      <x:c r="E2926" s="11" t="str">
        <x:v>West</x:v>
      </x:c>
      <x:c r="F2926" s="11" t="str">
        <x:v>Furniture</x:v>
      </x:c>
      <x:c r="G2926" s="11" t="str">
        <x:v>Desk</x:v>
      </x:c>
      <x:c r="H2926" s="11" t="n">
        <x:v>5</x:v>
      </x:c>
      <x:c r="I2926" s="19" t="n">
        <x:v>0</x:v>
      </x:c>
      <x:c r="J2926" s="11" t="n">
        <x:v>0</x:v>
      </x:c>
      <x:c r="K2926" s="20" t="n">
        <x:v>1400</x:v>
      </x:c>
      <x:c r="L2926" s="20" t="n">
        <x:v>0</x:v>
      </x:c>
      <x:c r="M2926" s="20" t="n">
        <x:v>950</x:v>
      </x:c>
      <x:c r="N2926" s="20" t="n">
        <x:f>IF(J2926=1,0,K2926-L2926)</x:f>
        <x:v>1400</x:v>
      </x:c>
      <x:c r="O2926" s="20" t="n">
        <x:f>N2926-M2926</x:f>
        <x:v>450</x:v>
      </x:c>
    </x:row>
    <x:row r="2927" ht="22" customHeight="1">
      <x:c r="A2927" s="11" t="n">
        <x:v>2923</x:v>
      </x:c>
      <x:c r="B2927" s="11" t="n">
        <x:v>1485</x:v>
      </x:c>
      <x:c r="C2927" s="18" t="n">
        <x:v>45515</x:v>
      </x:c>
      <x:c r="D2927" s="11" t="str">
        <x:v>2024-08</x:v>
      </x:c>
      <x:c r="E2927" s="11" t="str">
        <x:v>West</x:v>
      </x:c>
      <x:c r="F2927" s="11" t="str">
        <x:v>Technology</x:v>
      </x:c>
      <x:c r="G2927" s="11" t="str">
        <x:v>Keyboard</x:v>
      </x:c>
      <x:c r="H2927" s="11" t="n">
        <x:v>1</x:v>
      </x:c>
      <x:c r="I2927" s="19" t="n">
        <x:v>0.1</x:v>
      </x:c>
      <x:c r="J2927" s="11" t="n">
        <x:v>0</x:v>
      </x:c>
      <x:c r="K2927" s="20" t="n">
        <x:v>65</x:v>
      </x:c>
      <x:c r="L2927" s="20" t="n">
        <x:v>6.5</x:v>
      </x:c>
      <x:c r="M2927" s="20" t="n">
        <x:v>32</x:v>
      </x:c>
      <x:c r="N2927" s="20" t="n">
        <x:f>IF(J2927=1,0,K2927-L2927)</x:f>
        <x:v>58.5</x:v>
      </x:c>
      <x:c r="O2927" s="20" t="n">
        <x:f>N2927-M2927</x:f>
        <x:v>26.5</x:v>
      </x:c>
    </x:row>
    <x:row r="2928" ht="22" customHeight="1">
      <x:c r="A2928" s="11" t="n">
        <x:v>2924</x:v>
      </x:c>
      <x:c r="B2928" s="11" t="n">
        <x:v>1486</x:v>
      </x:c>
      <x:c r="C2928" s="18" t="n">
        <x:v>45788</x:v>
      </x:c>
      <x:c r="D2928" s="11" t="str">
        <x:v>2025-05</x:v>
      </x:c>
      <x:c r="E2928" s="11" t="str">
        <x:v>South</x:v>
      </x:c>
      <x:c r="F2928" s="11" t="str">
        <x:v>Furniture</x:v>
      </x:c>
      <x:c r="G2928" s="11" t="str">
        <x:v>Chair</x:v>
      </x:c>
      <x:c r="H2928" s="11" t="n">
        <x:v>3</x:v>
      </x:c>
      <x:c r="I2928" s="19" t="n">
        <x:v>0</x:v>
      </x:c>
      <x:c r="J2928" s="11" t="n">
        <x:v>0</x:v>
      </x:c>
      <x:c r="K2928" s="20" t="n">
        <x:v>510</x:v>
      </x:c>
      <x:c r="L2928" s="20" t="n">
        <x:v>0</x:v>
      </x:c>
      <x:c r="M2928" s="20" t="n">
        <x:v>330</x:v>
      </x:c>
      <x:c r="N2928" s="20" t="n">
        <x:f>IF(J2928=1,0,K2928-L2928)</x:f>
        <x:v>510</x:v>
      </x:c>
      <x:c r="O2928" s="20" t="n">
        <x:f>N2928-M2928</x:f>
        <x:v>180</x:v>
      </x:c>
    </x:row>
    <x:row r="2929" ht="22" customHeight="1">
      <x:c r="A2929" s="11" t="n">
        <x:v>2925</x:v>
      </x:c>
      <x:c r="B2929" s="11" t="n">
        <x:v>1486</x:v>
      </x:c>
      <x:c r="C2929" s="18" t="n">
        <x:v>45788</x:v>
      </x:c>
      <x:c r="D2929" s="11" t="str">
        <x:v>2025-05</x:v>
      </x:c>
      <x:c r="E2929" s="11" t="str">
        <x:v>South</x:v>
      </x:c>
      <x:c r="F2929" s="11" t="str">
        <x:v>Office Supplies</x:v>
      </x:c>
      <x:c r="G2929" s="11" t="str">
        <x:v>Notebook pack</x:v>
      </x:c>
      <x:c r="H2929" s="11" t="n">
        <x:v>3</x:v>
      </x:c>
      <x:c r="I2929" s="19" t="n">
        <x:v>0.15</x:v>
      </x:c>
      <x:c r="J2929" s="11" t="n">
        <x:v>1</x:v>
      </x:c>
      <x:c r="K2929" s="20" t="n">
        <x:v>54</x:v>
      </x:c>
      <x:c r="L2929" s="20" t="n">
        <x:v>8.1</x:v>
      </x:c>
      <x:c r="M2929" s="20" t="n">
        <x:v>0</x:v>
      </x:c>
      <x:c r="N2929" s="20" t="n">
        <x:f>IF(J2929=1,0,K2929-L2929)</x:f>
        <x:v>0</x:v>
      </x:c>
      <x:c r="O2929" s="20" t="n">
        <x:f>N2929-M2929</x:f>
        <x:v>0</x:v>
      </x:c>
    </x:row>
    <x:row r="2930" ht="22" customHeight="1">
      <x:c r="A2930" s="11" t="n">
        <x:v>2926</x:v>
      </x:c>
      <x:c r="B2930" s="11" t="n">
        <x:v>1486</x:v>
      </x:c>
      <x:c r="C2930" s="18" t="n">
        <x:v>45788</x:v>
      </x:c>
      <x:c r="D2930" s="11" t="str">
        <x:v>2025-05</x:v>
      </x:c>
      <x:c r="E2930" s="11" t="str">
        <x:v>South</x:v>
      </x:c>
      <x:c r="F2930" s="11" t="str">
        <x:v>Technology</x:v>
      </x:c>
      <x:c r="G2930" s="11" t="str">
        <x:v>Monitor</x:v>
      </x:c>
      <x:c r="H2930" s="11" t="n">
        <x:v>5</x:v>
      </x:c>
      <x:c r="I2930" s="19" t="n">
        <x:v>0.1</x:v>
      </x:c>
      <x:c r="J2930" s="11" t="n">
        <x:v>0</x:v>
      </x:c>
      <x:c r="K2930" s="20" t="n">
        <x:v>1200</x:v>
      </x:c>
      <x:c r="L2930" s="20" t="n">
        <x:v>120</x:v>
      </x:c>
      <x:c r="M2930" s="20" t="n">
        <x:v>800</x:v>
      </x:c>
      <x:c r="N2930" s="20" t="n">
        <x:f>IF(J2930=1,0,K2930-L2930)</x:f>
        <x:v>1080</x:v>
      </x:c>
      <x:c r="O2930" s="20" t="n">
        <x:f>N2930-M2930</x:f>
        <x:v>280</x:v>
      </x:c>
    </x:row>
    <x:row r="2931" ht="22" customHeight="1">
      <x:c r="A2931" s="11" t="n">
        <x:v>2927</x:v>
      </x:c>
      <x:c r="B2931" s="11" t="n">
        <x:v>1487</x:v>
      </x:c>
      <x:c r="C2931" s="18" t="n">
        <x:v>45642</x:v>
      </x:c>
      <x:c r="D2931" s="11" t="str">
        <x:v>2024-12</x:v>
      </x:c>
      <x:c r="E2931" s="11" t="str">
        <x:v>Central</x:v>
      </x:c>
      <x:c r="F2931" s="11" t="str">
        <x:v>Office Supplies</x:v>
      </x:c>
      <x:c r="G2931" s="11" t="str">
        <x:v>Storage box</x:v>
      </x:c>
      <x:c r="H2931" s="11" t="n">
        <x:v>5</x:v>
      </x:c>
      <x:c r="I2931" s="19" t="n">
        <x:v>0</x:v>
      </x:c>
      <x:c r="J2931" s="11" t="n">
        <x:v>0</x:v>
      </x:c>
      <x:c r="K2931" s="20" t="n">
        <x:v>130</x:v>
      </x:c>
      <x:c r="L2931" s="20" t="n">
        <x:v>0</x:v>
      </x:c>
      <x:c r="M2931" s="20" t="n">
        <x:v>60</x:v>
      </x:c>
      <x:c r="N2931" s="20" t="n">
        <x:f>IF(J2931=1,0,K2931-L2931)</x:f>
        <x:v>130</x:v>
      </x:c>
      <x:c r="O2931" s="20" t="n">
        <x:f>N2931-M2931</x:f>
        <x:v>70</x:v>
      </x:c>
    </x:row>
    <x:row r="2932" ht="22" customHeight="1">
      <x:c r="A2932" s="11" t="n">
        <x:v>2928</x:v>
      </x:c>
      <x:c r="B2932" s="11" t="n">
        <x:v>1487</x:v>
      </x:c>
      <x:c r="C2932" s="18" t="n">
        <x:v>45642</x:v>
      </x:c>
      <x:c r="D2932" s="11" t="str">
        <x:v>2024-12</x:v>
      </x:c>
      <x:c r="E2932" s="11" t="str">
        <x:v>Central</x:v>
      </x:c>
      <x:c r="F2932" s="11" t="str">
        <x:v>Office Supplies</x:v>
      </x:c>
      <x:c r="G2932" s="11" t="str">
        <x:v>Notebook pack</x:v>
      </x:c>
      <x:c r="H2932" s="11" t="n">
        <x:v>2</x:v>
      </x:c>
      <x:c r="I2932" s="19" t="n">
        <x:v>0</x:v>
      </x:c>
      <x:c r="J2932" s="11" t="n">
        <x:v>0</x:v>
      </x:c>
      <x:c r="K2932" s="20" t="n">
        <x:v>36</x:v>
      </x:c>
      <x:c r="L2932" s="20" t="n">
        <x:v>0</x:v>
      </x:c>
      <x:c r="M2932" s="20" t="n">
        <x:v>14</x:v>
      </x:c>
      <x:c r="N2932" s="20" t="n">
        <x:f>IF(J2932=1,0,K2932-L2932)</x:f>
        <x:v>36</x:v>
      </x:c>
      <x:c r="O2932" s="20" t="n">
        <x:f>N2932-M2932</x:f>
        <x:v>22</x:v>
      </x:c>
    </x:row>
    <x:row r="2933" ht="22" customHeight="1">
      <x:c r="A2933" s="11" t="n">
        <x:v>2929</x:v>
      </x:c>
      <x:c r="B2933" s="11" t="n">
        <x:v>1488</x:v>
      </x:c>
      <x:c r="C2933" s="18" t="n">
        <x:v>45921</x:v>
      </x:c>
      <x:c r="D2933" s="11" t="str">
        <x:v>2025-09</x:v>
      </x:c>
      <x:c r="E2933" s="11" t="str">
        <x:v>South</x:v>
      </x:c>
      <x:c r="F2933" s="11" t="str">
        <x:v>Furniture</x:v>
      </x:c>
      <x:c r="G2933" s="11" t="str">
        <x:v>Desk</x:v>
      </x:c>
      <x:c r="H2933" s="11" t="n">
        <x:v>3</x:v>
      </x:c>
      <x:c r="I2933" s="19" t="n">
        <x:v>0.35</x:v>
      </x:c>
      <x:c r="J2933" s="11" t="n">
        <x:v>0</x:v>
      </x:c>
      <x:c r="K2933" s="20" t="n">
        <x:v>840</x:v>
      </x:c>
      <x:c r="L2933" s="20" t="n">
        <x:v>294</x:v>
      </x:c>
      <x:c r="M2933" s="20" t="n">
        <x:v>570</x:v>
      </x:c>
      <x:c r="N2933" s="20" t="n">
        <x:f>IF(J2933=1,0,K2933-L2933)</x:f>
        <x:v>546</x:v>
      </x:c>
      <x:c r="O2933" s="20" t="n">
        <x:f>N2933-M2933</x:f>
        <x:v>-24</x:v>
      </x:c>
    </x:row>
    <x:row r="2934" ht="22" customHeight="1">
      <x:c r="A2934" s="11" t="n">
        <x:v>2930</x:v>
      </x:c>
      <x:c r="B2934" s="11" t="n">
        <x:v>1489</x:v>
      </x:c>
      <x:c r="C2934" s="18" t="n">
        <x:v>45310</x:v>
      </x:c>
      <x:c r="D2934" s="11" t="str">
        <x:v>2024-01</x:v>
      </x:c>
      <x:c r="E2934" s="11" t="str">
        <x:v>East</x:v>
      </x:c>
      <x:c r="F2934" s="11" t="str">
        <x:v>Technology</x:v>
      </x:c>
      <x:c r="G2934" s="11" t="str">
        <x:v>Monitor</x:v>
      </x:c>
      <x:c r="H2934" s="11" t="n">
        <x:v>3</x:v>
      </x:c>
      <x:c r="I2934" s="19" t="n">
        <x:v>0.05</x:v>
      </x:c>
      <x:c r="J2934" s="11" t="n">
        <x:v>0</x:v>
      </x:c>
      <x:c r="K2934" s="20" t="n">
        <x:v>720</x:v>
      </x:c>
      <x:c r="L2934" s="20" t="n">
        <x:v>36</x:v>
      </x:c>
      <x:c r="M2934" s="20" t="n">
        <x:v>480</x:v>
      </x:c>
      <x:c r="N2934" s="20" t="n">
        <x:f>IF(J2934=1,0,K2934-L2934)</x:f>
        <x:v>684</x:v>
      </x:c>
      <x:c r="O2934" s="20" t="n">
        <x:f>N2934-M2934</x:f>
        <x:v>204</x:v>
      </x:c>
    </x:row>
    <x:row r="2935" ht="22" customHeight="1">
      <x:c r="A2935" s="11" t="n">
        <x:v>2931</x:v>
      </x:c>
      <x:c r="B2935" s="11" t="n">
        <x:v>1489</x:v>
      </x:c>
      <x:c r="C2935" s="18" t="n">
        <x:v>45310</x:v>
      </x:c>
      <x:c r="D2935" s="11" t="str">
        <x:v>2024-01</x:v>
      </x:c>
      <x:c r="E2935" s="11" t="str">
        <x:v>East</x:v>
      </x:c>
      <x:c r="F2935" s="11" t="str">
        <x:v>Office Supplies</x:v>
      </x:c>
      <x:c r="G2935" s="11" t="str">
        <x:v>Notebook pack</x:v>
      </x:c>
      <x:c r="H2935" s="11" t="n">
        <x:v>1</x:v>
      </x:c>
      <x:c r="I2935" s="19" t="n">
        <x:v>0.1</x:v>
      </x:c>
      <x:c r="J2935" s="11" t="n">
        <x:v>0</x:v>
      </x:c>
      <x:c r="K2935" s="20" t="n">
        <x:v>18</x:v>
      </x:c>
      <x:c r="L2935" s="20" t="n">
        <x:v>1.8</x:v>
      </x:c>
      <x:c r="M2935" s="20" t="n">
        <x:v>7</x:v>
      </x:c>
      <x:c r="N2935" s="20" t="n">
        <x:f>IF(J2935=1,0,K2935-L2935)</x:f>
        <x:v>16.2</x:v>
      </x:c>
      <x:c r="O2935" s="20" t="n">
        <x:f>N2935-M2935</x:f>
        <x:v>9.2</x:v>
      </x:c>
    </x:row>
    <x:row r="2936" ht="22" customHeight="1">
      <x:c r="A2936" s="11" t="n">
        <x:v>2932</x:v>
      </x:c>
      <x:c r="B2936" s="11" t="n">
        <x:v>1489</x:v>
      </x:c>
      <x:c r="C2936" s="18" t="n">
        <x:v>45310</x:v>
      </x:c>
      <x:c r="D2936" s="11" t="str">
        <x:v>2024-01</x:v>
      </x:c>
      <x:c r="E2936" s="11" t="str">
        <x:v>East</x:v>
      </x:c>
      <x:c r="F2936" s="11" t="str">
        <x:v>Furniture</x:v>
      </x:c>
      <x:c r="G2936" s="11" t="str">
        <x:v>Desk</x:v>
      </x:c>
      <x:c r="H2936" s="11" t="n">
        <x:v>5</x:v>
      </x:c>
      <x:c r="I2936" s="19" t="n">
        <x:v>0</x:v>
      </x:c>
      <x:c r="J2936" s="11" t="n">
        <x:v>0</x:v>
      </x:c>
      <x:c r="K2936" s="20" t="n">
        <x:v>1400</x:v>
      </x:c>
      <x:c r="L2936" s="20" t="n">
        <x:v>0</x:v>
      </x:c>
      <x:c r="M2936" s="20" t="n">
        <x:v>950</x:v>
      </x:c>
      <x:c r="N2936" s="20" t="n">
        <x:f>IF(J2936=1,0,K2936-L2936)</x:f>
        <x:v>1400</x:v>
      </x:c>
      <x:c r="O2936" s="20" t="n">
        <x:f>N2936-M2936</x:f>
        <x:v>450</x:v>
      </x:c>
    </x:row>
    <x:row r="2937" ht="22" customHeight="1">
      <x:c r="A2937" s="11" t="n">
        <x:v>2933</x:v>
      </x:c>
      <x:c r="B2937" s="11" t="n">
        <x:v>1490</x:v>
      </x:c>
      <x:c r="C2937" s="18" t="n">
        <x:v>45904</x:v>
      </x:c>
      <x:c r="D2937" s="11" t="str">
        <x:v>2025-09</x:v>
      </x:c>
      <x:c r="E2937" s="11" t="str">
        <x:v>South</x:v>
      </x:c>
      <x:c r="F2937" s="11" t="str">
        <x:v>Office Supplies</x:v>
      </x:c>
      <x:c r="G2937" s="11" t="str">
        <x:v>Notebook pack</x:v>
      </x:c>
      <x:c r="H2937" s="11" t="n">
        <x:v>5</x:v>
      </x:c>
      <x:c r="I2937" s="19" t="n">
        <x:v>0.15</x:v>
      </x:c>
      <x:c r="J2937" s="11" t="n">
        <x:v>0</x:v>
      </x:c>
      <x:c r="K2937" s="20" t="n">
        <x:v>90</x:v>
      </x:c>
      <x:c r="L2937" s="20" t="n">
        <x:v>13.5</x:v>
      </x:c>
      <x:c r="M2937" s="20" t="n">
        <x:v>35</x:v>
      </x:c>
      <x:c r="N2937" s="20" t="n">
        <x:f>IF(J2937=1,0,K2937-L2937)</x:f>
        <x:v>76.5</x:v>
      </x:c>
      <x:c r="O2937" s="20" t="n">
        <x:f>N2937-M2937</x:f>
        <x:v>41.5</x:v>
      </x:c>
    </x:row>
    <x:row r="2938" ht="22" customHeight="1">
      <x:c r="A2938" s="11" t="n">
        <x:v>2934</x:v>
      </x:c>
      <x:c r="B2938" s="11" t="n">
        <x:v>1490</x:v>
      </x:c>
      <x:c r="C2938" s="18" t="n">
        <x:v>45904</x:v>
      </x:c>
      <x:c r="D2938" s="11" t="str">
        <x:v>2025-09</x:v>
      </x:c>
      <x:c r="E2938" s="11" t="str">
        <x:v>South</x:v>
      </x:c>
      <x:c r="F2938" s="11" t="str">
        <x:v>Technology</x:v>
      </x:c>
      <x:c r="G2938" s="11" t="str">
        <x:v>Keyboard</x:v>
      </x:c>
      <x:c r="H2938" s="11" t="n">
        <x:v>4</x:v>
      </x:c>
      <x:c r="I2938" s="19" t="n">
        <x:v>0</x:v>
      </x:c>
      <x:c r="J2938" s="11" t="n">
        <x:v>0</x:v>
      </x:c>
      <x:c r="K2938" s="20" t="n">
        <x:v>260</x:v>
      </x:c>
      <x:c r="L2938" s="20" t="n">
        <x:v>0</x:v>
      </x:c>
      <x:c r="M2938" s="20" t="n">
        <x:v>128</x:v>
      </x:c>
      <x:c r="N2938" s="20" t="n">
        <x:f>IF(J2938=1,0,K2938-L2938)</x:f>
        <x:v>260</x:v>
      </x:c>
      <x:c r="O2938" s="20" t="n">
        <x:f>N2938-M2938</x:f>
        <x:v>132</x:v>
      </x:c>
    </x:row>
    <x:row r="2939" ht="22" customHeight="1">
      <x:c r="A2939" s="11" t="n">
        <x:v>2935</x:v>
      </x:c>
      <x:c r="B2939" s="11" t="n">
        <x:v>1490</x:v>
      </x:c>
      <x:c r="C2939" s="18" t="n">
        <x:v>45904</x:v>
      </x:c>
      <x:c r="D2939" s="11" t="str">
        <x:v>2025-09</x:v>
      </x:c>
      <x:c r="E2939" s="11" t="str">
        <x:v>South</x:v>
      </x:c>
      <x:c r="F2939" s="11" t="str">
        <x:v>Technology</x:v>
      </x:c>
      <x:c r="G2939" s="11" t="str">
        <x:v>Monitor</x:v>
      </x:c>
      <x:c r="H2939" s="11" t="n">
        <x:v>3</x:v>
      </x:c>
      <x:c r="I2939" s="19" t="n">
        <x:v>0</x:v>
      </x:c>
      <x:c r="J2939" s="11" t="n">
        <x:v>0</x:v>
      </x:c>
      <x:c r="K2939" s="20" t="n">
        <x:v>720</x:v>
      </x:c>
      <x:c r="L2939" s="20" t="n">
        <x:v>0</x:v>
      </x:c>
      <x:c r="M2939" s="20" t="n">
        <x:v>480</x:v>
      </x:c>
      <x:c r="N2939" s="20" t="n">
        <x:f>IF(J2939=1,0,K2939-L2939)</x:f>
        <x:v>720</x:v>
      </x:c>
      <x:c r="O2939" s="20" t="n">
        <x:f>N2939-M2939</x:f>
        <x:v>240</x:v>
      </x:c>
    </x:row>
    <x:row r="2940" ht="22" customHeight="1">
      <x:c r="A2940" s="11" t="n">
        <x:v>2936</x:v>
      </x:c>
      <x:c r="B2940" s="11" t="n">
        <x:v>1491</x:v>
      </x:c>
      <x:c r="C2940" s="18" t="n">
        <x:v>45666</x:v>
      </x:c>
      <x:c r="D2940" s="11" t="str">
        <x:v>2025-01</x:v>
      </x:c>
      <x:c r="E2940" s="11" t="str">
        <x:v>South</x:v>
      </x:c>
      <x:c r="F2940" s="11" t="str">
        <x:v>Office Supplies</x:v>
      </x:c>
      <x:c r="G2940" s="11" t="str">
        <x:v>Notebook pack</x:v>
      </x:c>
      <x:c r="H2940" s="11" t="n">
        <x:v>3</x:v>
      </x:c>
      <x:c r="I2940" s="19" t="n">
        <x:v>0.15</x:v>
      </x:c>
      <x:c r="J2940" s="11" t="n">
        <x:v>0</x:v>
      </x:c>
      <x:c r="K2940" s="20" t="n">
        <x:v>54</x:v>
      </x:c>
      <x:c r="L2940" s="20" t="n">
        <x:v>8.1</x:v>
      </x:c>
      <x:c r="M2940" s="20" t="n">
        <x:v>21</x:v>
      </x:c>
      <x:c r="N2940" s="20" t="n">
        <x:f>IF(J2940=1,0,K2940-L2940)</x:f>
        <x:v>45.9</x:v>
      </x:c>
      <x:c r="O2940" s="20" t="n">
        <x:f>N2940-M2940</x:f>
        <x:v>24.9</x:v>
      </x:c>
    </x:row>
    <x:row r="2941" ht="22" customHeight="1">
      <x:c r="A2941" s="11" t="n">
        <x:v>2937</x:v>
      </x:c>
      <x:c r="B2941" s="11" t="n">
        <x:v>1491</x:v>
      </x:c>
      <x:c r="C2941" s="18" t="n">
        <x:v>45666</x:v>
      </x:c>
      <x:c r="D2941" s="11" t="str">
        <x:v>2025-01</x:v>
      </x:c>
      <x:c r="E2941" s="11" t="str">
        <x:v>South</x:v>
      </x:c>
      <x:c r="F2941" s="11" t="str">
        <x:v>Furniture</x:v>
      </x:c>
      <x:c r="G2941" s="11" t="str">
        <x:v>Chair</x:v>
      </x:c>
      <x:c r="H2941" s="11" t="n">
        <x:v>1</x:v>
      </x:c>
      <x:c r="I2941" s="19" t="n">
        <x:v>0.1</x:v>
      </x:c>
      <x:c r="J2941" s="11" t="n">
        <x:v>0</x:v>
      </x:c>
      <x:c r="K2941" s="20" t="n">
        <x:v>170</x:v>
      </x:c>
      <x:c r="L2941" s="20" t="n">
        <x:v>17</x:v>
      </x:c>
      <x:c r="M2941" s="20" t="n">
        <x:v>110</x:v>
      </x:c>
      <x:c r="N2941" s="20" t="n">
        <x:f>IF(J2941=1,0,K2941-L2941)</x:f>
        <x:v>153</x:v>
      </x:c>
      <x:c r="O2941" s="20" t="n">
        <x:f>N2941-M2941</x:f>
        <x:v>43</x:v>
      </x:c>
    </x:row>
    <x:row r="2942" ht="22" customHeight="1">
      <x:c r="A2942" s="11" t="n">
        <x:v>2938</x:v>
      </x:c>
      <x:c r="B2942" s="11" t="n">
        <x:v>1491</x:v>
      </x:c>
      <x:c r="C2942" s="18" t="n">
        <x:v>45666</x:v>
      </x:c>
      <x:c r="D2942" s="11" t="str">
        <x:v>2025-01</x:v>
      </x:c>
      <x:c r="E2942" s="11" t="str">
        <x:v>South</x:v>
      </x:c>
      <x:c r="F2942" s="11" t="str">
        <x:v>Office Supplies</x:v>
      </x:c>
      <x:c r="G2942" s="11" t="str">
        <x:v>Storage box</x:v>
      </x:c>
      <x:c r="H2942" s="11" t="n">
        <x:v>2</x:v>
      </x:c>
      <x:c r="I2942" s="19" t="n">
        <x:v>0</x:v>
      </x:c>
      <x:c r="J2942" s="11" t="n">
        <x:v>0</x:v>
      </x:c>
      <x:c r="K2942" s="20" t="n">
        <x:v>52</x:v>
      </x:c>
      <x:c r="L2942" s="20" t="n">
        <x:v>0</x:v>
      </x:c>
      <x:c r="M2942" s="20" t="n">
        <x:v>24</x:v>
      </x:c>
      <x:c r="N2942" s="20" t="n">
        <x:f>IF(J2942=1,0,K2942-L2942)</x:f>
        <x:v>52</x:v>
      </x:c>
      <x:c r="O2942" s="20" t="n">
        <x:f>N2942-M2942</x:f>
        <x:v>28</x:v>
      </x:c>
    </x:row>
    <x:row r="2943" ht="22" customHeight="1">
      <x:c r="A2943" s="11" t="n">
        <x:v>2939</x:v>
      </x:c>
      <x:c r="B2943" s="11" t="n">
        <x:v>1492</x:v>
      </x:c>
      <x:c r="C2943" s="18" t="n">
        <x:v>45402</x:v>
      </x:c>
      <x:c r="D2943" s="11" t="str">
        <x:v>2024-04</x:v>
      </x:c>
      <x:c r="E2943" s="11" t="str">
        <x:v>East</x:v>
      </x:c>
      <x:c r="F2943" s="11" t="str">
        <x:v>Furniture</x:v>
      </x:c>
      <x:c r="G2943" s="11" t="str">
        <x:v>Chair</x:v>
      </x:c>
      <x:c r="H2943" s="11" t="n">
        <x:v>4</x:v>
      </x:c>
      <x:c r="I2943" s="19" t="n">
        <x:v>0</x:v>
      </x:c>
      <x:c r="J2943" s="11" t="n">
        <x:v>0</x:v>
      </x:c>
      <x:c r="K2943" s="20" t="n">
        <x:v>680</x:v>
      </x:c>
      <x:c r="L2943" s="20" t="n">
        <x:v>0</x:v>
      </x:c>
      <x:c r="M2943" s="20" t="n">
        <x:v>440</x:v>
      </x:c>
      <x:c r="N2943" s="20" t="n">
        <x:f>IF(J2943=1,0,K2943-L2943)</x:f>
        <x:v>680</x:v>
      </x:c>
      <x:c r="O2943" s="20" t="n">
        <x:f>N2943-M2943</x:f>
        <x:v>240</x:v>
      </x:c>
    </x:row>
    <x:row r="2944" ht="22" customHeight="1">
      <x:c r="A2944" s="11" t="n">
        <x:v>2940</x:v>
      </x:c>
      <x:c r="B2944" s="11" t="n">
        <x:v>1492</x:v>
      </x:c>
      <x:c r="C2944" s="18" t="n">
        <x:v>45402</x:v>
      </x:c>
      <x:c r="D2944" s="11" t="str">
        <x:v>2024-04</x:v>
      </x:c>
      <x:c r="E2944" s="11" t="str">
        <x:v>East</x:v>
      </x:c>
      <x:c r="F2944" s="11" t="str">
        <x:v>Technology</x:v>
      </x:c>
      <x:c r="G2944" s="11" t="str">
        <x:v>Keyboard</x:v>
      </x:c>
      <x:c r="H2944" s="11" t="n">
        <x:v>1</x:v>
      </x:c>
      <x:c r="I2944" s="19" t="n">
        <x:v>0.15</x:v>
      </x:c>
      <x:c r="J2944" s="11" t="n">
        <x:v>0</x:v>
      </x:c>
      <x:c r="K2944" s="20" t="n">
        <x:v>65</x:v>
      </x:c>
      <x:c r="L2944" s="20" t="n">
        <x:v>9.75</x:v>
      </x:c>
      <x:c r="M2944" s="20" t="n">
        <x:v>32</x:v>
      </x:c>
      <x:c r="N2944" s="20" t="n">
        <x:f>IF(J2944=1,0,K2944-L2944)</x:f>
        <x:v>55.25</x:v>
      </x:c>
      <x:c r="O2944" s="20" t="n">
        <x:f>N2944-M2944</x:f>
        <x:v>23.25</x:v>
      </x:c>
    </x:row>
    <x:row r="2945" ht="22" customHeight="1">
      <x:c r="A2945" s="11" t="n">
        <x:v>2941</x:v>
      </x:c>
      <x:c r="B2945" s="11" t="n">
        <x:v>1493</x:v>
      </x:c>
      <x:c r="C2945" s="18" t="n">
        <x:v>45699</x:v>
      </x:c>
      <x:c r="D2945" s="11" t="str">
        <x:v>2025-02</x:v>
      </x:c>
      <x:c r="E2945" s="11" t="str">
        <x:v>West</x:v>
      </x:c>
      <x:c r="F2945" s="11" t="str">
        <x:v>Technology</x:v>
      </x:c>
      <x:c r="G2945" s="11" t="str">
        <x:v>Keyboard</x:v>
      </x:c>
      <x:c r="H2945" s="11" t="n">
        <x:v>4</x:v>
      </x:c>
      <x:c r="I2945" s="19" t="n">
        <x:v>0</x:v>
      </x:c>
      <x:c r="J2945" s="11" t="n">
        <x:v>0</x:v>
      </x:c>
      <x:c r="K2945" s="20" t="n">
        <x:v>260</x:v>
      </x:c>
      <x:c r="L2945" s="20" t="n">
        <x:v>0</x:v>
      </x:c>
      <x:c r="M2945" s="20" t="n">
        <x:v>128</x:v>
      </x:c>
      <x:c r="N2945" s="20" t="n">
        <x:f>IF(J2945=1,0,K2945-L2945)</x:f>
        <x:v>260</x:v>
      </x:c>
      <x:c r="O2945" s="20" t="n">
        <x:f>N2945-M2945</x:f>
        <x:v>132</x:v>
      </x:c>
    </x:row>
    <x:row r="2946" ht="22" customHeight="1">
      <x:c r="A2946" s="11" t="n">
        <x:v>2942</x:v>
      </x:c>
      <x:c r="B2946" s="11" t="n">
        <x:v>1493</x:v>
      </x:c>
      <x:c r="C2946" s="18" t="n">
        <x:v>45699</x:v>
      </x:c>
      <x:c r="D2946" s="11" t="str">
        <x:v>2025-02</x:v>
      </x:c>
      <x:c r="E2946" s="11" t="str">
        <x:v>West</x:v>
      </x:c>
      <x:c r="F2946" s="11" t="str">
        <x:v>Furniture</x:v>
      </x:c>
      <x:c r="G2946" s="11" t="str">
        <x:v>Desk</x:v>
      </x:c>
      <x:c r="H2946" s="11" t="n">
        <x:v>3</x:v>
      </x:c>
      <x:c r="I2946" s="19" t="n">
        <x:v>0.05</x:v>
      </x:c>
      <x:c r="J2946" s="11" t="n">
        <x:v>0</x:v>
      </x:c>
      <x:c r="K2946" s="20" t="n">
        <x:v>840</x:v>
      </x:c>
      <x:c r="L2946" s="20" t="n">
        <x:v>42</x:v>
      </x:c>
      <x:c r="M2946" s="20" t="n">
        <x:v>570</x:v>
      </x:c>
      <x:c r="N2946" s="20" t="n">
        <x:f>IF(J2946=1,0,K2946-L2946)</x:f>
        <x:v>798</x:v>
      </x:c>
      <x:c r="O2946" s="20" t="n">
        <x:f>N2946-M2946</x:f>
        <x:v>228</x:v>
      </x:c>
    </x:row>
    <x:row r="2947" ht="22" customHeight="1">
      <x:c r="A2947" s="11" t="n">
        <x:v>2943</x:v>
      </x:c>
      <x:c r="B2947" s="11" t="n">
        <x:v>1494</x:v>
      </x:c>
      <x:c r="C2947" s="18" t="n">
        <x:v>45517</x:v>
      </x:c>
      <x:c r="D2947" s="11" t="str">
        <x:v>2024-08</x:v>
      </x:c>
      <x:c r="E2947" s="11" t="str">
        <x:v>South</x:v>
      </x:c>
      <x:c r="F2947" s="11" t="str">
        <x:v>Furniture</x:v>
      </x:c>
      <x:c r="G2947" s="11" t="str">
        <x:v>Chair</x:v>
      </x:c>
      <x:c r="H2947" s="11" t="n">
        <x:v>5</x:v>
      </x:c>
      <x:c r="I2947" s="19" t="n">
        <x:v>0</x:v>
      </x:c>
      <x:c r="J2947" s="11" t="n">
        <x:v>0</x:v>
      </x:c>
      <x:c r="K2947" s="20" t="n">
        <x:v>850</x:v>
      </x:c>
      <x:c r="L2947" s="20" t="n">
        <x:v>0</x:v>
      </x:c>
      <x:c r="M2947" s="20" t="n">
        <x:v>550</x:v>
      </x:c>
      <x:c r="N2947" s="20" t="n">
        <x:f>IF(J2947=1,0,K2947-L2947)</x:f>
        <x:v>850</x:v>
      </x:c>
      <x:c r="O2947" s="20" t="n">
        <x:f>N2947-M2947</x:f>
        <x:v>300</x:v>
      </x:c>
    </x:row>
    <x:row r="2948" ht="22" customHeight="1">
      <x:c r="A2948" s="11" t="n">
        <x:v>2944</x:v>
      </x:c>
      <x:c r="B2948" s="11" t="n">
        <x:v>1494</x:v>
      </x:c>
      <x:c r="C2948" s="18" t="n">
        <x:v>45517</x:v>
      </x:c>
      <x:c r="D2948" s="11" t="str">
        <x:v>2024-08</x:v>
      </x:c>
      <x:c r="E2948" s="11" t="str">
        <x:v>South</x:v>
      </x:c>
      <x:c r="F2948" s="11" t="str">
        <x:v>Office Supplies</x:v>
      </x:c>
      <x:c r="G2948" s="11" t="str">
        <x:v>Notebook pack</x:v>
      </x:c>
      <x:c r="H2948" s="11" t="n">
        <x:v>3</x:v>
      </x:c>
      <x:c r="I2948" s="19" t="n">
        <x:v>0</x:v>
      </x:c>
      <x:c r="J2948" s="11" t="n">
        <x:v>0</x:v>
      </x:c>
      <x:c r="K2948" s="20" t="n">
        <x:v>54</x:v>
      </x:c>
      <x:c r="L2948" s="20" t="n">
        <x:v>0</x:v>
      </x:c>
      <x:c r="M2948" s="20" t="n">
        <x:v>21</x:v>
      </x:c>
      <x:c r="N2948" s="20" t="n">
        <x:f>IF(J2948=1,0,K2948-L2948)</x:f>
        <x:v>54</x:v>
      </x:c>
      <x:c r="O2948" s="20" t="n">
        <x:f>N2948-M2948</x:f>
        <x:v>33</x:v>
      </x:c>
    </x:row>
    <x:row r="2949" ht="22" customHeight="1">
      <x:c r="A2949" s="11" t="n">
        <x:v>2945</x:v>
      </x:c>
      <x:c r="B2949" s="11" t="n">
        <x:v>1494</x:v>
      </x:c>
      <x:c r="C2949" s="18" t="n">
        <x:v>45517</x:v>
      </x:c>
      <x:c r="D2949" s="11" t="str">
        <x:v>2024-08</x:v>
      </x:c>
      <x:c r="E2949" s="11" t="str">
        <x:v>South</x:v>
      </x:c>
      <x:c r="F2949" s="11" t="str">
        <x:v>Office Supplies</x:v>
      </x:c>
      <x:c r="G2949" s="11" t="str">
        <x:v>Storage box</x:v>
      </x:c>
      <x:c r="H2949" s="11" t="n">
        <x:v>4</x:v>
      </x:c>
      <x:c r="I2949" s="19" t="n">
        <x:v>0</x:v>
      </x:c>
      <x:c r="J2949" s="11" t="n">
        <x:v>0</x:v>
      </x:c>
      <x:c r="K2949" s="20" t="n">
        <x:v>104</x:v>
      </x:c>
      <x:c r="L2949" s="20" t="n">
        <x:v>0</x:v>
      </x:c>
      <x:c r="M2949" s="20" t="n">
        <x:v>48</x:v>
      </x:c>
      <x:c r="N2949" s="20" t="n">
        <x:f>IF(J2949=1,0,K2949-L2949)</x:f>
        <x:v>104</x:v>
      </x:c>
      <x:c r="O2949" s="20" t="n">
        <x:f>N2949-M2949</x:f>
        <x:v>56</x:v>
      </x:c>
    </x:row>
    <x:row r="2950" ht="22" customHeight="1">
      <x:c r="A2950" s="11" t="n">
        <x:v>2946</x:v>
      </x:c>
      <x:c r="B2950" s="11" t="n">
        <x:v>1495</x:v>
      </x:c>
      <x:c r="C2950" s="18" t="n">
        <x:v>46003</x:v>
      </x:c>
      <x:c r="D2950" s="11" t="str">
        <x:v>2025-12</x:v>
      </x:c>
      <x:c r="E2950" s="11" t="str">
        <x:v>South</x:v>
      </x:c>
      <x:c r="F2950" s="11" t="str">
        <x:v>Furniture</x:v>
      </x:c>
      <x:c r="G2950" s="11" t="str">
        <x:v>Desk</x:v>
      </x:c>
      <x:c r="H2950" s="11" t="n">
        <x:v>2</x:v>
      </x:c>
      <x:c r="I2950" s="19" t="n">
        <x:v>0.25</x:v>
      </x:c>
      <x:c r="J2950" s="11" t="n">
        <x:v>0</x:v>
      </x:c>
      <x:c r="K2950" s="20" t="n">
        <x:v>560</x:v>
      </x:c>
      <x:c r="L2950" s="20" t="n">
        <x:v>140</x:v>
      </x:c>
      <x:c r="M2950" s="20" t="n">
        <x:v>380</x:v>
      </x:c>
      <x:c r="N2950" s="20" t="n">
        <x:f>IF(J2950=1,0,K2950-L2950)</x:f>
        <x:v>420</x:v>
      </x:c>
      <x:c r="O2950" s="20" t="n">
        <x:f>N2950-M2950</x:f>
        <x:v>40</x:v>
      </x:c>
    </x:row>
    <x:row r="2951" ht="22" customHeight="1">
      <x:c r="A2951" s="11" t="n">
        <x:v>2947</x:v>
      </x:c>
      <x:c r="B2951" s="11" t="n">
        <x:v>1495</x:v>
      </x:c>
      <x:c r="C2951" s="18" t="n">
        <x:v>46003</x:v>
      </x:c>
      <x:c r="D2951" s="11" t="str">
        <x:v>2025-12</x:v>
      </x:c>
      <x:c r="E2951" s="11" t="str">
        <x:v>South</x:v>
      </x:c>
      <x:c r="F2951" s="11" t="str">
        <x:v>Office Supplies</x:v>
      </x:c>
      <x:c r="G2951" s="11" t="str">
        <x:v>Notebook pack</x:v>
      </x:c>
      <x:c r="H2951" s="11" t="n">
        <x:v>3</x:v>
      </x:c>
      <x:c r="I2951" s="19" t="n">
        <x:v>0.15</x:v>
      </x:c>
      <x:c r="J2951" s="11" t="n">
        <x:v>0</x:v>
      </x:c>
      <x:c r="K2951" s="20" t="n">
        <x:v>54</x:v>
      </x:c>
      <x:c r="L2951" s="20" t="n">
        <x:v>8.1</x:v>
      </x:c>
      <x:c r="M2951" s="20" t="n">
        <x:v>21</x:v>
      </x:c>
      <x:c r="N2951" s="20" t="n">
        <x:f>IF(J2951=1,0,K2951-L2951)</x:f>
        <x:v>45.9</x:v>
      </x:c>
      <x:c r="O2951" s="20" t="n">
        <x:f>N2951-M2951</x:f>
        <x:v>24.9</x:v>
      </x:c>
    </x:row>
    <x:row r="2952" ht="22" customHeight="1">
      <x:c r="A2952" s="11" t="n">
        <x:v>2948</x:v>
      </x:c>
      <x:c r="B2952" s="11" t="n">
        <x:v>1496</x:v>
      </x:c>
      <x:c r="C2952" s="18" t="n">
        <x:v>45736</x:v>
      </x:c>
      <x:c r="D2952" s="11" t="str">
        <x:v>2025-03</x:v>
      </x:c>
      <x:c r="E2952" s="11" t="str">
        <x:v>West</x:v>
      </x:c>
      <x:c r="F2952" s="11" t="str">
        <x:v>Office Supplies</x:v>
      </x:c>
      <x:c r="G2952" s="11" t="str">
        <x:v>Notebook pack</x:v>
      </x:c>
      <x:c r="H2952" s="11" t="n">
        <x:v>4</x:v>
      </x:c>
      <x:c r="I2952" s="19" t="n">
        <x:v>0.15</x:v>
      </x:c>
      <x:c r="J2952" s="11" t="n">
        <x:v>0</x:v>
      </x:c>
      <x:c r="K2952" s="20" t="n">
        <x:v>72</x:v>
      </x:c>
      <x:c r="L2952" s="20" t="n">
        <x:v>10.8</x:v>
      </x:c>
      <x:c r="M2952" s="20" t="n">
        <x:v>28</x:v>
      </x:c>
      <x:c r="N2952" s="20" t="n">
        <x:f>IF(J2952=1,0,K2952-L2952)</x:f>
        <x:v>61.2</x:v>
      </x:c>
      <x:c r="O2952" s="20" t="n">
        <x:f>N2952-M2952</x:f>
        <x:v>33.2</x:v>
      </x:c>
    </x:row>
    <x:row r="2953" ht="22" customHeight="1">
      <x:c r="A2953" s="11" t="n">
        <x:v>2949</x:v>
      </x:c>
      <x:c r="B2953" s="11" t="n">
        <x:v>1497</x:v>
      </x:c>
      <x:c r="C2953" s="18" t="n">
        <x:v>45708</x:v>
      </x:c>
      <x:c r="D2953" s="11" t="str">
        <x:v>2025-02</x:v>
      </x:c>
      <x:c r="E2953" s="11" t="str">
        <x:v>East</x:v>
      </x:c>
      <x:c r="F2953" s="11" t="str">
        <x:v>Furniture</x:v>
      </x:c>
      <x:c r="G2953" s="11" t="str">
        <x:v>Desk</x:v>
      </x:c>
      <x:c r="H2953" s="11" t="n">
        <x:v>5</x:v>
      </x:c>
      <x:c r="I2953" s="19" t="n">
        <x:v>0.35</x:v>
      </x:c>
      <x:c r="J2953" s="11" t="n">
        <x:v>0</x:v>
      </x:c>
      <x:c r="K2953" s="20" t="n">
        <x:v>1400</x:v>
      </x:c>
      <x:c r="L2953" s="20" t="n">
        <x:v>490</x:v>
      </x:c>
      <x:c r="M2953" s="20" t="n">
        <x:v>950</x:v>
      </x:c>
      <x:c r="N2953" s="20" t="n">
        <x:f>IF(J2953=1,0,K2953-L2953)</x:f>
        <x:v>910</x:v>
      </x:c>
      <x:c r="O2953" s="20" t="n">
        <x:f>N2953-M2953</x:f>
        <x:v>-40</x:v>
      </x:c>
    </x:row>
    <x:row r="2954" ht="22" customHeight="1">
      <x:c r="A2954" s="11" t="n">
        <x:v>2950</x:v>
      </x:c>
      <x:c r="B2954" s="11" t="n">
        <x:v>1498</x:v>
      </x:c>
      <x:c r="C2954" s="18" t="n">
        <x:v>45392</x:v>
      </x:c>
      <x:c r="D2954" s="11" t="str">
        <x:v>2024-04</x:v>
      </x:c>
      <x:c r="E2954" s="11" t="str">
        <x:v>Central</x:v>
      </x:c>
      <x:c r="F2954" s="11" t="str">
        <x:v>Office Supplies</x:v>
      </x:c>
      <x:c r="G2954" s="11" t="str">
        <x:v>Notebook pack</x:v>
      </x:c>
      <x:c r="H2954" s="11" t="n">
        <x:v>3</x:v>
      </x:c>
      <x:c r="I2954" s="19" t="n">
        <x:v>0.15</x:v>
      </x:c>
      <x:c r="J2954" s="11" t="n">
        <x:v>0</x:v>
      </x:c>
      <x:c r="K2954" s="20" t="n">
        <x:v>54</x:v>
      </x:c>
      <x:c r="L2954" s="20" t="n">
        <x:v>8.1</x:v>
      </x:c>
      <x:c r="M2954" s="20" t="n">
        <x:v>21</x:v>
      </x:c>
      <x:c r="N2954" s="20" t="n">
        <x:f>IF(J2954=1,0,K2954-L2954)</x:f>
        <x:v>45.9</x:v>
      </x:c>
      <x:c r="O2954" s="20" t="n">
        <x:f>N2954-M2954</x:f>
        <x:v>24.9</x:v>
      </x:c>
    </x:row>
    <x:row r="2955" ht="22" customHeight="1">
      <x:c r="A2955" s="11" t="n">
        <x:v>2951</x:v>
      </x:c>
      <x:c r="B2955" s="11" t="n">
        <x:v>1499</x:v>
      </x:c>
      <x:c r="C2955" s="18" t="n">
        <x:v>45415</x:v>
      </x:c>
      <x:c r="D2955" s="11" t="str">
        <x:v>2024-05</x:v>
      </x:c>
      <x:c r="E2955" s="11" t="str">
        <x:v>West</x:v>
      </x:c>
      <x:c r="F2955" s="11" t="str">
        <x:v>Technology</x:v>
      </x:c>
      <x:c r="G2955" s="11" t="str">
        <x:v>Keyboard</x:v>
      </x:c>
      <x:c r="H2955" s="11" t="n">
        <x:v>2</x:v>
      </x:c>
      <x:c r="I2955" s="19" t="n">
        <x:v>0</x:v>
      </x:c>
      <x:c r="J2955" s="11" t="n">
        <x:v>0</x:v>
      </x:c>
      <x:c r="K2955" s="20" t="n">
        <x:v>130</x:v>
      </x:c>
      <x:c r="L2955" s="20" t="n">
        <x:v>0</x:v>
      </x:c>
      <x:c r="M2955" s="20" t="n">
        <x:v>64</x:v>
      </x:c>
      <x:c r="N2955" s="20" t="n">
        <x:f>IF(J2955=1,0,K2955-L2955)</x:f>
        <x:v>130</x:v>
      </x:c>
      <x:c r="O2955" s="20" t="n">
        <x:f>N2955-M2955</x:f>
        <x:v>66</x:v>
      </x:c>
    </x:row>
    <x:row r="2956" ht="22" customHeight="1">
      <x:c r="A2956" s="11" t="n">
        <x:v>2952</x:v>
      </x:c>
      <x:c r="B2956" s="11" t="n">
        <x:v>1499</x:v>
      </x:c>
      <x:c r="C2956" s="18" t="n">
        <x:v>45415</x:v>
      </x:c>
      <x:c r="D2956" s="11" t="str">
        <x:v>2024-05</x:v>
      </x:c>
      <x:c r="E2956" s="11" t="str">
        <x:v>West</x:v>
      </x:c>
      <x:c r="F2956" s="11" t="str">
        <x:v>Office Supplies</x:v>
      </x:c>
      <x:c r="G2956" s="11" t="str">
        <x:v>Notebook pack</x:v>
      </x:c>
      <x:c r="H2956" s="11" t="n">
        <x:v>3</x:v>
      </x:c>
      <x:c r="I2956" s="19" t="n">
        <x:v>0.15</x:v>
      </x:c>
      <x:c r="J2956" s="11" t="n">
        <x:v>0</x:v>
      </x:c>
      <x:c r="K2956" s="20" t="n">
        <x:v>54</x:v>
      </x:c>
      <x:c r="L2956" s="20" t="n">
        <x:v>8.1</x:v>
      </x:c>
      <x:c r="M2956" s="20" t="n">
        <x:v>21</x:v>
      </x:c>
      <x:c r="N2956" s="20" t="n">
        <x:f>IF(J2956=1,0,K2956-L2956)</x:f>
        <x:v>45.9</x:v>
      </x:c>
      <x:c r="O2956" s="20" t="n">
        <x:f>N2956-M2956</x:f>
        <x:v>24.9</x:v>
      </x:c>
    </x:row>
    <x:row r="2957" ht="22" customHeight="1">
      <x:c r="A2957" s="11" t="n">
        <x:v>2953</x:v>
      </x:c>
      <x:c r="B2957" s="11" t="n">
        <x:v>1500</x:v>
      </x:c>
      <x:c r="C2957" s="18" t="n">
        <x:v>45333</x:v>
      </x:c>
      <x:c r="D2957" s="11" t="str">
        <x:v>2024-02</x:v>
      </x:c>
      <x:c r="E2957" s="11" t="str">
        <x:v>East</x:v>
      </x:c>
      <x:c r="F2957" s="11" t="str">
        <x:v>Furniture</x:v>
      </x:c>
      <x:c r="G2957" s="11" t="str">
        <x:v>Chair</x:v>
      </x:c>
      <x:c r="H2957" s="11" t="n">
        <x:v>1</x:v>
      </x:c>
      <x:c r="I2957" s="19" t="n">
        <x:v>0.25</x:v>
      </x:c>
      <x:c r="J2957" s="11" t="n">
        <x:v>0</x:v>
      </x:c>
      <x:c r="K2957" s="20" t="n">
        <x:v>170</x:v>
      </x:c>
      <x:c r="L2957" s="20" t="n">
        <x:v>42.5</x:v>
      </x:c>
      <x:c r="M2957" s="20" t="n">
        <x:v>110</x:v>
      </x:c>
      <x:c r="N2957" s="20" t="n">
        <x:f>IF(J2957=1,0,K2957-L2957)</x:f>
        <x:v>127.5</x:v>
      </x:c>
      <x:c r="O2957" s="20" t="n">
        <x:f>N2957-M2957</x:f>
        <x:v>17.5</x:v>
      </x:c>
    </x:row>
    <x:row r="2958" ht="22" customHeight="1">
      <x:c r="A2958" s="11" t="n">
        <x:v>2954</x:v>
      </x:c>
      <x:c r="B2958" s="11" t="n">
        <x:v>1500</x:v>
      </x:c>
      <x:c r="C2958" s="18" t="n">
        <x:v>45333</x:v>
      </x:c>
      <x:c r="D2958" s="11" t="str">
        <x:v>2024-02</x:v>
      </x:c>
      <x:c r="E2958" s="11" t="str">
        <x:v>East</x:v>
      </x:c>
      <x:c r="F2958" s="11" t="str">
        <x:v>Furniture</x:v>
      </x:c>
      <x:c r="G2958" s="11" t="str">
        <x:v>Desk</x:v>
      </x:c>
      <x:c r="H2958" s="11" t="n">
        <x:v>4</x:v>
      </x:c>
      <x:c r="I2958" s="19" t="n">
        <x:v>0</x:v>
      </x:c>
      <x:c r="J2958" s="11" t="n">
        <x:v>0</x:v>
      </x:c>
      <x:c r="K2958" s="20" t="n">
        <x:v>1120</x:v>
      </x:c>
      <x:c r="L2958" s="20" t="n">
        <x:v>0</x:v>
      </x:c>
      <x:c r="M2958" s="20" t="n">
        <x:v>760</x:v>
      </x:c>
      <x:c r="N2958" s="20" t="n">
        <x:f>IF(J2958=1,0,K2958-L2958)</x:f>
        <x:v>1120</x:v>
      </x:c>
      <x:c r="O2958" s="20" t="n">
        <x:f>N2958-M2958</x:f>
        <x:v>360</x:v>
      </x:c>
    </x:row>
    <x:row r="2959" ht="22" customHeight="1">
      <x:c r="A2959" s="11" t="n">
        <x:v>2955</x:v>
      </x:c>
      <x:c r="B2959" s="11" t="n">
        <x:v>1501</x:v>
      </x:c>
      <x:c r="C2959" s="18" t="n">
        <x:v>45411</x:v>
      </x:c>
      <x:c r="D2959" s="11" t="str">
        <x:v>2024-04</x:v>
      </x:c>
      <x:c r="E2959" s="11" t="str">
        <x:v>Central</x:v>
      </x:c>
      <x:c r="F2959" s="11" t="str">
        <x:v>Furniture</x:v>
      </x:c>
      <x:c r="G2959" s="11" t="str">
        <x:v>Chair</x:v>
      </x:c>
      <x:c r="H2959" s="11" t="n">
        <x:v>2</x:v>
      </x:c>
      <x:c r="I2959" s="19" t="n">
        <x:v>0.15</x:v>
      </x:c>
      <x:c r="J2959" s="11" t="n">
        <x:v>0</x:v>
      </x:c>
      <x:c r="K2959" s="20" t="n">
        <x:v>340</x:v>
      </x:c>
      <x:c r="L2959" s="20" t="n">
        <x:v>51</x:v>
      </x:c>
      <x:c r="M2959" s="20" t="n">
        <x:v>220</x:v>
      </x:c>
      <x:c r="N2959" s="20" t="n">
        <x:f>IF(J2959=1,0,K2959-L2959)</x:f>
        <x:v>289</x:v>
      </x:c>
      <x:c r="O2959" s="20" t="n">
        <x:f>N2959-M2959</x:f>
        <x:v>69</x:v>
      </x:c>
    </x:row>
    <x:row r="2960" ht="22" customHeight="1">
      <x:c r="A2960" s="11" t="n">
        <x:v>2956</x:v>
      </x:c>
      <x:c r="B2960" s="11" t="n">
        <x:v>1501</x:v>
      </x:c>
      <x:c r="C2960" s="18" t="n">
        <x:v>45411</x:v>
      </x:c>
      <x:c r="D2960" s="11" t="str">
        <x:v>2024-04</x:v>
      </x:c>
      <x:c r="E2960" s="11" t="str">
        <x:v>Central</x:v>
      </x:c>
      <x:c r="F2960" s="11" t="str">
        <x:v>Furniture</x:v>
      </x:c>
      <x:c r="G2960" s="11" t="str">
        <x:v>Desk</x:v>
      </x:c>
      <x:c r="H2960" s="11" t="n">
        <x:v>1</x:v>
      </x:c>
      <x:c r="I2960" s="19" t="n">
        <x:v>0</x:v>
      </x:c>
      <x:c r="J2960" s="11" t="n">
        <x:v>0</x:v>
      </x:c>
      <x:c r="K2960" s="20" t="n">
        <x:v>280</x:v>
      </x:c>
      <x:c r="L2960" s="20" t="n">
        <x:v>0</x:v>
      </x:c>
      <x:c r="M2960" s="20" t="n">
        <x:v>190</x:v>
      </x:c>
      <x:c r="N2960" s="20" t="n">
        <x:f>IF(J2960=1,0,K2960-L2960)</x:f>
        <x:v>280</x:v>
      </x:c>
      <x:c r="O2960" s="20" t="n">
        <x:f>N2960-M2960</x:f>
        <x:v>90</x:v>
      </x:c>
    </x:row>
    <x:row r="2961" ht="22" customHeight="1">
      <x:c r="A2961" s="11" t="n">
        <x:v>2957</x:v>
      </x:c>
      <x:c r="B2961" s="11" t="n">
        <x:v>1501</x:v>
      </x:c>
      <x:c r="C2961" s="18" t="n">
        <x:v>45411</x:v>
      </x:c>
      <x:c r="D2961" s="11" t="str">
        <x:v>2024-04</x:v>
      </x:c>
      <x:c r="E2961" s="11" t="str">
        <x:v>Central</x:v>
      </x:c>
      <x:c r="F2961" s="11" t="str">
        <x:v>Office Supplies</x:v>
      </x:c>
      <x:c r="G2961" s="11" t="str">
        <x:v>Notebook pack</x:v>
      </x:c>
      <x:c r="H2961" s="11" t="n">
        <x:v>4</x:v>
      </x:c>
      <x:c r="I2961" s="19" t="n">
        <x:v>0.15</x:v>
      </x:c>
      <x:c r="J2961" s="11" t="n">
        <x:v>1</x:v>
      </x:c>
      <x:c r="K2961" s="20" t="n">
        <x:v>72</x:v>
      </x:c>
      <x:c r="L2961" s="20" t="n">
        <x:v>10.8</x:v>
      </x:c>
      <x:c r="M2961" s="20" t="n">
        <x:v>0</x:v>
      </x:c>
      <x:c r="N2961" s="20" t="n">
        <x:f>IF(J2961=1,0,K2961-L2961)</x:f>
        <x:v>0</x:v>
      </x:c>
      <x:c r="O2961" s="20" t="n">
        <x:f>N2961-M2961</x:f>
        <x:v>0</x:v>
      </x:c>
    </x:row>
    <x:row r="2962" ht="22" customHeight="1">
      <x:c r="A2962" s="11" t="n">
        <x:v>2958</x:v>
      </x:c>
      <x:c r="B2962" s="11" t="n">
        <x:v>1502</x:v>
      </x:c>
      <x:c r="C2962" s="18" t="n">
        <x:v>45955</x:v>
      </x:c>
      <x:c r="D2962" s="11" t="str">
        <x:v>2025-10</x:v>
      </x:c>
      <x:c r="E2962" s="11" t="str">
        <x:v>West</x:v>
      </x:c>
      <x:c r="F2962" s="11" t="str">
        <x:v>Office Supplies</x:v>
      </x:c>
      <x:c r="G2962" s="11" t="str">
        <x:v>Storage box</x:v>
      </x:c>
      <x:c r="H2962" s="11" t="n">
        <x:v>1</x:v>
      </x:c>
      <x:c r="I2962" s="19" t="n">
        <x:v>0.05</x:v>
      </x:c>
      <x:c r="J2962" s="11" t="n">
        <x:v>1</x:v>
      </x:c>
      <x:c r="K2962" s="20" t="n">
        <x:v>26</x:v>
      </x:c>
      <x:c r="L2962" s="20" t="n">
        <x:v>1.3</x:v>
      </x:c>
      <x:c r="M2962" s="20" t="n">
        <x:v>0</x:v>
      </x:c>
      <x:c r="N2962" s="20" t="n">
        <x:f>IF(J2962=1,0,K2962-L2962)</x:f>
        <x:v>0</x:v>
      </x:c>
      <x:c r="O2962" s="20" t="n">
        <x:f>N2962-M2962</x:f>
        <x:v>0</x:v>
      </x:c>
    </x:row>
    <x:row r="2963" ht="22" customHeight="1">
      <x:c r="A2963" s="11" t="n">
        <x:v>2959</x:v>
      </x:c>
      <x:c r="B2963" s="11" t="n">
        <x:v>1502</x:v>
      </x:c>
      <x:c r="C2963" s="18" t="n">
        <x:v>45955</x:v>
      </x:c>
      <x:c r="D2963" s="11" t="str">
        <x:v>2025-10</x:v>
      </x:c>
      <x:c r="E2963" s="11" t="str">
        <x:v>West</x:v>
      </x:c>
      <x:c r="F2963" s="11" t="str">
        <x:v>Office Supplies</x:v>
      </x:c>
      <x:c r="G2963" s="11" t="str">
        <x:v>Notebook pack</x:v>
      </x:c>
      <x:c r="H2963" s="11" t="n">
        <x:v>4</x:v>
      </x:c>
      <x:c r="I2963" s="19" t="n">
        <x:v>0</x:v>
      </x:c>
      <x:c r="J2963" s="11" t="n">
        <x:v>0</x:v>
      </x:c>
      <x:c r="K2963" s="20" t="n">
        <x:v>72</x:v>
      </x:c>
      <x:c r="L2963" s="20" t="n">
        <x:v>0</x:v>
      </x:c>
      <x:c r="M2963" s="20" t="n">
        <x:v>28</x:v>
      </x:c>
      <x:c r="N2963" s="20" t="n">
        <x:f>IF(J2963=1,0,K2963-L2963)</x:f>
        <x:v>72</x:v>
      </x:c>
      <x:c r="O2963" s="20" t="n">
        <x:f>N2963-M2963</x:f>
        <x:v>44</x:v>
      </x:c>
    </x:row>
    <x:row r="2964" ht="22" customHeight="1">
      <x:c r="A2964" s="11" t="n">
        <x:v>2960</x:v>
      </x:c>
      <x:c r="B2964" s="11" t="n">
        <x:v>1503</x:v>
      </x:c>
      <x:c r="C2964" s="18" t="n">
        <x:v>45826</x:v>
      </x:c>
      <x:c r="D2964" s="11" t="str">
        <x:v>2025-06</x:v>
      </x:c>
      <x:c r="E2964" s="11" t="str">
        <x:v>South</x:v>
      </x:c>
      <x:c r="F2964" s="11" t="str">
        <x:v>Technology</x:v>
      </x:c>
      <x:c r="G2964" s="11" t="str">
        <x:v>Keyboard</x:v>
      </x:c>
      <x:c r="H2964" s="11" t="n">
        <x:v>3</x:v>
      </x:c>
      <x:c r="I2964" s="19" t="n">
        <x:v>0</x:v>
      </x:c>
      <x:c r="J2964" s="11" t="n">
        <x:v>0</x:v>
      </x:c>
      <x:c r="K2964" s="20" t="n">
        <x:v>195</x:v>
      </x:c>
      <x:c r="L2964" s="20" t="n">
        <x:v>0</x:v>
      </x:c>
      <x:c r="M2964" s="20" t="n">
        <x:v>96</x:v>
      </x:c>
      <x:c r="N2964" s="20" t="n">
        <x:f>IF(J2964=1,0,K2964-L2964)</x:f>
        <x:v>195</x:v>
      </x:c>
      <x:c r="O2964" s="20" t="n">
        <x:f>N2964-M2964</x:f>
        <x:v>99</x:v>
      </x:c>
    </x:row>
    <x:row r="2965" ht="22" customHeight="1">
      <x:c r="A2965" s="11" t="n">
        <x:v>2961</x:v>
      </x:c>
      <x:c r="B2965" s="11" t="n">
        <x:v>1503</x:v>
      </x:c>
      <x:c r="C2965" s="18" t="n">
        <x:v>45826</x:v>
      </x:c>
      <x:c r="D2965" s="11" t="str">
        <x:v>2025-06</x:v>
      </x:c>
      <x:c r="E2965" s="11" t="str">
        <x:v>South</x:v>
      </x:c>
      <x:c r="F2965" s="11" t="str">
        <x:v>Furniture</x:v>
      </x:c>
      <x:c r="G2965" s="11" t="str">
        <x:v>Chair</x:v>
      </x:c>
      <x:c r="H2965" s="11" t="n">
        <x:v>3</x:v>
      </x:c>
      <x:c r="I2965" s="19" t="n">
        <x:v>0</x:v>
      </x:c>
      <x:c r="J2965" s="11" t="n">
        <x:v>0</x:v>
      </x:c>
      <x:c r="K2965" s="20" t="n">
        <x:v>510</x:v>
      </x:c>
      <x:c r="L2965" s="20" t="n">
        <x:v>0</x:v>
      </x:c>
      <x:c r="M2965" s="20" t="n">
        <x:v>330</x:v>
      </x:c>
      <x:c r="N2965" s="20" t="n">
        <x:f>IF(J2965=1,0,K2965-L2965)</x:f>
        <x:v>510</x:v>
      </x:c>
      <x:c r="O2965" s="20" t="n">
        <x:f>N2965-M2965</x:f>
        <x:v>180</x:v>
      </x:c>
    </x:row>
    <x:row r="2966" ht="22" customHeight="1">
      <x:c r="A2966" s="11" t="n">
        <x:v>2962</x:v>
      </x:c>
      <x:c r="B2966" s="11" t="n">
        <x:v>1503</x:v>
      </x:c>
      <x:c r="C2966" s="18" t="n">
        <x:v>45826</x:v>
      </x:c>
      <x:c r="D2966" s="11" t="str">
        <x:v>2025-06</x:v>
      </x:c>
      <x:c r="E2966" s="11" t="str">
        <x:v>South</x:v>
      </x:c>
      <x:c r="F2966" s="11" t="str">
        <x:v>Furniture</x:v>
      </x:c>
      <x:c r="G2966" s="11" t="str">
        <x:v>Desk</x:v>
      </x:c>
      <x:c r="H2966" s="11" t="n">
        <x:v>4</x:v>
      </x:c>
      <x:c r="I2966" s="19" t="n">
        <x:v>0.35</x:v>
      </x:c>
      <x:c r="J2966" s="11" t="n">
        <x:v>0</x:v>
      </x:c>
      <x:c r="K2966" s="20" t="n">
        <x:v>1120</x:v>
      </x:c>
      <x:c r="L2966" s="20" t="n">
        <x:v>392</x:v>
      </x:c>
      <x:c r="M2966" s="20" t="n">
        <x:v>760</x:v>
      </x:c>
      <x:c r="N2966" s="20" t="n">
        <x:f>IF(J2966=1,0,K2966-L2966)</x:f>
        <x:v>728</x:v>
      </x:c>
      <x:c r="O2966" s="20" t="n">
        <x:f>N2966-M2966</x:f>
        <x:v>-32</x:v>
      </x:c>
    </x:row>
    <x:row r="2967" ht="22" customHeight="1">
      <x:c r="A2967" s="11" t="n">
        <x:v>2963</x:v>
      </x:c>
      <x:c r="B2967" s="11" t="n">
        <x:v>1504</x:v>
      </x:c>
      <x:c r="C2967" s="18" t="n">
        <x:v>45692</x:v>
      </x:c>
      <x:c r="D2967" s="11" t="str">
        <x:v>2025-02</x:v>
      </x:c>
      <x:c r="E2967" s="11" t="str">
        <x:v>Central</x:v>
      </x:c>
      <x:c r="F2967" s="11" t="str">
        <x:v>Technology</x:v>
      </x:c>
      <x:c r="G2967" s="11" t="str">
        <x:v>Keyboard</x:v>
      </x:c>
      <x:c r="H2967" s="11" t="n">
        <x:v>4</x:v>
      </x:c>
      <x:c r="I2967" s="19" t="n">
        <x:v>0</x:v>
      </x:c>
      <x:c r="J2967" s="11" t="n">
        <x:v>0</x:v>
      </x:c>
      <x:c r="K2967" s="20" t="n">
        <x:v>260</x:v>
      </x:c>
      <x:c r="L2967" s="20" t="n">
        <x:v>0</x:v>
      </x:c>
      <x:c r="M2967" s="20" t="n">
        <x:v>128</x:v>
      </x:c>
      <x:c r="N2967" s="20" t="n">
        <x:f>IF(J2967=1,0,K2967-L2967)</x:f>
        <x:v>260</x:v>
      </x:c>
      <x:c r="O2967" s="20" t="n">
        <x:f>N2967-M2967</x:f>
        <x:v>132</x:v>
      </x:c>
    </x:row>
    <x:row r="2968" ht="22" customHeight="1">
      <x:c r="A2968" s="11" t="n">
        <x:v>2964</x:v>
      </x:c>
      <x:c r="B2968" s="11" t="n">
        <x:v>1504</x:v>
      </x:c>
      <x:c r="C2968" s="18" t="n">
        <x:v>45692</x:v>
      </x:c>
      <x:c r="D2968" s="11" t="str">
        <x:v>2025-02</x:v>
      </x:c>
      <x:c r="E2968" s="11" t="str">
        <x:v>Central</x:v>
      </x:c>
      <x:c r="F2968" s="11" t="str">
        <x:v>Furniture</x:v>
      </x:c>
      <x:c r="G2968" s="11" t="str">
        <x:v>Chair</x:v>
      </x:c>
      <x:c r="H2968" s="11" t="n">
        <x:v>3</x:v>
      </x:c>
      <x:c r="I2968" s="19" t="n">
        <x:v>0</x:v>
      </x:c>
      <x:c r="J2968" s="11" t="n">
        <x:v>0</x:v>
      </x:c>
      <x:c r="K2968" s="20" t="n">
        <x:v>510</x:v>
      </x:c>
      <x:c r="L2968" s="20" t="n">
        <x:v>0</x:v>
      </x:c>
      <x:c r="M2968" s="20" t="n">
        <x:v>330</x:v>
      </x:c>
      <x:c r="N2968" s="20" t="n">
        <x:f>IF(J2968=1,0,K2968-L2968)</x:f>
        <x:v>510</x:v>
      </x:c>
      <x:c r="O2968" s="20" t="n">
        <x:f>N2968-M2968</x:f>
        <x:v>180</x:v>
      </x:c>
    </x:row>
    <x:row r="2969" ht="22" customHeight="1">
      <x:c r="A2969" s="11" t="n">
        <x:v>2965</x:v>
      </x:c>
      <x:c r="B2969" s="11" t="n">
        <x:v>1504</x:v>
      </x:c>
      <x:c r="C2969" s="18" t="n">
        <x:v>45692</x:v>
      </x:c>
      <x:c r="D2969" s="11" t="str">
        <x:v>2025-02</x:v>
      </x:c>
      <x:c r="E2969" s="11" t="str">
        <x:v>Central</x:v>
      </x:c>
      <x:c r="F2969" s="11" t="str">
        <x:v>Office Supplies</x:v>
      </x:c>
      <x:c r="G2969" s="11" t="str">
        <x:v>Storage box</x:v>
      </x:c>
      <x:c r="H2969" s="11" t="n">
        <x:v>1</x:v>
      </x:c>
      <x:c r="I2969" s="19" t="n">
        <x:v>0.1</x:v>
      </x:c>
      <x:c r="J2969" s="11" t="n">
        <x:v>0</x:v>
      </x:c>
      <x:c r="K2969" s="20" t="n">
        <x:v>26</x:v>
      </x:c>
      <x:c r="L2969" s="20" t="n">
        <x:v>2.6</x:v>
      </x:c>
      <x:c r="M2969" s="20" t="n">
        <x:v>12</x:v>
      </x:c>
      <x:c r="N2969" s="20" t="n">
        <x:f>IF(J2969=1,0,K2969-L2969)</x:f>
        <x:v>23.4</x:v>
      </x:c>
      <x:c r="O2969" s="20" t="n">
        <x:f>N2969-M2969</x:f>
        <x:v>11.399999999999999</x:v>
      </x:c>
    </x:row>
    <x:row r="2970" ht="22" customHeight="1">
      <x:c r="A2970" s="11" t="n">
        <x:v>2966</x:v>
      </x:c>
      <x:c r="B2970" s="11" t="n">
        <x:v>1505</x:v>
      </x:c>
      <x:c r="C2970" s="18" t="n">
        <x:v>45777</x:v>
      </x:c>
      <x:c r="D2970" s="11" t="str">
        <x:v>2025-04</x:v>
      </x:c>
      <x:c r="E2970" s="11" t="str">
        <x:v>West</x:v>
      </x:c>
      <x:c r="F2970" s="11" t="str">
        <x:v>Office Supplies</x:v>
      </x:c>
      <x:c r="G2970" s="11" t="str">
        <x:v>Notebook pack</x:v>
      </x:c>
      <x:c r="H2970" s="11" t="n">
        <x:v>5</x:v>
      </x:c>
      <x:c r="I2970" s="19" t="n">
        <x:v>0</x:v>
      </x:c>
      <x:c r="J2970" s="11" t="n">
        <x:v>0</x:v>
      </x:c>
      <x:c r="K2970" s="20" t="n">
        <x:v>90</x:v>
      </x:c>
      <x:c r="L2970" s="20" t="n">
        <x:v>0</x:v>
      </x:c>
      <x:c r="M2970" s="20" t="n">
        <x:v>35</x:v>
      </x:c>
      <x:c r="N2970" s="20" t="n">
        <x:f>IF(J2970=1,0,K2970-L2970)</x:f>
        <x:v>90</x:v>
      </x:c>
      <x:c r="O2970" s="20" t="n">
        <x:f>N2970-M2970</x:f>
        <x:v>55</x:v>
      </x:c>
    </x:row>
    <x:row r="2971" ht="22" customHeight="1">
      <x:c r="A2971" s="11" t="n">
        <x:v>2967</x:v>
      </x:c>
      <x:c r="B2971" s="11" t="n">
        <x:v>1506</x:v>
      </x:c>
      <x:c r="C2971" s="18" t="n">
        <x:v>45561</x:v>
      </x:c>
      <x:c r="D2971" s="11" t="str">
        <x:v>2024-09</x:v>
      </x:c>
      <x:c r="E2971" s="11" t="str">
        <x:v>East</x:v>
      </x:c>
      <x:c r="F2971" s="11" t="str">
        <x:v>Office Supplies</x:v>
      </x:c>
      <x:c r="G2971" s="11" t="str">
        <x:v>Storage box</x:v>
      </x:c>
      <x:c r="H2971" s="11" t="n">
        <x:v>1</x:v>
      </x:c>
      <x:c r="I2971" s="19" t="n">
        <x:v>0</x:v>
      </x:c>
      <x:c r="J2971" s="11" t="n">
        <x:v>0</x:v>
      </x:c>
      <x:c r="K2971" s="20" t="n">
        <x:v>26</x:v>
      </x:c>
      <x:c r="L2971" s="20" t="n">
        <x:v>0</x:v>
      </x:c>
      <x:c r="M2971" s="20" t="n">
        <x:v>12</x:v>
      </x:c>
      <x:c r="N2971" s="20" t="n">
        <x:f>IF(J2971=1,0,K2971-L2971)</x:f>
        <x:v>26</x:v>
      </x:c>
      <x:c r="O2971" s="20" t="n">
        <x:f>N2971-M2971</x:f>
        <x:v>14</x:v>
      </x:c>
    </x:row>
    <x:row r="2972" ht="22" customHeight="1">
      <x:c r="A2972" s="11" t="n">
        <x:v>2968</x:v>
      </x:c>
      <x:c r="B2972" s="11" t="n">
        <x:v>1506</x:v>
      </x:c>
      <x:c r="C2972" s="18" t="n">
        <x:v>45561</x:v>
      </x:c>
      <x:c r="D2972" s="11" t="str">
        <x:v>2024-09</x:v>
      </x:c>
      <x:c r="E2972" s="11" t="str">
        <x:v>East</x:v>
      </x:c>
      <x:c r="F2972" s="11" t="str">
        <x:v>Office Supplies</x:v>
      </x:c>
      <x:c r="G2972" s="11" t="str">
        <x:v>Notebook pack</x:v>
      </x:c>
      <x:c r="H2972" s="11" t="n">
        <x:v>4</x:v>
      </x:c>
      <x:c r="I2972" s="19" t="n">
        <x:v>0</x:v>
      </x:c>
      <x:c r="J2972" s="11" t="n">
        <x:v>0</x:v>
      </x:c>
      <x:c r="K2972" s="20" t="n">
        <x:v>72</x:v>
      </x:c>
      <x:c r="L2972" s="20" t="n">
        <x:v>0</x:v>
      </x:c>
      <x:c r="M2972" s="20" t="n">
        <x:v>28</x:v>
      </x:c>
      <x:c r="N2972" s="20" t="n">
        <x:f>IF(J2972=1,0,K2972-L2972)</x:f>
        <x:v>72</x:v>
      </x:c>
      <x:c r="O2972" s="20" t="n">
        <x:f>N2972-M2972</x:f>
        <x:v>44</x:v>
      </x:c>
    </x:row>
    <x:row r="2973" ht="22" customHeight="1">
      <x:c r="A2973" s="11" t="n">
        <x:v>2969</x:v>
      </x:c>
      <x:c r="B2973" s="11" t="n">
        <x:v>1506</x:v>
      </x:c>
      <x:c r="C2973" s="18" t="n">
        <x:v>45561</x:v>
      </x:c>
      <x:c r="D2973" s="11" t="str">
        <x:v>2024-09</x:v>
      </x:c>
      <x:c r="E2973" s="11" t="str">
        <x:v>East</x:v>
      </x:c>
      <x:c r="F2973" s="11" t="str">
        <x:v>Technology</x:v>
      </x:c>
      <x:c r="G2973" s="11" t="str">
        <x:v>Monitor</x:v>
      </x:c>
      <x:c r="H2973" s="11" t="n">
        <x:v>2</x:v>
      </x:c>
      <x:c r="I2973" s="19" t="n">
        <x:v>0.05</x:v>
      </x:c>
      <x:c r="J2973" s="11" t="n">
        <x:v>0</x:v>
      </x:c>
      <x:c r="K2973" s="20" t="n">
        <x:v>480</x:v>
      </x:c>
      <x:c r="L2973" s="20" t="n">
        <x:v>24</x:v>
      </x:c>
      <x:c r="M2973" s="20" t="n">
        <x:v>320</x:v>
      </x:c>
      <x:c r="N2973" s="20" t="n">
        <x:f>IF(J2973=1,0,K2973-L2973)</x:f>
        <x:v>456</x:v>
      </x:c>
      <x:c r="O2973" s="20" t="n">
        <x:f>N2973-M2973</x:f>
        <x:v>136</x:v>
      </x:c>
    </x:row>
    <x:row r="2974" ht="22" customHeight="1">
      <x:c r="A2974" s="11" t="n">
        <x:v>2970</x:v>
      </x:c>
      <x:c r="B2974" s="11" t="n">
        <x:v>1507</x:v>
      </x:c>
      <x:c r="C2974" s="18" t="n">
        <x:v>45467</x:v>
      </x:c>
      <x:c r="D2974" s="11" t="str">
        <x:v>2024-06</x:v>
      </x:c>
      <x:c r="E2974" s="11" t="str">
        <x:v>Central</x:v>
      </x:c>
      <x:c r="F2974" s="11" t="str">
        <x:v>Furniture</x:v>
      </x:c>
      <x:c r="G2974" s="11" t="str">
        <x:v>Desk</x:v>
      </x:c>
      <x:c r="H2974" s="11" t="n">
        <x:v>5</x:v>
      </x:c>
      <x:c r="I2974" s="19" t="n">
        <x:v>0</x:v>
      </x:c>
      <x:c r="J2974" s="11" t="n">
        <x:v>0</x:v>
      </x:c>
      <x:c r="K2974" s="20" t="n">
        <x:v>1400</x:v>
      </x:c>
      <x:c r="L2974" s="20" t="n">
        <x:v>0</x:v>
      </x:c>
      <x:c r="M2974" s="20" t="n">
        <x:v>950</x:v>
      </x:c>
      <x:c r="N2974" s="20" t="n">
        <x:f>IF(J2974=1,0,K2974-L2974)</x:f>
        <x:v>1400</x:v>
      </x:c>
      <x:c r="O2974" s="20" t="n">
        <x:f>N2974-M2974</x:f>
        <x:v>450</x:v>
      </x:c>
    </x:row>
    <x:row r="2975" ht="22" customHeight="1">
      <x:c r="A2975" s="11" t="n">
        <x:v>2971</x:v>
      </x:c>
      <x:c r="B2975" s="11" t="n">
        <x:v>1507</x:v>
      </x:c>
      <x:c r="C2975" s="18" t="n">
        <x:v>45467</x:v>
      </x:c>
      <x:c r="D2975" s="11" t="str">
        <x:v>2024-06</x:v>
      </x:c>
      <x:c r="E2975" s="11" t="str">
        <x:v>Central</x:v>
      </x:c>
      <x:c r="F2975" s="11" t="str">
        <x:v>Technology</x:v>
      </x:c>
      <x:c r="G2975" s="11" t="str">
        <x:v>Keyboard</x:v>
      </x:c>
      <x:c r="H2975" s="11" t="n">
        <x:v>2</x:v>
      </x:c>
      <x:c r="I2975" s="19" t="n">
        <x:v>0</x:v>
      </x:c>
      <x:c r="J2975" s="11" t="n">
        <x:v>0</x:v>
      </x:c>
      <x:c r="K2975" s="20" t="n">
        <x:v>130</x:v>
      </x:c>
      <x:c r="L2975" s="20" t="n">
        <x:v>0</x:v>
      </x:c>
      <x:c r="M2975" s="20" t="n">
        <x:v>64</x:v>
      </x:c>
      <x:c r="N2975" s="20" t="n">
        <x:f>IF(J2975=1,0,K2975-L2975)</x:f>
        <x:v>130</x:v>
      </x:c>
      <x:c r="O2975" s="20" t="n">
        <x:f>N2975-M2975</x:f>
        <x:v>66</x:v>
      </x:c>
    </x:row>
    <x:row r="2976" ht="22" customHeight="1">
      <x:c r="A2976" s="11" t="n">
        <x:v>2972</x:v>
      </x:c>
      <x:c r="B2976" s="11" t="n">
        <x:v>1508</x:v>
      </x:c>
      <x:c r="C2976" s="18" t="n">
        <x:v>45372</x:v>
      </x:c>
      <x:c r="D2976" s="11" t="str">
        <x:v>2024-03</x:v>
      </x:c>
      <x:c r="E2976" s="11" t="str">
        <x:v>Central</x:v>
      </x:c>
      <x:c r="F2976" s="11" t="str">
        <x:v>Technology</x:v>
      </x:c>
      <x:c r="G2976" s="11" t="str">
        <x:v>Keyboard</x:v>
      </x:c>
      <x:c r="H2976" s="11" t="n">
        <x:v>1</x:v>
      </x:c>
      <x:c r="I2976" s="19" t="n">
        <x:v>0</x:v>
      </x:c>
      <x:c r="J2976" s="11" t="n">
        <x:v>0</x:v>
      </x:c>
      <x:c r="K2976" s="20" t="n">
        <x:v>65</x:v>
      </x:c>
      <x:c r="L2976" s="20" t="n">
        <x:v>0</x:v>
      </x:c>
      <x:c r="M2976" s="20" t="n">
        <x:v>32</x:v>
      </x:c>
      <x:c r="N2976" s="20" t="n">
        <x:f>IF(J2976=1,0,K2976-L2976)</x:f>
        <x:v>65</x:v>
      </x:c>
      <x:c r="O2976" s="20" t="n">
        <x:f>N2976-M2976</x:f>
        <x:v>33</x:v>
      </x:c>
    </x:row>
    <x:row r="2977" ht="22" customHeight="1">
      <x:c r="A2977" s="11" t="n">
        <x:v>2973</x:v>
      </x:c>
      <x:c r="B2977" s="11" t="n">
        <x:v>1509</x:v>
      </x:c>
      <x:c r="C2977" s="18" t="n">
        <x:v>45535</x:v>
      </x:c>
      <x:c r="D2977" s="11" t="str">
        <x:v>2024-08</x:v>
      </x:c>
      <x:c r="E2977" s="11" t="str">
        <x:v>Central</x:v>
      </x:c>
      <x:c r="F2977" s="11" t="str">
        <x:v>Technology</x:v>
      </x:c>
      <x:c r="G2977" s="11" t="str">
        <x:v>Keyboard</x:v>
      </x:c>
      <x:c r="H2977" s="11" t="n">
        <x:v>4</x:v>
      </x:c>
      <x:c r="I2977" s="19" t="n">
        <x:v>0.15</x:v>
      </x:c>
      <x:c r="J2977" s="11" t="n">
        <x:v>0</x:v>
      </x:c>
      <x:c r="K2977" s="20" t="n">
        <x:v>260</x:v>
      </x:c>
      <x:c r="L2977" s="20" t="n">
        <x:v>39</x:v>
      </x:c>
      <x:c r="M2977" s="20" t="n">
        <x:v>128</x:v>
      </x:c>
      <x:c r="N2977" s="20" t="n">
        <x:f>IF(J2977=1,0,K2977-L2977)</x:f>
        <x:v>221</x:v>
      </x:c>
      <x:c r="O2977" s="20" t="n">
        <x:f>N2977-M2977</x:f>
        <x:v>93</x:v>
      </x:c>
    </x:row>
    <x:row r="2978" ht="22" customHeight="1">
      <x:c r="A2978" s="11" t="n">
        <x:v>2974</x:v>
      </x:c>
      <x:c r="B2978" s="11" t="n">
        <x:v>1510</x:v>
      </x:c>
      <x:c r="C2978" s="18" t="n">
        <x:v>45645</x:v>
      </x:c>
      <x:c r="D2978" s="11" t="str">
        <x:v>2024-12</x:v>
      </x:c>
      <x:c r="E2978" s="11" t="str">
        <x:v>South</x:v>
      </x:c>
      <x:c r="F2978" s="11" t="str">
        <x:v>Furniture</x:v>
      </x:c>
      <x:c r="G2978" s="11" t="str">
        <x:v>Chair</x:v>
      </x:c>
      <x:c r="H2978" s="11" t="n">
        <x:v>4</x:v>
      </x:c>
      <x:c r="I2978" s="19" t="n">
        <x:v>0</x:v>
      </x:c>
      <x:c r="J2978" s="11" t="n">
        <x:v>0</x:v>
      </x:c>
      <x:c r="K2978" s="20" t="n">
        <x:v>680</x:v>
      </x:c>
      <x:c r="L2978" s="20" t="n">
        <x:v>0</x:v>
      </x:c>
      <x:c r="M2978" s="20" t="n">
        <x:v>440</x:v>
      </x:c>
      <x:c r="N2978" s="20" t="n">
        <x:f>IF(J2978=1,0,K2978-L2978)</x:f>
        <x:v>680</x:v>
      </x:c>
      <x:c r="O2978" s="20" t="n">
        <x:f>N2978-M2978</x:f>
        <x:v>240</x:v>
      </x:c>
    </x:row>
    <x:row r="2979" ht="22" customHeight="1">
      <x:c r="A2979" s="11" t="n">
        <x:v>2975</x:v>
      </x:c>
      <x:c r="B2979" s="11" t="n">
        <x:v>1511</x:v>
      </x:c>
      <x:c r="C2979" s="18" t="n">
        <x:v>45850</x:v>
      </x:c>
      <x:c r="D2979" s="11" t="str">
        <x:v>2025-07</x:v>
      </x:c>
      <x:c r="E2979" s="11" t="str">
        <x:v>West</x:v>
      </x:c>
      <x:c r="F2979" s="11" t="str">
        <x:v>Office Supplies</x:v>
      </x:c>
      <x:c r="G2979" s="11" t="str">
        <x:v>Notebook pack</x:v>
      </x:c>
      <x:c r="H2979" s="11" t="n">
        <x:v>2</x:v>
      </x:c>
      <x:c r="I2979" s="19" t="n">
        <x:v>0.15</x:v>
      </x:c>
      <x:c r="J2979" s="11" t="n">
        <x:v>0</x:v>
      </x:c>
      <x:c r="K2979" s="20" t="n">
        <x:v>36</x:v>
      </x:c>
      <x:c r="L2979" s="20" t="n">
        <x:v>5.4</x:v>
      </x:c>
      <x:c r="M2979" s="20" t="n">
        <x:v>14</x:v>
      </x:c>
      <x:c r="N2979" s="20" t="n">
        <x:f>IF(J2979=1,0,K2979-L2979)</x:f>
        <x:v>30.6</x:v>
      </x:c>
      <x:c r="O2979" s="20" t="n">
        <x:f>N2979-M2979</x:f>
        <x:v>16.6</x:v>
      </x:c>
    </x:row>
    <x:row r="2980" ht="22" customHeight="1">
      <x:c r="A2980" s="11" t="n">
        <x:v>2976</x:v>
      </x:c>
      <x:c r="B2980" s="11" t="n">
        <x:v>1511</x:v>
      </x:c>
      <x:c r="C2980" s="18" t="n">
        <x:v>45850</x:v>
      </x:c>
      <x:c r="D2980" s="11" t="str">
        <x:v>2025-07</x:v>
      </x:c>
      <x:c r="E2980" s="11" t="str">
        <x:v>West</x:v>
      </x:c>
      <x:c r="F2980" s="11" t="str">
        <x:v>Furniture</x:v>
      </x:c>
      <x:c r="G2980" s="11" t="str">
        <x:v>Desk</x:v>
      </x:c>
      <x:c r="H2980" s="11" t="n">
        <x:v>2</x:v>
      </x:c>
      <x:c r="I2980" s="19" t="n">
        <x:v>0.25</x:v>
      </x:c>
      <x:c r="J2980" s="11" t="n">
        <x:v>0</x:v>
      </x:c>
      <x:c r="K2980" s="20" t="n">
        <x:v>560</x:v>
      </x:c>
      <x:c r="L2980" s="20" t="n">
        <x:v>140</x:v>
      </x:c>
      <x:c r="M2980" s="20" t="n">
        <x:v>380</x:v>
      </x:c>
      <x:c r="N2980" s="20" t="n">
        <x:f>IF(J2980=1,0,K2980-L2980)</x:f>
        <x:v>420</x:v>
      </x:c>
      <x:c r="O2980" s="20" t="n">
        <x:f>N2980-M2980</x:f>
        <x:v>40</x:v>
      </x:c>
    </x:row>
    <x:row r="2981" ht="22" customHeight="1">
      <x:c r="A2981" s="11" t="n">
        <x:v>2977</x:v>
      </x:c>
      <x:c r="B2981" s="11" t="n">
        <x:v>1512</x:v>
      </x:c>
      <x:c r="C2981" s="18" t="n">
        <x:v>45336</x:v>
      </x:c>
      <x:c r="D2981" s="11" t="str">
        <x:v>2024-02</x:v>
      </x:c>
      <x:c r="E2981" s="11" t="str">
        <x:v>West</x:v>
      </x:c>
      <x:c r="F2981" s="11" t="str">
        <x:v>Technology</x:v>
      </x:c>
      <x:c r="G2981" s="11" t="str">
        <x:v>Monitor</x:v>
      </x:c>
      <x:c r="H2981" s="11" t="n">
        <x:v>2</x:v>
      </x:c>
      <x:c r="I2981" s="19" t="n">
        <x:v>0.1</x:v>
      </x:c>
      <x:c r="J2981" s="11" t="n">
        <x:v>0</x:v>
      </x:c>
      <x:c r="K2981" s="20" t="n">
        <x:v>480</x:v>
      </x:c>
      <x:c r="L2981" s="20" t="n">
        <x:v>48</x:v>
      </x:c>
      <x:c r="M2981" s="20" t="n">
        <x:v>320</x:v>
      </x:c>
      <x:c r="N2981" s="20" t="n">
        <x:f>IF(J2981=1,0,K2981-L2981)</x:f>
        <x:v>432</x:v>
      </x:c>
      <x:c r="O2981" s="20" t="n">
        <x:f>N2981-M2981</x:f>
        <x:v>112</x:v>
      </x:c>
    </x:row>
    <x:row r="2982" ht="22" customHeight="1">
      <x:c r="A2982" s="11" t="n">
        <x:v>2978</x:v>
      </x:c>
      <x:c r="B2982" s="11" t="n">
        <x:v>1512</x:v>
      </x:c>
      <x:c r="C2982" s="18" t="n">
        <x:v>45336</x:v>
      </x:c>
      <x:c r="D2982" s="11" t="str">
        <x:v>2024-02</x:v>
      </x:c>
      <x:c r="E2982" s="11" t="str">
        <x:v>West</x:v>
      </x:c>
      <x:c r="F2982" s="11" t="str">
        <x:v>Furniture</x:v>
      </x:c>
      <x:c r="G2982" s="11" t="str">
        <x:v>Desk</x:v>
      </x:c>
      <x:c r="H2982" s="11" t="n">
        <x:v>3</x:v>
      </x:c>
      <x:c r="I2982" s="19" t="n">
        <x:v>0</x:v>
      </x:c>
      <x:c r="J2982" s="11" t="n">
        <x:v>0</x:v>
      </x:c>
      <x:c r="K2982" s="20" t="n">
        <x:v>840</x:v>
      </x:c>
      <x:c r="L2982" s="20" t="n">
        <x:v>0</x:v>
      </x:c>
      <x:c r="M2982" s="20" t="n">
        <x:v>570</x:v>
      </x:c>
      <x:c r="N2982" s="20" t="n">
        <x:f>IF(J2982=1,0,K2982-L2982)</x:f>
        <x:v>840</x:v>
      </x:c>
      <x:c r="O2982" s="20" t="n">
        <x:f>N2982-M2982</x:f>
        <x:v>270</x:v>
      </x:c>
    </x:row>
    <x:row r="2983" ht="22" customHeight="1">
      <x:c r="A2983" s="11" t="n">
        <x:v>2979</x:v>
      </x:c>
      <x:c r="B2983" s="11" t="n">
        <x:v>1513</x:v>
      </x:c>
      <x:c r="C2983" s="18" t="n">
        <x:v>45839</x:v>
      </x:c>
      <x:c r="D2983" s="11" t="str">
        <x:v>2025-07</x:v>
      </x:c>
      <x:c r="E2983" s="11" t="str">
        <x:v>West</x:v>
      </x:c>
      <x:c r="F2983" s="11" t="str">
        <x:v>Office Supplies</x:v>
      </x:c>
      <x:c r="G2983" s="11" t="str">
        <x:v>Storage box</x:v>
      </x:c>
      <x:c r="H2983" s="11" t="n">
        <x:v>5</x:v>
      </x:c>
      <x:c r="I2983" s="19" t="n">
        <x:v>0</x:v>
      </x:c>
      <x:c r="J2983" s="11" t="n">
        <x:v>0</x:v>
      </x:c>
      <x:c r="K2983" s="20" t="n">
        <x:v>130</x:v>
      </x:c>
      <x:c r="L2983" s="20" t="n">
        <x:v>0</x:v>
      </x:c>
      <x:c r="M2983" s="20" t="n">
        <x:v>60</x:v>
      </x:c>
      <x:c r="N2983" s="20" t="n">
        <x:f>IF(J2983=1,0,K2983-L2983)</x:f>
        <x:v>130</x:v>
      </x:c>
      <x:c r="O2983" s="20" t="n">
        <x:f>N2983-M2983</x:f>
        <x:v>70</x:v>
      </x:c>
    </x:row>
    <x:row r="2984" ht="22" customHeight="1">
      <x:c r="A2984" s="11" t="n">
        <x:v>2980</x:v>
      </x:c>
      <x:c r="B2984" s="11" t="n">
        <x:v>1513</x:v>
      </x:c>
      <x:c r="C2984" s="18" t="n">
        <x:v>45839</x:v>
      </x:c>
      <x:c r="D2984" s="11" t="str">
        <x:v>2025-07</x:v>
      </x:c>
      <x:c r="E2984" s="11" t="str">
        <x:v>West</x:v>
      </x:c>
      <x:c r="F2984" s="11" t="str">
        <x:v>Technology</x:v>
      </x:c>
      <x:c r="G2984" s="11" t="str">
        <x:v>Keyboard</x:v>
      </x:c>
      <x:c r="H2984" s="11" t="n">
        <x:v>1</x:v>
      </x:c>
      <x:c r="I2984" s="19" t="n">
        <x:v>0</x:v>
      </x:c>
      <x:c r="J2984" s="11" t="n">
        <x:v>0</x:v>
      </x:c>
      <x:c r="K2984" s="20" t="n">
        <x:v>65</x:v>
      </x:c>
      <x:c r="L2984" s="20" t="n">
        <x:v>0</x:v>
      </x:c>
      <x:c r="M2984" s="20" t="n">
        <x:v>32</x:v>
      </x:c>
      <x:c r="N2984" s="20" t="n">
        <x:f>IF(J2984=1,0,K2984-L2984)</x:f>
        <x:v>65</x:v>
      </x:c>
      <x:c r="O2984" s="20" t="n">
        <x:f>N2984-M2984</x:f>
        <x:v>33</x:v>
      </x:c>
    </x:row>
    <x:row r="2985" ht="22" customHeight="1">
      <x:c r="A2985" s="11" t="n">
        <x:v>2981</x:v>
      </x:c>
      <x:c r="B2985" s="11" t="n">
        <x:v>1514</x:v>
      </x:c>
      <x:c r="C2985" s="18" t="n">
        <x:v>45946</x:v>
      </x:c>
      <x:c r="D2985" s="11" t="str">
        <x:v>2025-10</x:v>
      </x:c>
      <x:c r="E2985" s="11" t="str">
        <x:v>Central</x:v>
      </x:c>
      <x:c r="F2985" s="11" t="str">
        <x:v>Office Supplies</x:v>
      </x:c>
      <x:c r="G2985" s="11" t="str">
        <x:v>Notebook pack</x:v>
      </x:c>
      <x:c r="H2985" s="11" t="n">
        <x:v>2</x:v>
      </x:c>
      <x:c r="I2985" s="19" t="n">
        <x:v>0.05</x:v>
      </x:c>
      <x:c r="J2985" s="11" t="n">
        <x:v>0</x:v>
      </x:c>
      <x:c r="K2985" s="20" t="n">
        <x:v>36</x:v>
      </x:c>
      <x:c r="L2985" s="20" t="n">
        <x:v>1.8</x:v>
      </x:c>
      <x:c r="M2985" s="20" t="n">
        <x:v>14</x:v>
      </x:c>
      <x:c r="N2985" s="20" t="n">
        <x:f>IF(J2985=1,0,K2985-L2985)</x:f>
        <x:v>34.2</x:v>
      </x:c>
      <x:c r="O2985" s="20" t="n">
        <x:f>N2985-M2985</x:f>
        <x:v>20.200000000000003</x:v>
      </x:c>
    </x:row>
    <x:row r="2986" ht="22" customHeight="1">
      <x:c r="A2986" s="11" t="n">
        <x:v>2982</x:v>
      </x:c>
      <x:c r="B2986" s="11" t="n">
        <x:v>1514</x:v>
      </x:c>
      <x:c r="C2986" s="18" t="n">
        <x:v>45946</x:v>
      </x:c>
      <x:c r="D2986" s="11" t="str">
        <x:v>2025-10</x:v>
      </x:c>
      <x:c r="E2986" s="11" t="str">
        <x:v>Central</x:v>
      </x:c>
      <x:c r="F2986" s="11" t="str">
        <x:v>Furniture</x:v>
      </x:c>
      <x:c r="G2986" s="11" t="str">
        <x:v>Chair</x:v>
      </x:c>
      <x:c r="H2986" s="11" t="n">
        <x:v>4</x:v>
      </x:c>
      <x:c r="I2986" s="19" t="n">
        <x:v>0</x:v>
      </x:c>
      <x:c r="J2986" s="11" t="n">
        <x:v>0</x:v>
      </x:c>
      <x:c r="K2986" s="20" t="n">
        <x:v>680</x:v>
      </x:c>
      <x:c r="L2986" s="20" t="n">
        <x:v>0</x:v>
      </x:c>
      <x:c r="M2986" s="20" t="n">
        <x:v>440</x:v>
      </x:c>
      <x:c r="N2986" s="20" t="n">
        <x:f>IF(J2986=1,0,K2986-L2986)</x:f>
        <x:v>680</x:v>
      </x:c>
      <x:c r="O2986" s="20" t="n">
        <x:f>N2986-M2986</x:f>
        <x:v>240</x:v>
      </x:c>
    </x:row>
    <x:row r="2987" ht="22" customHeight="1">
      <x:c r="A2987" s="11" t="n">
        <x:v>2983</x:v>
      </x:c>
      <x:c r="B2987" s="11" t="n">
        <x:v>1514</x:v>
      </x:c>
      <x:c r="C2987" s="18" t="n">
        <x:v>45946</x:v>
      </x:c>
      <x:c r="D2987" s="11" t="str">
        <x:v>2025-10</x:v>
      </x:c>
      <x:c r="E2987" s="11" t="str">
        <x:v>Central</x:v>
      </x:c>
      <x:c r="F2987" s="11" t="str">
        <x:v>Furniture</x:v>
      </x:c>
      <x:c r="G2987" s="11" t="str">
        <x:v>Desk</x:v>
      </x:c>
      <x:c r="H2987" s="11" t="n">
        <x:v>3</x:v>
      </x:c>
      <x:c r="I2987" s="19" t="n">
        <x:v>0.35</x:v>
      </x:c>
      <x:c r="J2987" s="11" t="n">
        <x:v>0</x:v>
      </x:c>
      <x:c r="K2987" s="20" t="n">
        <x:v>840</x:v>
      </x:c>
      <x:c r="L2987" s="20" t="n">
        <x:v>294</x:v>
      </x:c>
      <x:c r="M2987" s="20" t="n">
        <x:v>570</x:v>
      </x:c>
      <x:c r="N2987" s="20" t="n">
        <x:f>IF(J2987=1,0,K2987-L2987)</x:f>
        <x:v>546</x:v>
      </x:c>
      <x:c r="O2987" s="20" t="n">
        <x:f>N2987-M2987</x:f>
        <x:v>-24</x:v>
      </x:c>
    </x:row>
    <x:row r="2988" ht="22" customHeight="1">
      <x:c r="A2988" s="11" t="n">
        <x:v>2984</x:v>
      </x:c>
      <x:c r="B2988" s="11" t="n">
        <x:v>1515</x:v>
      </x:c>
      <x:c r="C2988" s="18" t="n">
        <x:v>45995</x:v>
      </x:c>
      <x:c r="D2988" s="11" t="str">
        <x:v>2025-12</x:v>
      </x:c>
      <x:c r="E2988" s="11" t="str">
        <x:v>East</x:v>
      </x:c>
      <x:c r="F2988" s="11" t="str">
        <x:v>Technology</x:v>
      </x:c>
      <x:c r="G2988" s="11" t="str">
        <x:v>Keyboard</x:v>
      </x:c>
      <x:c r="H2988" s="11" t="n">
        <x:v>2</x:v>
      </x:c>
      <x:c r="I2988" s="19" t="n">
        <x:v>0.15</x:v>
      </x:c>
      <x:c r="J2988" s="11" t="n">
        <x:v>0</x:v>
      </x:c>
      <x:c r="K2988" s="20" t="n">
        <x:v>130</x:v>
      </x:c>
      <x:c r="L2988" s="20" t="n">
        <x:v>19.5</x:v>
      </x:c>
      <x:c r="M2988" s="20" t="n">
        <x:v>64</x:v>
      </x:c>
      <x:c r="N2988" s="20" t="n">
        <x:f>IF(J2988=1,0,K2988-L2988)</x:f>
        <x:v>110.5</x:v>
      </x:c>
      <x:c r="O2988" s="20" t="n">
        <x:f>N2988-M2988</x:f>
        <x:v>46.5</x:v>
      </x:c>
    </x:row>
    <x:row r="2989" ht="22" customHeight="1">
      <x:c r="A2989" s="11" t="n">
        <x:v>2985</x:v>
      </x:c>
      <x:c r="B2989" s="11" t="n">
        <x:v>1516</x:v>
      </x:c>
      <x:c r="C2989" s="18" t="n">
        <x:v>45409</x:v>
      </x:c>
      <x:c r="D2989" s="11" t="str">
        <x:v>2024-04</x:v>
      </x:c>
      <x:c r="E2989" s="11" t="str">
        <x:v>Central</x:v>
      </x:c>
      <x:c r="F2989" s="11" t="str">
        <x:v>Office Supplies</x:v>
      </x:c>
      <x:c r="G2989" s="11" t="str">
        <x:v>Storage box</x:v>
      </x:c>
      <x:c r="H2989" s="11" t="n">
        <x:v>1</x:v>
      </x:c>
      <x:c r="I2989" s="19" t="n">
        <x:v>0.05</x:v>
      </x:c>
      <x:c r="J2989" s="11" t="n">
        <x:v>0</x:v>
      </x:c>
      <x:c r="K2989" s="20" t="n">
        <x:v>26</x:v>
      </x:c>
      <x:c r="L2989" s="20" t="n">
        <x:v>1.3</x:v>
      </x:c>
      <x:c r="M2989" s="20" t="n">
        <x:v>12</x:v>
      </x:c>
      <x:c r="N2989" s="20" t="n">
        <x:f>IF(J2989=1,0,K2989-L2989)</x:f>
        <x:v>24.7</x:v>
      </x:c>
      <x:c r="O2989" s="20" t="n">
        <x:f>N2989-M2989</x:f>
        <x:v>12.7</x:v>
      </x:c>
    </x:row>
    <x:row r="2990" ht="22" customHeight="1">
      <x:c r="A2990" s="11" t="n">
        <x:v>2986</x:v>
      </x:c>
      <x:c r="B2990" s="11" t="n">
        <x:v>1516</x:v>
      </x:c>
      <x:c r="C2990" s="18" t="n">
        <x:v>45409</x:v>
      </x:c>
      <x:c r="D2990" s="11" t="str">
        <x:v>2024-04</x:v>
      </x:c>
      <x:c r="E2990" s="11" t="str">
        <x:v>Central</x:v>
      </x:c>
      <x:c r="F2990" s="11" t="str">
        <x:v>Technology</x:v>
      </x:c>
      <x:c r="G2990" s="11" t="str">
        <x:v>Monitor</x:v>
      </x:c>
      <x:c r="H2990" s="11" t="n">
        <x:v>4</x:v>
      </x:c>
      <x:c r="I2990" s="19" t="n">
        <x:v>0</x:v>
      </x:c>
      <x:c r="J2990" s="11" t="n">
        <x:v>0</x:v>
      </x:c>
      <x:c r="K2990" s="20" t="n">
        <x:v>960</x:v>
      </x:c>
      <x:c r="L2990" s="20" t="n">
        <x:v>0</x:v>
      </x:c>
      <x:c r="M2990" s="20" t="n">
        <x:v>640</x:v>
      </x:c>
      <x:c r="N2990" s="20" t="n">
        <x:f>IF(J2990=1,0,K2990-L2990)</x:f>
        <x:v>960</x:v>
      </x:c>
      <x:c r="O2990" s="20" t="n">
        <x:f>N2990-M2990</x:f>
        <x:v>320</x:v>
      </x:c>
    </x:row>
    <x:row r="2991" ht="22" customHeight="1">
      <x:c r="A2991" s="11" t="n">
        <x:v>2987</x:v>
      </x:c>
      <x:c r="B2991" s="11" t="n">
        <x:v>1516</x:v>
      </x:c>
      <x:c r="C2991" s="18" t="n">
        <x:v>45409</x:v>
      </x:c>
      <x:c r="D2991" s="11" t="str">
        <x:v>2024-04</x:v>
      </x:c>
      <x:c r="E2991" s="11" t="str">
        <x:v>Central</x:v>
      </x:c>
      <x:c r="F2991" s="11" t="str">
        <x:v>Technology</x:v>
      </x:c>
      <x:c r="G2991" s="11" t="str">
        <x:v>Keyboard</x:v>
      </x:c>
      <x:c r="H2991" s="11" t="n">
        <x:v>5</x:v>
      </x:c>
      <x:c r="I2991" s="19" t="n">
        <x:v>0.15</x:v>
      </x:c>
      <x:c r="J2991" s="11" t="n">
        <x:v>0</x:v>
      </x:c>
      <x:c r="K2991" s="20" t="n">
        <x:v>325</x:v>
      </x:c>
      <x:c r="L2991" s="20" t="n">
        <x:v>48.75</x:v>
      </x:c>
      <x:c r="M2991" s="20" t="n">
        <x:v>160</x:v>
      </x:c>
      <x:c r="N2991" s="20" t="n">
        <x:f>IF(J2991=1,0,K2991-L2991)</x:f>
        <x:v>276.25</x:v>
      </x:c>
      <x:c r="O2991" s="20" t="n">
        <x:f>N2991-M2991</x:f>
        <x:v>116.25</x:v>
      </x:c>
    </x:row>
    <x:row r="2992" ht="22" customHeight="1">
      <x:c r="A2992" s="11" t="n">
        <x:v>2988</x:v>
      </x:c>
      <x:c r="B2992" s="11" t="n">
        <x:v>1517</x:v>
      </x:c>
      <x:c r="C2992" s="18" t="n">
        <x:v>45730</x:v>
      </x:c>
      <x:c r="D2992" s="11" t="str">
        <x:v>2025-03</x:v>
      </x:c>
      <x:c r="E2992" s="11" t="str">
        <x:v>South</x:v>
      </x:c>
      <x:c r="F2992" s="11" t="str">
        <x:v>Technology</x:v>
      </x:c>
      <x:c r="G2992" s="11" t="str">
        <x:v>Keyboard</x:v>
      </x:c>
      <x:c r="H2992" s="11" t="n">
        <x:v>4</x:v>
      </x:c>
      <x:c r="I2992" s="19" t="n">
        <x:v>0.1</x:v>
      </x:c>
      <x:c r="J2992" s="11" t="n">
        <x:v>0</x:v>
      </x:c>
      <x:c r="K2992" s="20" t="n">
        <x:v>260</x:v>
      </x:c>
      <x:c r="L2992" s="20" t="n">
        <x:v>26</x:v>
      </x:c>
      <x:c r="M2992" s="20" t="n">
        <x:v>128</x:v>
      </x:c>
      <x:c r="N2992" s="20" t="n">
        <x:f>IF(J2992=1,0,K2992-L2992)</x:f>
        <x:v>234</x:v>
      </x:c>
      <x:c r="O2992" s="20" t="n">
        <x:f>N2992-M2992</x:f>
        <x:v>106</x:v>
      </x:c>
    </x:row>
    <x:row r="2993" ht="22" customHeight="1">
      <x:c r="A2993" s="11" t="n">
        <x:v>2989</x:v>
      </x:c>
      <x:c r="B2993" s="11" t="n">
        <x:v>1517</x:v>
      </x:c>
      <x:c r="C2993" s="18" t="n">
        <x:v>45730</x:v>
      </x:c>
      <x:c r="D2993" s="11" t="str">
        <x:v>2025-03</x:v>
      </x:c>
      <x:c r="E2993" s="11" t="str">
        <x:v>South</x:v>
      </x:c>
      <x:c r="F2993" s="11" t="str">
        <x:v>Furniture</x:v>
      </x:c>
      <x:c r="G2993" s="11" t="str">
        <x:v>Desk</x:v>
      </x:c>
      <x:c r="H2993" s="11" t="n">
        <x:v>4</x:v>
      </x:c>
      <x:c r="I2993" s="19" t="n">
        <x:v>0</x:v>
      </x:c>
      <x:c r="J2993" s="11" t="n">
        <x:v>0</x:v>
      </x:c>
      <x:c r="K2993" s="20" t="n">
        <x:v>1120</x:v>
      </x:c>
      <x:c r="L2993" s="20" t="n">
        <x:v>0</x:v>
      </x:c>
      <x:c r="M2993" s="20" t="n">
        <x:v>760</x:v>
      </x:c>
      <x:c r="N2993" s="20" t="n">
        <x:f>IF(J2993=1,0,K2993-L2993)</x:f>
        <x:v>1120</x:v>
      </x:c>
      <x:c r="O2993" s="20" t="n">
        <x:f>N2993-M2993</x:f>
        <x:v>360</x:v>
      </x:c>
    </x:row>
    <x:row r="2994" ht="22" customHeight="1">
      <x:c r="A2994" s="11" t="n">
        <x:v>2990</x:v>
      </x:c>
      <x:c r="B2994" s="11" t="n">
        <x:v>1518</x:v>
      </x:c>
      <x:c r="C2994" s="18" t="n">
        <x:v>45307</x:v>
      </x:c>
      <x:c r="D2994" s="11" t="str">
        <x:v>2024-01</x:v>
      </x:c>
      <x:c r="E2994" s="11" t="str">
        <x:v>East</x:v>
      </x:c>
      <x:c r="F2994" s="11" t="str">
        <x:v>Office Supplies</x:v>
      </x:c>
      <x:c r="G2994" s="11" t="str">
        <x:v>Notebook pack</x:v>
      </x:c>
      <x:c r="H2994" s="11" t="n">
        <x:v>1</x:v>
      </x:c>
      <x:c r="I2994" s="19" t="n">
        <x:v>0</x:v>
      </x:c>
      <x:c r="J2994" s="11" t="n">
        <x:v>0</x:v>
      </x:c>
      <x:c r="K2994" s="20" t="n">
        <x:v>18</x:v>
      </x:c>
      <x:c r="L2994" s="20" t="n">
        <x:v>0</x:v>
      </x:c>
      <x:c r="M2994" s="20" t="n">
        <x:v>7</x:v>
      </x:c>
      <x:c r="N2994" s="20" t="n">
        <x:f>IF(J2994=1,0,K2994-L2994)</x:f>
        <x:v>18</x:v>
      </x:c>
      <x:c r="O2994" s="20" t="n">
        <x:f>N2994-M2994</x:f>
        <x:v>11</x:v>
      </x:c>
    </x:row>
    <x:row r="2995" ht="22" customHeight="1">
      <x:c r="A2995" s="11" t="n">
        <x:v>2991</x:v>
      </x:c>
      <x:c r="B2995" s="11" t="n">
        <x:v>1518</x:v>
      </x:c>
      <x:c r="C2995" s="18" t="n">
        <x:v>45307</x:v>
      </x:c>
      <x:c r="D2995" s="11" t="str">
        <x:v>2024-01</x:v>
      </x:c>
      <x:c r="E2995" s="11" t="str">
        <x:v>East</x:v>
      </x:c>
      <x:c r="F2995" s="11" t="str">
        <x:v>Furniture</x:v>
      </x:c>
      <x:c r="G2995" s="11" t="str">
        <x:v>Chair</x:v>
      </x:c>
      <x:c r="H2995" s="11" t="n">
        <x:v>3</x:v>
      </x:c>
      <x:c r="I2995" s="19" t="n">
        <x:v>0.15</x:v>
      </x:c>
      <x:c r="J2995" s="11" t="n">
        <x:v>0</x:v>
      </x:c>
      <x:c r="K2995" s="20" t="n">
        <x:v>510</x:v>
      </x:c>
      <x:c r="L2995" s="20" t="n">
        <x:v>76.5</x:v>
      </x:c>
      <x:c r="M2995" s="20" t="n">
        <x:v>330</x:v>
      </x:c>
      <x:c r="N2995" s="20" t="n">
        <x:f>IF(J2995=1,0,K2995-L2995)</x:f>
        <x:v>433.5</x:v>
      </x:c>
      <x:c r="O2995" s="20" t="n">
        <x:f>N2995-M2995</x:f>
        <x:v>103.5</x:v>
      </x:c>
    </x:row>
    <x:row r="2996" ht="22" customHeight="1">
      <x:c r="A2996" s="11" t="n">
        <x:v>2992</x:v>
      </x:c>
      <x:c r="B2996" s="11" t="n">
        <x:v>1519</x:v>
      </x:c>
      <x:c r="C2996" s="18" t="n">
        <x:v>45380</x:v>
      </x:c>
      <x:c r="D2996" s="11" t="str">
        <x:v>2024-03</x:v>
      </x:c>
      <x:c r="E2996" s="11" t="str">
        <x:v>East</x:v>
      </x:c>
      <x:c r="F2996" s="11" t="str">
        <x:v>Technology</x:v>
      </x:c>
      <x:c r="G2996" s="11" t="str">
        <x:v>Monitor</x:v>
      </x:c>
      <x:c r="H2996" s="11" t="n">
        <x:v>5</x:v>
      </x:c>
      <x:c r="I2996" s="19" t="n">
        <x:v>0.1</x:v>
      </x:c>
      <x:c r="J2996" s="11" t="n">
        <x:v>0</x:v>
      </x:c>
      <x:c r="K2996" s="20" t="n">
        <x:v>1200</x:v>
      </x:c>
      <x:c r="L2996" s="20" t="n">
        <x:v>120</x:v>
      </x:c>
      <x:c r="M2996" s="20" t="n">
        <x:v>800</x:v>
      </x:c>
      <x:c r="N2996" s="20" t="n">
        <x:f>IF(J2996=1,0,K2996-L2996)</x:f>
        <x:v>1080</x:v>
      </x:c>
      <x:c r="O2996" s="20" t="n">
        <x:f>N2996-M2996</x:f>
        <x:v>280</x:v>
      </x:c>
    </x:row>
    <x:row r="2997" ht="22" customHeight="1">
      <x:c r="A2997" s="11" t="n">
        <x:v>2993</x:v>
      </x:c>
      <x:c r="B2997" s="11" t="n">
        <x:v>1520</x:v>
      </x:c>
      <x:c r="C2997" s="18" t="n">
        <x:v>45995</x:v>
      </x:c>
      <x:c r="D2997" s="11" t="str">
        <x:v>2025-12</x:v>
      </x:c>
      <x:c r="E2997" s="11" t="str">
        <x:v>East</x:v>
      </x:c>
      <x:c r="F2997" s="11" t="str">
        <x:v>Furniture</x:v>
      </x:c>
      <x:c r="G2997" s="11" t="str">
        <x:v>Chair</x:v>
      </x:c>
      <x:c r="H2997" s="11" t="n">
        <x:v>1</x:v>
      </x:c>
      <x:c r="I2997" s="19" t="n">
        <x:v>0</x:v>
      </x:c>
      <x:c r="J2997" s="11" t="n">
        <x:v>0</x:v>
      </x:c>
      <x:c r="K2997" s="20" t="n">
        <x:v>170</x:v>
      </x:c>
      <x:c r="L2997" s="20" t="n">
        <x:v>0</x:v>
      </x:c>
      <x:c r="M2997" s="20" t="n">
        <x:v>110</x:v>
      </x:c>
      <x:c r="N2997" s="20" t="n">
        <x:f>IF(J2997=1,0,K2997-L2997)</x:f>
        <x:v>170</x:v>
      </x:c>
      <x:c r="O2997" s="20" t="n">
        <x:f>N2997-M2997</x:f>
        <x:v>60</x:v>
      </x:c>
    </x:row>
    <x:row r="2998" ht="22" customHeight="1">
      <x:c r="A2998" s="11" t="n">
        <x:v>2994</x:v>
      </x:c>
      <x:c r="B2998" s="11" t="n">
        <x:v>1520</x:v>
      </x:c>
      <x:c r="C2998" s="18" t="n">
        <x:v>45995</x:v>
      </x:c>
      <x:c r="D2998" s="11" t="str">
        <x:v>2025-12</x:v>
      </x:c>
      <x:c r="E2998" s="11" t="str">
        <x:v>East</x:v>
      </x:c>
      <x:c r="F2998" s="11" t="str">
        <x:v>Furniture</x:v>
      </x:c>
      <x:c r="G2998" s="11" t="str">
        <x:v>Desk</x:v>
      </x:c>
      <x:c r="H2998" s="11" t="n">
        <x:v>4</x:v>
      </x:c>
      <x:c r="I2998" s="19" t="n">
        <x:v>0.35</x:v>
      </x:c>
      <x:c r="J2998" s="11" t="n">
        <x:v>0</x:v>
      </x:c>
      <x:c r="K2998" s="20" t="n">
        <x:v>1120</x:v>
      </x:c>
      <x:c r="L2998" s="20" t="n">
        <x:v>392</x:v>
      </x:c>
      <x:c r="M2998" s="20" t="n">
        <x:v>760</x:v>
      </x:c>
      <x:c r="N2998" s="20" t="n">
        <x:f>IF(J2998=1,0,K2998-L2998)</x:f>
        <x:v>728</x:v>
      </x:c>
      <x:c r="O2998" s="20" t="n">
        <x:f>N2998-M2998</x:f>
        <x:v>-32</x:v>
      </x:c>
    </x:row>
    <x:row r="2999" ht="22" customHeight="1">
      <x:c r="A2999" s="11" t="n">
        <x:v>2995</x:v>
      </x:c>
      <x:c r="B2999" s="11" t="n">
        <x:v>1520</x:v>
      </x:c>
      <x:c r="C2999" s="18" t="n">
        <x:v>45995</x:v>
      </x:c>
      <x:c r="D2999" s="11" t="str">
        <x:v>2025-12</x:v>
      </x:c>
      <x:c r="E2999" s="11" t="str">
        <x:v>East</x:v>
      </x:c>
      <x:c r="F2999" s="11" t="str">
        <x:v>Office Supplies</x:v>
      </x:c>
      <x:c r="G2999" s="11" t="str">
        <x:v>Storage box</x:v>
      </x:c>
      <x:c r="H2999" s="11" t="n">
        <x:v>1</x:v>
      </x:c>
      <x:c r="I2999" s="19" t="n">
        <x:v>0.15</x:v>
      </x:c>
      <x:c r="J2999" s="11" t="n">
        <x:v>0</x:v>
      </x:c>
      <x:c r="K2999" s="20" t="n">
        <x:v>26</x:v>
      </x:c>
      <x:c r="L2999" s="20" t="n">
        <x:v>3.9</x:v>
      </x:c>
      <x:c r="M2999" s="20" t="n">
        <x:v>12</x:v>
      </x:c>
      <x:c r="N2999" s="20" t="n">
        <x:f>IF(J2999=1,0,K2999-L2999)</x:f>
        <x:v>22.1</x:v>
      </x:c>
      <x:c r="O2999" s="20" t="n">
        <x:f>N2999-M2999</x:f>
        <x:v>10.100000000000001</x:v>
      </x:c>
    </x:row>
    <x:row r="3000" ht="22" customHeight="1">
      <x:c r="A3000" s="11" t="n">
        <x:v>2996</x:v>
      </x:c>
      <x:c r="B3000" s="11" t="n">
        <x:v>1521</x:v>
      </x:c>
      <x:c r="C3000" s="18" t="n">
        <x:v>45990</x:v>
      </x:c>
      <x:c r="D3000" s="11" t="str">
        <x:v>2025-11</x:v>
      </x:c>
      <x:c r="E3000" s="11" t="str">
        <x:v>West</x:v>
      </x:c>
      <x:c r="F3000" s="11" t="str">
        <x:v>Office Supplies</x:v>
      </x:c>
      <x:c r="G3000" s="11" t="str">
        <x:v>Notebook pack</x:v>
      </x:c>
      <x:c r="H3000" s="11" t="n">
        <x:v>5</x:v>
      </x:c>
      <x:c r="I3000" s="19" t="n">
        <x:v>0.05</x:v>
      </x:c>
      <x:c r="J3000" s="11" t="n">
        <x:v>0</x:v>
      </x:c>
      <x:c r="K3000" s="20" t="n">
        <x:v>90</x:v>
      </x:c>
      <x:c r="L3000" s="20" t="n">
        <x:v>4.5</x:v>
      </x:c>
      <x:c r="M3000" s="20" t="n">
        <x:v>35</x:v>
      </x:c>
      <x:c r="N3000" s="20" t="n">
        <x:f>IF(J3000=1,0,K3000-L3000)</x:f>
        <x:v>85.5</x:v>
      </x:c>
      <x:c r="O3000" s="20" t="n">
        <x:f>N3000-M3000</x:f>
        <x:v>50.5</x:v>
      </x:c>
    </x:row>
    <x:row r="3001" ht="22" customHeight="1">
      <x:c r="A3001" s="11" t="n">
        <x:v>2997</x:v>
      </x:c>
      <x:c r="B3001" s="11" t="n">
        <x:v>1521</x:v>
      </x:c>
      <x:c r="C3001" s="18" t="n">
        <x:v>45990</x:v>
      </x:c>
      <x:c r="D3001" s="11" t="str">
        <x:v>2025-11</x:v>
      </x:c>
      <x:c r="E3001" s="11" t="str">
        <x:v>West</x:v>
      </x:c>
      <x:c r="F3001" s="11" t="str">
        <x:v>Office Supplies</x:v>
      </x:c>
      <x:c r="G3001" s="11" t="str">
        <x:v>Storage box</x:v>
      </x:c>
      <x:c r="H3001" s="11" t="n">
        <x:v>1</x:v>
      </x:c>
      <x:c r="I3001" s="19" t="n">
        <x:v>0</x:v>
      </x:c>
      <x:c r="J3001" s="11" t="n">
        <x:v>0</x:v>
      </x:c>
      <x:c r="K3001" s="20" t="n">
        <x:v>26</x:v>
      </x:c>
      <x:c r="L3001" s="20" t="n">
        <x:v>0</x:v>
      </x:c>
      <x:c r="M3001" s="20" t="n">
        <x:v>12</x:v>
      </x:c>
      <x:c r="N3001" s="20" t="n">
        <x:f>IF(J3001=1,0,K3001-L3001)</x:f>
        <x:v>26</x:v>
      </x:c>
      <x:c r="O3001" s="20" t="n">
        <x:f>N3001-M3001</x:f>
        <x:v>14</x:v>
      </x:c>
    </x:row>
    <x:row r="3002" ht="22" customHeight="1">
      <x:c r="A3002" s="11" t="n">
        <x:v>2998</x:v>
      </x:c>
      <x:c r="B3002" s="11" t="n">
        <x:v>1522</x:v>
      </x:c>
      <x:c r="C3002" s="18" t="n">
        <x:v>45330</x:v>
      </x:c>
      <x:c r="D3002" s="11" t="str">
        <x:v>2024-02</x:v>
      </x:c>
      <x:c r="E3002" s="11" t="str">
        <x:v>West</x:v>
      </x:c>
      <x:c r="F3002" s="11" t="str">
        <x:v>Office Supplies</x:v>
      </x:c>
      <x:c r="G3002" s="11" t="str">
        <x:v>Storage box</x:v>
      </x:c>
      <x:c r="H3002" s="11" t="n">
        <x:v>5</x:v>
      </x:c>
      <x:c r="I3002" s="19" t="n">
        <x:v>0.05</x:v>
      </x:c>
      <x:c r="J3002" s="11" t="n">
        <x:v>0</x:v>
      </x:c>
      <x:c r="K3002" s="20" t="n">
        <x:v>130</x:v>
      </x:c>
      <x:c r="L3002" s="20" t="n">
        <x:v>6.5</x:v>
      </x:c>
      <x:c r="M3002" s="20" t="n">
        <x:v>60</x:v>
      </x:c>
      <x:c r="N3002" s="20" t="n">
        <x:f>IF(J3002=1,0,K3002-L3002)</x:f>
        <x:v>123.5</x:v>
      </x:c>
      <x:c r="O3002" s="20" t="n">
        <x:f>N3002-M3002</x:f>
        <x:v>63.5</x:v>
      </x:c>
    </x:row>
    <x:row r="3003" ht="22" customHeight="1">
      <x:c r="A3003" s="11" t="n">
        <x:v>2999</x:v>
      </x:c>
      <x:c r="B3003" s="11" t="n">
        <x:v>1522</x:v>
      </x:c>
      <x:c r="C3003" s="18" t="n">
        <x:v>45330</x:v>
      </x:c>
      <x:c r="D3003" s="11" t="str">
        <x:v>2024-02</x:v>
      </x:c>
      <x:c r="E3003" s="11" t="str">
        <x:v>West</x:v>
      </x:c>
      <x:c r="F3003" s="11" t="str">
        <x:v>Furniture</x:v>
      </x:c>
      <x:c r="G3003" s="11" t="str">
        <x:v>Chair</x:v>
      </x:c>
      <x:c r="H3003" s="11" t="n">
        <x:v>3</x:v>
      </x:c>
      <x:c r="I3003" s="19" t="n">
        <x:v>0</x:v>
      </x:c>
      <x:c r="J3003" s="11" t="n">
        <x:v>0</x:v>
      </x:c>
      <x:c r="K3003" s="20" t="n">
        <x:v>510</x:v>
      </x:c>
      <x:c r="L3003" s="20" t="n">
        <x:v>0</x:v>
      </x:c>
      <x:c r="M3003" s="20" t="n">
        <x:v>330</x:v>
      </x:c>
      <x:c r="N3003" s="20" t="n">
        <x:f>IF(J3003=1,0,K3003-L3003)</x:f>
        <x:v>510</x:v>
      </x:c>
      <x:c r="O3003" s="20" t="n">
        <x:f>N3003-M3003</x:f>
        <x:v>180</x:v>
      </x:c>
    </x:row>
    <x:row r="3004" ht="22" customHeight="1">
      <x:c r="A3004" s="11" t="n">
        <x:v>3000</x:v>
      </x:c>
      <x:c r="B3004" s="11" t="n">
        <x:v>1522</x:v>
      </x:c>
      <x:c r="C3004" s="18" t="n">
        <x:v>45330</x:v>
      </x:c>
      <x:c r="D3004" s="11" t="str">
        <x:v>2024-02</x:v>
      </x:c>
      <x:c r="E3004" s="11" t="str">
        <x:v>West</x:v>
      </x:c>
      <x:c r="F3004" s="11" t="str">
        <x:v>Technology</x:v>
      </x:c>
      <x:c r="G3004" s="11" t="str">
        <x:v>Keyboard</x:v>
      </x:c>
      <x:c r="H3004" s="11" t="n">
        <x:v>5</x:v>
      </x:c>
      <x:c r="I3004" s="19" t="n">
        <x:v>0.05</x:v>
      </x:c>
      <x:c r="J3004" s="11" t="n">
        <x:v>0</x:v>
      </x:c>
      <x:c r="K3004" s="20" t="n">
        <x:v>325</x:v>
      </x:c>
      <x:c r="L3004" s="20" t="n">
        <x:v>16.25</x:v>
      </x:c>
      <x:c r="M3004" s="20" t="n">
        <x:v>160</x:v>
      </x:c>
      <x:c r="N3004" s="20" t="n">
        <x:f>IF(J3004=1,0,K3004-L3004)</x:f>
        <x:v>308.75</x:v>
      </x:c>
      <x:c r="O3004" s="20" t="n">
        <x:f>N3004-M3004</x:f>
        <x:v>148.75</x:v>
      </x:c>
    </x:row>
    <x:row r="3005" ht="22" customHeight="1">
      <x:c r="A3005" s="11" t="n">
        <x:v>3001</x:v>
      </x:c>
      <x:c r="B3005" s="11" t="n">
        <x:v>1523</x:v>
      </x:c>
      <x:c r="C3005" s="18" t="n">
        <x:v>45916</x:v>
      </x:c>
      <x:c r="D3005" s="11" t="str">
        <x:v>2025-09</x:v>
      </x:c>
      <x:c r="E3005" s="11" t="str">
        <x:v>Central</x:v>
      </x:c>
      <x:c r="F3005" s="11" t="str">
        <x:v>Furniture</x:v>
      </x:c>
      <x:c r="G3005" s="11" t="str">
        <x:v>Desk</x:v>
      </x:c>
      <x:c r="H3005" s="11" t="n">
        <x:v>4</x:v>
      </x:c>
      <x:c r="I3005" s="19" t="n">
        <x:v>0.35</x:v>
      </x:c>
      <x:c r="J3005" s="11" t="n">
        <x:v>0</x:v>
      </x:c>
      <x:c r="K3005" s="20" t="n">
        <x:v>1120</x:v>
      </x:c>
      <x:c r="L3005" s="20" t="n">
        <x:v>392</x:v>
      </x:c>
      <x:c r="M3005" s="20" t="n">
        <x:v>760</x:v>
      </x:c>
      <x:c r="N3005" s="20" t="n">
        <x:f>IF(J3005=1,0,K3005-L3005)</x:f>
        <x:v>728</x:v>
      </x:c>
      <x:c r="O3005" s="20" t="n">
        <x:f>N3005-M3005</x:f>
        <x:v>-32</x:v>
      </x:c>
    </x:row>
    <x:row r="3006" ht="22" customHeight="1">
      <x:c r="A3006" s="11" t="n">
        <x:v>3002</x:v>
      </x:c>
      <x:c r="B3006" s="11" t="n">
        <x:v>1523</x:v>
      </x:c>
      <x:c r="C3006" s="18" t="n">
        <x:v>45916</x:v>
      </x:c>
      <x:c r="D3006" s="11" t="str">
        <x:v>2025-09</x:v>
      </x:c>
      <x:c r="E3006" s="11" t="str">
        <x:v>Central</x:v>
      </x:c>
      <x:c r="F3006" s="11" t="str">
        <x:v>Technology</x:v>
      </x:c>
      <x:c r="G3006" s="11" t="str">
        <x:v>Monitor</x:v>
      </x:c>
      <x:c r="H3006" s="11" t="n">
        <x:v>1</x:v>
      </x:c>
      <x:c r="I3006" s="19" t="n">
        <x:v>0.1</x:v>
      </x:c>
      <x:c r="J3006" s="11" t="n">
        <x:v>0</x:v>
      </x:c>
      <x:c r="K3006" s="20" t="n">
        <x:v>240</x:v>
      </x:c>
      <x:c r="L3006" s="20" t="n">
        <x:v>24</x:v>
      </x:c>
      <x:c r="M3006" s="20" t="n">
        <x:v>160</x:v>
      </x:c>
      <x:c r="N3006" s="20" t="n">
        <x:f>IF(J3006=1,0,K3006-L3006)</x:f>
        <x:v>216</x:v>
      </x:c>
      <x:c r="O3006" s="20" t="n">
        <x:f>N3006-M3006</x:f>
        <x:v>56</x:v>
      </x:c>
    </x:row>
    <x:row r="3007" ht="22" customHeight="1">
      <x:c r="A3007" s="11" t="n">
        <x:v>3003</x:v>
      </x:c>
      <x:c r="B3007" s="11" t="n">
        <x:v>1523</x:v>
      </x:c>
      <x:c r="C3007" s="18" t="n">
        <x:v>45916</x:v>
      </x:c>
      <x:c r="D3007" s="11" t="str">
        <x:v>2025-09</x:v>
      </x:c>
      <x:c r="E3007" s="11" t="str">
        <x:v>Central</x:v>
      </x:c>
      <x:c r="F3007" s="11" t="str">
        <x:v>Office Supplies</x:v>
      </x:c>
      <x:c r="G3007" s="11" t="str">
        <x:v>Notebook pack</x:v>
      </x:c>
      <x:c r="H3007" s="11" t="n">
        <x:v>2</x:v>
      </x:c>
      <x:c r="I3007" s="19" t="n">
        <x:v>0</x:v>
      </x:c>
      <x:c r="J3007" s="11" t="n">
        <x:v>0</x:v>
      </x:c>
      <x:c r="K3007" s="20" t="n">
        <x:v>36</x:v>
      </x:c>
      <x:c r="L3007" s="20" t="n">
        <x:v>0</x:v>
      </x:c>
      <x:c r="M3007" s="20" t="n">
        <x:v>14</x:v>
      </x:c>
      <x:c r="N3007" s="20" t="n">
        <x:f>IF(J3007=1,0,K3007-L3007)</x:f>
        <x:v>36</x:v>
      </x:c>
      <x:c r="O3007" s="20" t="n">
        <x:f>N3007-M3007</x:f>
        <x:v>22</x:v>
      </x:c>
    </x:row>
    <x:row r="3008" ht="22" customHeight="1">
      <x:c r="A3008" s="11" t="n">
        <x:v>3004</x:v>
      </x:c>
      <x:c r="B3008" s="11" t="n">
        <x:v>1524</x:v>
      </x:c>
      <x:c r="C3008" s="18" t="n">
        <x:v>45703</x:v>
      </x:c>
      <x:c r="D3008" s="11" t="str">
        <x:v>2025-02</x:v>
      </x:c>
      <x:c r="E3008" s="11" t="str">
        <x:v>East</x:v>
      </x:c>
      <x:c r="F3008" s="11" t="str">
        <x:v>Furniture</x:v>
      </x:c>
      <x:c r="G3008" s="11" t="str">
        <x:v>Chair</x:v>
      </x:c>
      <x:c r="H3008" s="11" t="n">
        <x:v>2</x:v>
      </x:c>
      <x:c r="I3008" s="19" t="n">
        <x:v>0</x:v>
      </x:c>
      <x:c r="J3008" s="11" t="n">
        <x:v>0</x:v>
      </x:c>
      <x:c r="K3008" s="20" t="n">
        <x:v>340</x:v>
      </x:c>
      <x:c r="L3008" s="20" t="n">
        <x:v>0</x:v>
      </x:c>
      <x:c r="M3008" s="20" t="n">
        <x:v>220</x:v>
      </x:c>
      <x:c r="N3008" s="20" t="n">
        <x:f>IF(J3008=1,0,K3008-L3008)</x:f>
        <x:v>340</x:v>
      </x:c>
      <x:c r="O3008" s="20" t="n">
        <x:f>N3008-M3008</x:f>
        <x:v>120</x:v>
      </x:c>
    </x:row>
    <x:row r="3009" ht="22" customHeight="1">
      <x:c r="A3009" s="11" t="n">
        <x:v>3005</x:v>
      </x:c>
      <x:c r="B3009" s="11" t="n">
        <x:v>1524</x:v>
      </x:c>
      <x:c r="C3009" s="18" t="n">
        <x:v>45703</x:v>
      </x:c>
      <x:c r="D3009" s="11" t="str">
        <x:v>2025-02</x:v>
      </x:c>
      <x:c r="E3009" s="11" t="str">
        <x:v>East</x:v>
      </x:c>
      <x:c r="F3009" s="11" t="str">
        <x:v>Office Supplies</x:v>
      </x:c>
      <x:c r="G3009" s="11" t="str">
        <x:v>Notebook pack</x:v>
      </x:c>
      <x:c r="H3009" s="11" t="n">
        <x:v>4</x:v>
      </x:c>
      <x:c r="I3009" s="19" t="n">
        <x:v>0.05</x:v>
      </x:c>
      <x:c r="J3009" s="11" t="n">
        <x:v>0</x:v>
      </x:c>
      <x:c r="K3009" s="20" t="n">
        <x:v>72</x:v>
      </x:c>
      <x:c r="L3009" s="20" t="n">
        <x:v>3.6</x:v>
      </x:c>
      <x:c r="M3009" s="20" t="n">
        <x:v>28</x:v>
      </x:c>
      <x:c r="N3009" s="20" t="n">
        <x:f>IF(J3009=1,0,K3009-L3009)</x:f>
        <x:v>68.4</x:v>
      </x:c>
      <x:c r="O3009" s="20" t="n">
        <x:f>N3009-M3009</x:f>
        <x:v>40.400000000000006</x:v>
      </x:c>
    </x:row>
    <x:row r="3010" ht="22" customHeight="1">
      <x:c r="A3010" s="11" t="n">
        <x:v>3006</x:v>
      </x:c>
      <x:c r="B3010" s="11" t="n">
        <x:v>1525</x:v>
      </x:c>
      <x:c r="C3010" s="18" t="n">
        <x:v>45371</x:v>
      </x:c>
      <x:c r="D3010" s="11" t="str">
        <x:v>2024-03</x:v>
      </x:c>
      <x:c r="E3010" s="11" t="str">
        <x:v>East</x:v>
      </x:c>
      <x:c r="F3010" s="11" t="str">
        <x:v>Office Supplies</x:v>
      </x:c>
      <x:c r="G3010" s="11" t="str">
        <x:v>Storage box</x:v>
      </x:c>
      <x:c r="H3010" s="11" t="n">
        <x:v>5</x:v>
      </x:c>
      <x:c r="I3010" s="19" t="n">
        <x:v>0.15</x:v>
      </x:c>
      <x:c r="J3010" s="11" t="n">
        <x:v>0</x:v>
      </x:c>
      <x:c r="K3010" s="20" t="n">
        <x:v>130</x:v>
      </x:c>
      <x:c r="L3010" s="20" t="n">
        <x:v>19.5</x:v>
      </x:c>
      <x:c r="M3010" s="20" t="n">
        <x:v>60</x:v>
      </x:c>
      <x:c r="N3010" s="20" t="n">
        <x:f>IF(J3010=1,0,K3010-L3010)</x:f>
        <x:v>110.5</x:v>
      </x:c>
      <x:c r="O3010" s="20" t="n">
        <x:f>N3010-M3010</x:f>
        <x:v>50.5</x:v>
      </x:c>
    </x:row>
    <x:row r="3011" ht="22" customHeight="1">
      <x:c r="A3011" s="11" t="n">
        <x:v>3007</x:v>
      </x:c>
      <x:c r="B3011" s="11" t="n">
        <x:v>1525</x:v>
      </x:c>
      <x:c r="C3011" s="18" t="n">
        <x:v>45371</x:v>
      </x:c>
      <x:c r="D3011" s="11" t="str">
        <x:v>2024-03</x:v>
      </x:c>
      <x:c r="E3011" s="11" t="str">
        <x:v>East</x:v>
      </x:c>
      <x:c r="F3011" s="11" t="str">
        <x:v>Technology</x:v>
      </x:c>
      <x:c r="G3011" s="11" t="str">
        <x:v>Keyboard</x:v>
      </x:c>
      <x:c r="H3011" s="11" t="n">
        <x:v>5</x:v>
      </x:c>
      <x:c r="I3011" s="19" t="n">
        <x:v>0</x:v>
      </x:c>
      <x:c r="J3011" s="11" t="n">
        <x:v>0</x:v>
      </x:c>
      <x:c r="K3011" s="20" t="n">
        <x:v>325</x:v>
      </x:c>
      <x:c r="L3011" s="20" t="n">
        <x:v>0</x:v>
      </x:c>
      <x:c r="M3011" s="20" t="n">
        <x:v>160</x:v>
      </x:c>
      <x:c r="N3011" s="20" t="n">
        <x:f>IF(J3011=1,0,K3011-L3011)</x:f>
        <x:v>325</x:v>
      </x:c>
      <x:c r="O3011" s="20" t="n">
        <x:f>N3011-M3011</x:f>
        <x:v>165</x:v>
      </x:c>
    </x:row>
    <x:row r="3012" ht="22" customHeight="1">
      <x:c r="A3012" s="11" t="n">
        <x:v>3008</x:v>
      </x:c>
      <x:c r="B3012" s="11" t="n">
        <x:v>1525</x:v>
      </x:c>
      <x:c r="C3012" s="18" t="n">
        <x:v>45371</x:v>
      </x:c>
      <x:c r="D3012" s="11" t="str">
        <x:v>2024-03</x:v>
      </x:c>
      <x:c r="E3012" s="11" t="str">
        <x:v>East</x:v>
      </x:c>
      <x:c r="F3012" s="11" t="str">
        <x:v>Office Supplies</x:v>
      </x:c>
      <x:c r="G3012" s="11" t="str">
        <x:v>Notebook pack</x:v>
      </x:c>
      <x:c r="H3012" s="11" t="n">
        <x:v>5</x:v>
      </x:c>
      <x:c r="I3012" s="19" t="n">
        <x:v>0.1</x:v>
      </x:c>
      <x:c r="J3012" s="11" t="n">
        <x:v>0</x:v>
      </x:c>
      <x:c r="K3012" s="20" t="n">
        <x:v>90</x:v>
      </x:c>
      <x:c r="L3012" s="20" t="n">
        <x:v>9</x:v>
      </x:c>
      <x:c r="M3012" s="20" t="n">
        <x:v>35</x:v>
      </x:c>
      <x:c r="N3012" s="20" t="n">
        <x:f>IF(J3012=1,0,K3012-L3012)</x:f>
        <x:v>81</x:v>
      </x:c>
      <x:c r="O3012" s="20" t="n">
        <x:f>N3012-M3012</x:f>
        <x:v>46</x:v>
      </x:c>
    </x:row>
    <x:row r="3013" ht="22" customHeight="1">
      <x:c r="A3013" s="11" t="n">
        <x:v>3009</x:v>
      </x:c>
      <x:c r="B3013" s="11" t="n">
        <x:v>1526</x:v>
      </x:c>
      <x:c r="C3013" s="18" t="n">
        <x:v>45449</x:v>
      </x:c>
      <x:c r="D3013" s="11" t="str">
        <x:v>2024-06</x:v>
      </x:c>
      <x:c r="E3013" s="11" t="str">
        <x:v>West</x:v>
      </x:c>
      <x:c r="F3013" s="11" t="str">
        <x:v>Office Supplies</x:v>
      </x:c>
      <x:c r="G3013" s="11" t="str">
        <x:v>Notebook pack</x:v>
      </x:c>
      <x:c r="H3013" s="11" t="n">
        <x:v>1</x:v>
      </x:c>
      <x:c r="I3013" s="19" t="n">
        <x:v>0.15</x:v>
      </x:c>
      <x:c r="J3013" s="11" t="n">
        <x:v>0</x:v>
      </x:c>
      <x:c r="K3013" s="20" t="n">
        <x:v>18</x:v>
      </x:c>
      <x:c r="L3013" s="20" t="n">
        <x:v>2.7</x:v>
      </x:c>
      <x:c r="M3013" s="20" t="n">
        <x:v>7</x:v>
      </x:c>
      <x:c r="N3013" s="20" t="n">
        <x:f>IF(J3013=1,0,K3013-L3013)</x:f>
        <x:v>15.3</x:v>
      </x:c>
      <x:c r="O3013" s="20" t="n">
        <x:f>N3013-M3013</x:f>
        <x:v>8.3</x:v>
      </x:c>
    </x:row>
    <x:row r="3014" ht="22" customHeight="1">
      <x:c r="A3014" s="11" t="n">
        <x:v>3010</x:v>
      </x:c>
      <x:c r="B3014" s="11" t="n">
        <x:v>1526</x:v>
      </x:c>
      <x:c r="C3014" s="18" t="n">
        <x:v>45449</x:v>
      </x:c>
      <x:c r="D3014" s="11" t="str">
        <x:v>2024-06</x:v>
      </x:c>
      <x:c r="E3014" s="11" t="str">
        <x:v>West</x:v>
      </x:c>
      <x:c r="F3014" s="11" t="str">
        <x:v>Furniture</x:v>
      </x:c>
      <x:c r="G3014" s="11" t="str">
        <x:v>Chair</x:v>
      </x:c>
      <x:c r="H3014" s="11" t="n">
        <x:v>5</x:v>
      </x:c>
      <x:c r="I3014" s="19" t="n">
        <x:v>0</x:v>
      </x:c>
      <x:c r="J3014" s="11" t="n">
        <x:v>0</x:v>
      </x:c>
      <x:c r="K3014" s="20" t="n">
        <x:v>850</x:v>
      </x:c>
      <x:c r="L3014" s="20" t="n">
        <x:v>0</x:v>
      </x:c>
      <x:c r="M3014" s="20" t="n">
        <x:v>550</x:v>
      </x:c>
      <x:c r="N3014" s="20" t="n">
        <x:f>IF(J3014=1,0,K3014-L3014)</x:f>
        <x:v>850</x:v>
      </x:c>
      <x:c r="O3014" s="20" t="n">
        <x:f>N3014-M3014</x:f>
        <x:v>300</x:v>
      </x:c>
    </x:row>
    <x:row r="3015" ht="22" customHeight="1">
      <x:c r="A3015" s="11" t="n">
        <x:v>3011</x:v>
      </x:c>
      <x:c r="B3015" s="11" t="n">
        <x:v>1526</x:v>
      </x:c>
      <x:c r="C3015" s="18" t="n">
        <x:v>45449</x:v>
      </x:c>
      <x:c r="D3015" s="11" t="str">
        <x:v>2024-06</x:v>
      </x:c>
      <x:c r="E3015" s="11" t="str">
        <x:v>West</x:v>
      </x:c>
      <x:c r="F3015" s="11" t="str">
        <x:v>Technology</x:v>
      </x:c>
      <x:c r="G3015" s="11" t="str">
        <x:v>Keyboard</x:v>
      </x:c>
      <x:c r="H3015" s="11" t="n">
        <x:v>2</x:v>
      </x:c>
      <x:c r="I3015" s="19" t="n">
        <x:v>0</x:v>
      </x:c>
      <x:c r="J3015" s="11" t="n">
        <x:v>0</x:v>
      </x:c>
      <x:c r="K3015" s="20" t="n">
        <x:v>130</x:v>
      </x:c>
      <x:c r="L3015" s="20" t="n">
        <x:v>0</x:v>
      </x:c>
      <x:c r="M3015" s="20" t="n">
        <x:v>64</x:v>
      </x:c>
      <x:c r="N3015" s="20" t="n">
        <x:f>IF(J3015=1,0,K3015-L3015)</x:f>
        <x:v>130</x:v>
      </x:c>
      <x:c r="O3015" s="20" t="n">
        <x:f>N3015-M3015</x:f>
        <x:v>66</x:v>
      </x:c>
    </x:row>
    <x:row r="3016" ht="22" customHeight="1">
      <x:c r="A3016" s="11" t="n">
        <x:v>3012</x:v>
      </x:c>
      <x:c r="B3016" s="11" t="n">
        <x:v>1527</x:v>
      </x:c>
      <x:c r="C3016" s="18" t="n">
        <x:v>46004</x:v>
      </x:c>
      <x:c r="D3016" s="11" t="str">
        <x:v>2025-12</x:v>
      </x:c>
      <x:c r="E3016" s="11" t="str">
        <x:v>West</x:v>
      </x:c>
      <x:c r="F3016" s="11" t="str">
        <x:v>Technology</x:v>
      </x:c>
      <x:c r="G3016" s="11" t="str">
        <x:v>Monitor</x:v>
      </x:c>
      <x:c r="H3016" s="11" t="n">
        <x:v>5</x:v>
      </x:c>
      <x:c r="I3016" s="19" t="n">
        <x:v>0.05</x:v>
      </x:c>
      <x:c r="J3016" s="11" t="n">
        <x:v>0</x:v>
      </x:c>
      <x:c r="K3016" s="20" t="n">
        <x:v>1200</x:v>
      </x:c>
      <x:c r="L3016" s="20" t="n">
        <x:v>60</x:v>
      </x:c>
      <x:c r="M3016" s="20" t="n">
        <x:v>800</x:v>
      </x:c>
      <x:c r="N3016" s="20" t="n">
        <x:f>IF(J3016=1,0,K3016-L3016)</x:f>
        <x:v>1140</x:v>
      </x:c>
      <x:c r="O3016" s="20" t="n">
        <x:f>N3016-M3016</x:f>
        <x:v>340</x:v>
      </x:c>
    </x:row>
    <x:row r="3017" ht="22" customHeight="1">
      <x:c r="A3017" s="11" t="n">
        <x:v>3013</x:v>
      </x:c>
      <x:c r="B3017" s="11" t="n">
        <x:v>1527</x:v>
      </x:c>
      <x:c r="C3017" s="18" t="n">
        <x:v>46004</x:v>
      </x:c>
      <x:c r="D3017" s="11" t="str">
        <x:v>2025-12</x:v>
      </x:c>
      <x:c r="E3017" s="11" t="str">
        <x:v>West</x:v>
      </x:c>
      <x:c r="F3017" s="11" t="str">
        <x:v>Technology</x:v>
      </x:c>
      <x:c r="G3017" s="11" t="str">
        <x:v>Keyboard</x:v>
      </x:c>
      <x:c r="H3017" s="11" t="n">
        <x:v>5</x:v>
      </x:c>
      <x:c r="I3017" s="19" t="n">
        <x:v>0</x:v>
      </x:c>
      <x:c r="J3017" s="11" t="n">
        <x:v>1</x:v>
      </x:c>
      <x:c r="K3017" s="20" t="n">
        <x:v>325</x:v>
      </x:c>
      <x:c r="L3017" s="20" t="n">
        <x:v>0</x:v>
      </x:c>
      <x:c r="M3017" s="20" t="n">
        <x:v>0</x:v>
      </x:c>
      <x:c r="N3017" s="20" t="n">
        <x:f>IF(J3017=1,0,K3017-L3017)</x:f>
        <x:v>0</x:v>
      </x:c>
      <x:c r="O3017" s="20" t="n">
        <x:f>N3017-M3017</x:f>
        <x:v>0</x:v>
      </x:c>
    </x:row>
    <x:row r="3018" ht="22" customHeight="1">
      <x:c r="A3018" s="11" t="n">
        <x:v>3014</x:v>
      </x:c>
      <x:c r="B3018" s="11" t="n">
        <x:v>1527</x:v>
      </x:c>
      <x:c r="C3018" s="18" t="n">
        <x:v>46004</x:v>
      </x:c>
      <x:c r="D3018" s="11" t="str">
        <x:v>2025-12</x:v>
      </x:c>
      <x:c r="E3018" s="11" t="str">
        <x:v>West</x:v>
      </x:c>
      <x:c r="F3018" s="11" t="str">
        <x:v>Office Supplies</x:v>
      </x:c>
      <x:c r="G3018" s="11" t="str">
        <x:v>Notebook pack</x:v>
      </x:c>
      <x:c r="H3018" s="11" t="n">
        <x:v>1</x:v>
      </x:c>
      <x:c r="I3018" s="19" t="n">
        <x:v>0</x:v>
      </x:c>
      <x:c r="J3018" s="11" t="n">
        <x:v>0</x:v>
      </x:c>
      <x:c r="K3018" s="20" t="n">
        <x:v>18</x:v>
      </x:c>
      <x:c r="L3018" s="20" t="n">
        <x:v>0</x:v>
      </x:c>
      <x:c r="M3018" s="20" t="n">
        <x:v>7</x:v>
      </x:c>
      <x:c r="N3018" s="20" t="n">
        <x:f>IF(J3018=1,0,K3018-L3018)</x:f>
        <x:v>18</x:v>
      </x:c>
      <x:c r="O3018" s="20" t="n">
        <x:f>N3018-M3018</x:f>
        <x:v>11</x:v>
      </x:c>
    </x:row>
    <x:row r="3019" ht="22" customHeight="1">
      <x:c r="A3019" s="11" t="n">
        <x:v>3015</x:v>
      </x:c>
      <x:c r="B3019" s="11" t="n">
        <x:v>1528</x:v>
      </x:c>
      <x:c r="C3019" s="18" t="n">
        <x:v>45846</x:v>
      </x:c>
      <x:c r="D3019" s="11" t="str">
        <x:v>2025-07</x:v>
      </x:c>
      <x:c r="E3019" s="11" t="str">
        <x:v>West</x:v>
      </x:c>
      <x:c r="F3019" s="11" t="str">
        <x:v>Technology</x:v>
      </x:c>
      <x:c r="G3019" s="11" t="str">
        <x:v>Monitor</x:v>
      </x:c>
      <x:c r="H3019" s="11" t="n">
        <x:v>2</x:v>
      </x:c>
      <x:c r="I3019" s="19" t="n">
        <x:v>0.15</x:v>
      </x:c>
      <x:c r="J3019" s="11" t="n">
        <x:v>0</x:v>
      </x:c>
      <x:c r="K3019" s="20" t="n">
        <x:v>480</x:v>
      </x:c>
      <x:c r="L3019" s="20" t="n">
        <x:v>72</x:v>
      </x:c>
      <x:c r="M3019" s="20" t="n">
        <x:v>320</x:v>
      </x:c>
      <x:c r="N3019" s="20" t="n">
        <x:f>IF(J3019=1,0,K3019-L3019)</x:f>
        <x:v>408</x:v>
      </x:c>
      <x:c r="O3019" s="20" t="n">
        <x:f>N3019-M3019</x:f>
        <x:v>88</x:v>
      </x:c>
    </x:row>
    <x:row r="3020" ht="22" customHeight="1">
      <x:c r="A3020" s="11" t="n">
        <x:v>3016</x:v>
      </x:c>
      <x:c r="B3020" s="11" t="n">
        <x:v>1528</x:v>
      </x:c>
      <x:c r="C3020" s="18" t="n">
        <x:v>45846</x:v>
      </x:c>
      <x:c r="D3020" s="11" t="str">
        <x:v>2025-07</x:v>
      </x:c>
      <x:c r="E3020" s="11" t="str">
        <x:v>West</x:v>
      </x:c>
      <x:c r="F3020" s="11" t="str">
        <x:v>Office Supplies</x:v>
      </x:c>
      <x:c r="G3020" s="11" t="str">
        <x:v>Storage box</x:v>
      </x:c>
      <x:c r="H3020" s="11" t="n">
        <x:v>5</x:v>
      </x:c>
      <x:c r="I3020" s="19" t="n">
        <x:v>0.1</x:v>
      </x:c>
      <x:c r="J3020" s="11" t="n">
        <x:v>0</x:v>
      </x:c>
      <x:c r="K3020" s="20" t="n">
        <x:v>130</x:v>
      </x:c>
      <x:c r="L3020" s="20" t="n">
        <x:v>13</x:v>
      </x:c>
      <x:c r="M3020" s="20" t="n">
        <x:v>60</x:v>
      </x:c>
      <x:c r="N3020" s="20" t="n">
        <x:f>IF(J3020=1,0,K3020-L3020)</x:f>
        <x:v>117</x:v>
      </x:c>
      <x:c r="O3020" s="20" t="n">
        <x:f>N3020-M3020</x:f>
        <x:v>57</x:v>
      </x:c>
    </x:row>
    <x:row r="3021" ht="22" customHeight="1">
      <x:c r="A3021" s="11" t="n">
        <x:v>3017</x:v>
      </x:c>
      <x:c r="B3021" s="11" t="n">
        <x:v>1529</x:v>
      </x:c>
      <x:c r="C3021" s="18" t="n">
        <x:v>45653</x:v>
      </x:c>
      <x:c r="D3021" s="11" t="str">
        <x:v>2024-12</x:v>
      </x:c>
      <x:c r="E3021" s="11" t="str">
        <x:v>West</x:v>
      </x:c>
      <x:c r="F3021" s="11" t="str">
        <x:v>Office Supplies</x:v>
      </x:c>
      <x:c r="G3021" s="11" t="str">
        <x:v>Storage box</x:v>
      </x:c>
      <x:c r="H3021" s="11" t="n">
        <x:v>2</x:v>
      </x:c>
      <x:c r="I3021" s="19" t="n">
        <x:v>0</x:v>
      </x:c>
      <x:c r="J3021" s="11" t="n">
        <x:v>0</x:v>
      </x:c>
      <x:c r="K3021" s="20" t="n">
        <x:v>52</x:v>
      </x:c>
      <x:c r="L3021" s="20" t="n">
        <x:v>0</x:v>
      </x:c>
      <x:c r="M3021" s="20" t="n">
        <x:v>24</x:v>
      </x:c>
      <x:c r="N3021" s="20" t="n">
        <x:f>IF(J3021=1,0,K3021-L3021)</x:f>
        <x:v>52</x:v>
      </x:c>
      <x:c r="O3021" s="20" t="n">
        <x:f>N3021-M3021</x:f>
        <x:v>28</x:v>
      </x:c>
    </x:row>
    <x:row r="3022" ht="22" customHeight="1">
      <x:c r="A3022" s="11" t="n">
        <x:v>3018</x:v>
      </x:c>
      <x:c r="B3022" s="11" t="n">
        <x:v>1530</x:v>
      </x:c>
      <x:c r="C3022" s="18" t="n">
        <x:v>45881</x:v>
      </x:c>
      <x:c r="D3022" s="11" t="str">
        <x:v>2025-08</x:v>
      </x:c>
      <x:c r="E3022" s="11" t="str">
        <x:v>West</x:v>
      </x:c>
      <x:c r="F3022" s="11" t="str">
        <x:v>Furniture</x:v>
      </x:c>
      <x:c r="G3022" s="11" t="str">
        <x:v>Chair</x:v>
      </x:c>
      <x:c r="H3022" s="11" t="n">
        <x:v>5</x:v>
      </x:c>
      <x:c r="I3022" s="19" t="n">
        <x:v>0</x:v>
      </x:c>
      <x:c r="J3022" s="11" t="n">
        <x:v>0</x:v>
      </x:c>
      <x:c r="K3022" s="20" t="n">
        <x:v>850</x:v>
      </x:c>
      <x:c r="L3022" s="20" t="n">
        <x:v>0</x:v>
      </x:c>
      <x:c r="M3022" s="20" t="n">
        <x:v>550</x:v>
      </x:c>
      <x:c r="N3022" s="20" t="n">
        <x:f>IF(J3022=1,0,K3022-L3022)</x:f>
        <x:v>850</x:v>
      </x:c>
      <x:c r="O3022" s="20" t="n">
        <x:f>N3022-M3022</x:f>
        <x:v>300</x:v>
      </x:c>
    </x:row>
    <x:row r="3023" ht="22" customHeight="1">
      <x:c r="A3023" s="11" t="n">
        <x:v>3019</x:v>
      </x:c>
      <x:c r="B3023" s="11" t="n">
        <x:v>1531</x:v>
      </x:c>
      <x:c r="C3023" s="18" t="n">
        <x:v>45460</x:v>
      </x:c>
      <x:c r="D3023" s="11" t="str">
        <x:v>2024-06</x:v>
      </x:c>
      <x:c r="E3023" s="11" t="str">
        <x:v>East</x:v>
      </x:c>
      <x:c r="F3023" s="11" t="str">
        <x:v>Office Supplies</x:v>
      </x:c>
      <x:c r="G3023" s="11" t="str">
        <x:v>Storage box</x:v>
      </x:c>
      <x:c r="H3023" s="11" t="n">
        <x:v>5</x:v>
      </x:c>
      <x:c r="I3023" s="19" t="n">
        <x:v>0.05</x:v>
      </x:c>
      <x:c r="J3023" s="11" t="n">
        <x:v>0</x:v>
      </x:c>
      <x:c r="K3023" s="20" t="n">
        <x:v>130</x:v>
      </x:c>
      <x:c r="L3023" s="20" t="n">
        <x:v>6.5</x:v>
      </x:c>
      <x:c r="M3023" s="20" t="n">
        <x:v>60</x:v>
      </x:c>
      <x:c r="N3023" s="20" t="n">
        <x:f>IF(J3023=1,0,K3023-L3023)</x:f>
        <x:v>123.5</x:v>
      </x:c>
      <x:c r="O3023" s="20" t="n">
        <x:f>N3023-M3023</x:f>
        <x:v>63.5</x:v>
      </x:c>
    </x:row>
    <x:row r="3024" ht="22" customHeight="1">
      <x:c r="A3024" s="11" t="n">
        <x:v>3020</x:v>
      </x:c>
      <x:c r="B3024" s="11" t="n">
        <x:v>1531</x:v>
      </x:c>
      <x:c r="C3024" s="18" t="n">
        <x:v>45460</x:v>
      </x:c>
      <x:c r="D3024" s="11" t="str">
        <x:v>2024-06</x:v>
      </x:c>
      <x:c r="E3024" s="11" t="str">
        <x:v>East</x:v>
      </x:c>
      <x:c r="F3024" s="11" t="str">
        <x:v>Technology</x:v>
      </x:c>
      <x:c r="G3024" s="11" t="str">
        <x:v>Monitor</x:v>
      </x:c>
      <x:c r="H3024" s="11" t="n">
        <x:v>4</x:v>
      </x:c>
      <x:c r="I3024" s="19" t="n">
        <x:v>0</x:v>
      </x:c>
      <x:c r="J3024" s="11" t="n">
        <x:v>0</x:v>
      </x:c>
      <x:c r="K3024" s="20" t="n">
        <x:v>960</x:v>
      </x:c>
      <x:c r="L3024" s="20" t="n">
        <x:v>0</x:v>
      </x:c>
      <x:c r="M3024" s="20" t="n">
        <x:v>640</x:v>
      </x:c>
      <x:c r="N3024" s="20" t="n">
        <x:f>IF(J3024=1,0,K3024-L3024)</x:f>
        <x:v>960</x:v>
      </x:c>
      <x:c r="O3024" s="20" t="n">
        <x:f>N3024-M3024</x:f>
        <x:v>320</x:v>
      </x:c>
    </x:row>
    <x:row r="3025" ht="22" customHeight="1">
      <x:c r="A3025" s="11" t="n">
        <x:v>3021</x:v>
      </x:c>
      <x:c r="B3025" s="11" t="n">
        <x:v>1531</x:v>
      </x:c>
      <x:c r="C3025" s="18" t="n">
        <x:v>45460</x:v>
      </x:c>
      <x:c r="D3025" s="11" t="str">
        <x:v>2024-06</x:v>
      </x:c>
      <x:c r="E3025" s="11" t="str">
        <x:v>East</x:v>
      </x:c>
      <x:c r="F3025" s="11" t="str">
        <x:v>Furniture</x:v>
      </x:c>
      <x:c r="G3025" s="11" t="str">
        <x:v>Chair</x:v>
      </x:c>
      <x:c r="H3025" s="11" t="n">
        <x:v>3</x:v>
      </x:c>
      <x:c r="I3025" s="19" t="n">
        <x:v>0.25</x:v>
      </x:c>
      <x:c r="J3025" s="11" t="n">
        <x:v>0</x:v>
      </x:c>
      <x:c r="K3025" s="20" t="n">
        <x:v>510</x:v>
      </x:c>
      <x:c r="L3025" s="20" t="n">
        <x:v>127.5</x:v>
      </x:c>
      <x:c r="M3025" s="20" t="n">
        <x:v>330</x:v>
      </x:c>
      <x:c r="N3025" s="20" t="n">
        <x:f>IF(J3025=1,0,K3025-L3025)</x:f>
        <x:v>382.5</x:v>
      </x:c>
      <x:c r="O3025" s="20" t="n">
        <x:f>N3025-M3025</x:f>
        <x:v>52.5</x:v>
      </x:c>
    </x:row>
    <x:row r="3026" ht="22" customHeight="1">
      <x:c r="A3026" s="11" t="n">
        <x:v>3022</x:v>
      </x:c>
      <x:c r="B3026" s="11" t="n">
        <x:v>1532</x:v>
      </x:c>
      <x:c r="C3026" s="18" t="n">
        <x:v>45881</x:v>
      </x:c>
      <x:c r="D3026" s="11" t="str">
        <x:v>2025-08</x:v>
      </x:c>
      <x:c r="E3026" s="11" t="str">
        <x:v>South</x:v>
      </x:c>
      <x:c r="F3026" s="11" t="str">
        <x:v>Furniture</x:v>
      </x:c>
      <x:c r="G3026" s="11" t="str">
        <x:v>Chair</x:v>
      </x:c>
      <x:c r="H3026" s="11" t="n">
        <x:v>5</x:v>
      </x:c>
      <x:c r="I3026" s="19" t="n">
        <x:v>0.15</x:v>
      </x:c>
      <x:c r="J3026" s="11" t="n">
        <x:v>0</x:v>
      </x:c>
      <x:c r="K3026" s="20" t="n">
        <x:v>850</x:v>
      </x:c>
      <x:c r="L3026" s="20" t="n">
        <x:v>127.5</x:v>
      </x:c>
      <x:c r="M3026" s="20" t="n">
        <x:v>550</x:v>
      </x:c>
      <x:c r="N3026" s="20" t="n">
        <x:f>IF(J3026=1,0,K3026-L3026)</x:f>
        <x:v>722.5</x:v>
      </x:c>
      <x:c r="O3026" s="20" t="n">
        <x:f>N3026-M3026</x:f>
        <x:v>172.5</x:v>
      </x:c>
    </x:row>
    <x:row r="3027" ht="22" customHeight="1">
      <x:c r="A3027" s="11" t="n">
        <x:v>3023</x:v>
      </x:c>
      <x:c r="B3027" s="11" t="n">
        <x:v>1532</x:v>
      </x:c>
      <x:c r="C3027" s="18" t="n">
        <x:v>45881</x:v>
      </x:c>
      <x:c r="D3027" s="11" t="str">
        <x:v>2025-08</x:v>
      </x:c>
      <x:c r="E3027" s="11" t="str">
        <x:v>South</x:v>
      </x:c>
      <x:c r="F3027" s="11" t="str">
        <x:v>Office Supplies</x:v>
      </x:c>
      <x:c r="G3027" s="11" t="str">
        <x:v>Storage box</x:v>
      </x:c>
      <x:c r="H3027" s="11" t="n">
        <x:v>5</x:v>
      </x:c>
      <x:c r="I3027" s="19" t="n">
        <x:v>0</x:v>
      </x:c>
      <x:c r="J3027" s="11" t="n">
        <x:v>0</x:v>
      </x:c>
      <x:c r="K3027" s="20" t="n">
        <x:v>130</x:v>
      </x:c>
      <x:c r="L3027" s="20" t="n">
        <x:v>0</x:v>
      </x:c>
      <x:c r="M3027" s="20" t="n">
        <x:v>60</x:v>
      </x:c>
      <x:c r="N3027" s="20" t="n">
        <x:f>IF(J3027=1,0,K3027-L3027)</x:f>
        <x:v>130</x:v>
      </x:c>
      <x:c r="O3027" s="20" t="n">
        <x:f>N3027-M3027</x:f>
        <x:v>70</x:v>
      </x:c>
    </x:row>
    <x:row r="3028" ht="22" customHeight="1">
      <x:c r="A3028" s="11" t="n">
        <x:v>3024</x:v>
      </x:c>
      <x:c r="B3028" s="11" t="n">
        <x:v>1532</x:v>
      </x:c>
      <x:c r="C3028" s="18" t="n">
        <x:v>45881</x:v>
      </x:c>
      <x:c r="D3028" s="11" t="str">
        <x:v>2025-08</x:v>
      </x:c>
      <x:c r="E3028" s="11" t="str">
        <x:v>South</x:v>
      </x:c>
      <x:c r="F3028" s="11" t="str">
        <x:v>Technology</x:v>
      </x:c>
      <x:c r="G3028" s="11" t="str">
        <x:v>Monitor</x:v>
      </x:c>
      <x:c r="H3028" s="11" t="n">
        <x:v>4</x:v>
      </x:c>
      <x:c r="I3028" s="19" t="n">
        <x:v>0.05</x:v>
      </x:c>
      <x:c r="J3028" s="11" t="n">
        <x:v>0</x:v>
      </x:c>
      <x:c r="K3028" s="20" t="n">
        <x:v>960</x:v>
      </x:c>
      <x:c r="L3028" s="20" t="n">
        <x:v>48</x:v>
      </x:c>
      <x:c r="M3028" s="20" t="n">
        <x:v>640</x:v>
      </x:c>
      <x:c r="N3028" s="20" t="n">
        <x:f>IF(J3028=1,0,K3028-L3028)</x:f>
        <x:v>912</x:v>
      </x:c>
      <x:c r="O3028" s="20" t="n">
        <x:f>N3028-M3028</x:f>
        <x:v>272</x:v>
      </x:c>
    </x:row>
    <x:row r="3029" ht="22" customHeight="1">
      <x:c r="A3029" s="11" t="n">
        <x:v>3025</x:v>
      </x:c>
      <x:c r="B3029" s="11" t="n">
        <x:v>1533</x:v>
      </x:c>
      <x:c r="C3029" s="18" t="n">
        <x:v>45953</x:v>
      </x:c>
      <x:c r="D3029" s="11" t="str">
        <x:v>2025-10</x:v>
      </x:c>
      <x:c r="E3029" s="11" t="str">
        <x:v>West</x:v>
      </x:c>
      <x:c r="F3029" s="11" t="str">
        <x:v>Office Supplies</x:v>
      </x:c>
      <x:c r="G3029" s="11" t="str">
        <x:v>Notebook pack</x:v>
      </x:c>
      <x:c r="H3029" s="11" t="n">
        <x:v>1</x:v>
      </x:c>
      <x:c r="I3029" s="19" t="n">
        <x:v>0.15</x:v>
      </x:c>
      <x:c r="J3029" s="11" t="n">
        <x:v>0</x:v>
      </x:c>
      <x:c r="K3029" s="20" t="n">
        <x:v>18</x:v>
      </x:c>
      <x:c r="L3029" s="20" t="n">
        <x:v>2.7</x:v>
      </x:c>
      <x:c r="M3029" s="20" t="n">
        <x:v>7</x:v>
      </x:c>
      <x:c r="N3029" s="20" t="n">
        <x:f>IF(J3029=1,0,K3029-L3029)</x:f>
        <x:v>15.3</x:v>
      </x:c>
      <x:c r="O3029" s="20" t="n">
        <x:f>N3029-M3029</x:f>
        <x:v>8.3</x:v>
      </x:c>
    </x:row>
    <x:row r="3030" ht="22" customHeight="1">
      <x:c r="A3030" s="11" t="n">
        <x:v>3026</x:v>
      </x:c>
      <x:c r="B3030" s="11" t="n">
        <x:v>1533</x:v>
      </x:c>
      <x:c r="C3030" s="18" t="n">
        <x:v>45953</x:v>
      </x:c>
      <x:c r="D3030" s="11" t="str">
        <x:v>2025-10</x:v>
      </x:c>
      <x:c r="E3030" s="11" t="str">
        <x:v>West</x:v>
      </x:c>
      <x:c r="F3030" s="11" t="str">
        <x:v>Technology</x:v>
      </x:c>
      <x:c r="G3030" s="11" t="str">
        <x:v>Monitor</x:v>
      </x:c>
      <x:c r="H3030" s="11" t="n">
        <x:v>4</x:v>
      </x:c>
      <x:c r="I3030" s="19" t="n">
        <x:v>0.05</x:v>
      </x:c>
      <x:c r="J3030" s="11" t="n">
        <x:v>0</x:v>
      </x:c>
      <x:c r="K3030" s="20" t="n">
        <x:v>960</x:v>
      </x:c>
      <x:c r="L3030" s="20" t="n">
        <x:v>48</x:v>
      </x:c>
      <x:c r="M3030" s="20" t="n">
        <x:v>640</x:v>
      </x:c>
      <x:c r="N3030" s="20" t="n">
        <x:f>IF(J3030=1,0,K3030-L3030)</x:f>
        <x:v>912</x:v>
      </x:c>
      <x:c r="O3030" s="20" t="n">
        <x:f>N3030-M3030</x:f>
        <x:v>272</x:v>
      </x:c>
    </x:row>
    <x:row r="3031" ht="22" customHeight="1">
      <x:c r="A3031" s="11" t="n">
        <x:v>3027</x:v>
      </x:c>
      <x:c r="B3031" s="11" t="n">
        <x:v>1534</x:v>
      </x:c>
      <x:c r="C3031" s="18" t="n">
        <x:v>45521</x:v>
      </x:c>
      <x:c r="D3031" s="11" t="str">
        <x:v>2024-08</x:v>
      </x:c>
      <x:c r="E3031" s="11" t="str">
        <x:v>Central</x:v>
      </x:c>
      <x:c r="F3031" s="11" t="str">
        <x:v>Office Supplies</x:v>
      </x:c>
      <x:c r="G3031" s="11" t="str">
        <x:v>Storage box</x:v>
      </x:c>
      <x:c r="H3031" s="11" t="n">
        <x:v>1</x:v>
      </x:c>
      <x:c r="I3031" s="19" t="n">
        <x:v>0.15</x:v>
      </x:c>
      <x:c r="J3031" s="11" t="n">
        <x:v>0</x:v>
      </x:c>
      <x:c r="K3031" s="20" t="n">
        <x:v>26</x:v>
      </x:c>
      <x:c r="L3031" s="20" t="n">
        <x:v>3.9</x:v>
      </x:c>
      <x:c r="M3031" s="20" t="n">
        <x:v>12</x:v>
      </x:c>
      <x:c r="N3031" s="20" t="n">
        <x:f>IF(J3031=1,0,K3031-L3031)</x:f>
        <x:v>22.1</x:v>
      </x:c>
      <x:c r="O3031" s="20" t="n">
        <x:f>N3031-M3031</x:f>
        <x:v>10.100000000000001</x:v>
      </x:c>
    </x:row>
    <x:row r="3032" ht="22" customHeight="1">
      <x:c r="A3032" s="11" t="n">
        <x:v>3028</x:v>
      </x:c>
      <x:c r="B3032" s="11" t="n">
        <x:v>1534</x:v>
      </x:c>
      <x:c r="C3032" s="18" t="n">
        <x:v>45521</x:v>
      </x:c>
      <x:c r="D3032" s="11" t="str">
        <x:v>2024-08</x:v>
      </x:c>
      <x:c r="E3032" s="11" t="str">
        <x:v>Central</x:v>
      </x:c>
      <x:c r="F3032" s="11" t="str">
        <x:v>Office Supplies</x:v>
      </x:c>
      <x:c r="G3032" s="11" t="str">
        <x:v>Notebook pack</x:v>
      </x:c>
      <x:c r="H3032" s="11" t="n">
        <x:v>1</x:v>
      </x:c>
      <x:c r="I3032" s="19" t="n">
        <x:v>0</x:v>
      </x:c>
      <x:c r="J3032" s="11" t="n">
        <x:v>0</x:v>
      </x:c>
      <x:c r="K3032" s="20" t="n">
        <x:v>18</x:v>
      </x:c>
      <x:c r="L3032" s="20" t="n">
        <x:v>0</x:v>
      </x:c>
      <x:c r="M3032" s="20" t="n">
        <x:v>7</x:v>
      </x:c>
      <x:c r="N3032" s="20" t="n">
        <x:f>IF(J3032=1,0,K3032-L3032)</x:f>
        <x:v>18</x:v>
      </x:c>
      <x:c r="O3032" s="20" t="n">
        <x:f>N3032-M3032</x:f>
        <x:v>11</x:v>
      </x:c>
    </x:row>
    <x:row r="3033" ht="22" customHeight="1">
      <x:c r="A3033" s="11" t="n">
        <x:v>3029</x:v>
      </x:c>
      <x:c r="B3033" s="11" t="n">
        <x:v>1535</x:v>
      </x:c>
      <x:c r="C3033" s="18" t="n">
        <x:v>45905</x:v>
      </x:c>
      <x:c r="D3033" s="11" t="str">
        <x:v>2025-09</x:v>
      </x:c>
      <x:c r="E3033" s="11" t="str">
        <x:v>Central</x:v>
      </x:c>
      <x:c r="F3033" s="11" t="str">
        <x:v>Furniture</x:v>
      </x:c>
      <x:c r="G3033" s="11" t="str">
        <x:v>Chair</x:v>
      </x:c>
      <x:c r="H3033" s="11" t="n">
        <x:v>5</x:v>
      </x:c>
      <x:c r="I3033" s="19" t="n">
        <x:v>0.15</x:v>
      </x:c>
      <x:c r="J3033" s="11" t="n">
        <x:v>0</x:v>
      </x:c>
      <x:c r="K3033" s="20" t="n">
        <x:v>850</x:v>
      </x:c>
      <x:c r="L3033" s="20" t="n">
        <x:v>127.5</x:v>
      </x:c>
      <x:c r="M3033" s="20" t="n">
        <x:v>550</x:v>
      </x:c>
      <x:c r="N3033" s="20" t="n">
        <x:f>IF(J3033=1,0,K3033-L3033)</x:f>
        <x:v>722.5</x:v>
      </x:c>
      <x:c r="O3033" s="20" t="n">
        <x:f>N3033-M3033</x:f>
        <x:v>172.5</x:v>
      </x:c>
    </x:row>
    <x:row r="3034" ht="22" customHeight="1">
      <x:c r="A3034" s="11" t="n">
        <x:v>3030</x:v>
      </x:c>
      <x:c r="B3034" s="11" t="n">
        <x:v>1536</x:v>
      </x:c>
      <x:c r="C3034" s="18" t="n">
        <x:v>45567</x:v>
      </x:c>
      <x:c r="D3034" s="11" t="str">
        <x:v>2024-10</x:v>
      </x:c>
      <x:c r="E3034" s="11" t="str">
        <x:v>South</x:v>
      </x:c>
      <x:c r="F3034" s="11" t="str">
        <x:v>Furniture</x:v>
      </x:c>
      <x:c r="G3034" s="11" t="str">
        <x:v>Chair</x:v>
      </x:c>
      <x:c r="H3034" s="11" t="n">
        <x:v>3</x:v>
      </x:c>
      <x:c r="I3034" s="19" t="n">
        <x:v>0</x:v>
      </x:c>
      <x:c r="J3034" s="11" t="n">
        <x:v>0</x:v>
      </x:c>
      <x:c r="K3034" s="20" t="n">
        <x:v>510</x:v>
      </x:c>
      <x:c r="L3034" s="20" t="n">
        <x:v>0</x:v>
      </x:c>
      <x:c r="M3034" s="20" t="n">
        <x:v>330</x:v>
      </x:c>
      <x:c r="N3034" s="20" t="n">
        <x:f>IF(J3034=1,0,K3034-L3034)</x:f>
        <x:v>510</x:v>
      </x:c>
      <x:c r="O3034" s="20" t="n">
        <x:f>N3034-M3034</x:f>
        <x:v>180</x:v>
      </x:c>
    </x:row>
    <x:row r="3035" ht="22" customHeight="1">
      <x:c r="A3035" s="11" t="n">
        <x:v>3031</x:v>
      </x:c>
      <x:c r="B3035" s="11" t="n">
        <x:v>1536</x:v>
      </x:c>
      <x:c r="C3035" s="18" t="n">
        <x:v>45567</x:v>
      </x:c>
      <x:c r="D3035" s="11" t="str">
        <x:v>2024-10</x:v>
      </x:c>
      <x:c r="E3035" s="11" t="str">
        <x:v>South</x:v>
      </x:c>
      <x:c r="F3035" s="11" t="str">
        <x:v>Technology</x:v>
      </x:c>
      <x:c r="G3035" s="11" t="str">
        <x:v>Keyboard</x:v>
      </x:c>
      <x:c r="H3035" s="11" t="n">
        <x:v>4</x:v>
      </x:c>
      <x:c r="I3035" s="19" t="n">
        <x:v>0</x:v>
      </x:c>
      <x:c r="J3035" s="11" t="n">
        <x:v>0</x:v>
      </x:c>
      <x:c r="K3035" s="20" t="n">
        <x:v>260</x:v>
      </x:c>
      <x:c r="L3035" s="20" t="n">
        <x:v>0</x:v>
      </x:c>
      <x:c r="M3035" s="20" t="n">
        <x:v>128</x:v>
      </x:c>
      <x:c r="N3035" s="20" t="n">
        <x:f>IF(J3035=1,0,K3035-L3035)</x:f>
        <x:v>260</x:v>
      </x:c>
      <x:c r="O3035" s="20" t="n">
        <x:f>N3035-M3035</x:f>
        <x:v>132</x:v>
      </x:c>
    </x:row>
    <x:row r="3036" ht="22" customHeight="1">
      <x:c r="A3036" s="11" t="n">
        <x:v>3032</x:v>
      </x:c>
      <x:c r="B3036" s="11" t="n">
        <x:v>1537</x:v>
      </x:c>
      <x:c r="C3036" s="18" t="n">
        <x:v>45627</x:v>
      </x:c>
      <x:c r="D3036" s="11" t="str">
        <x:v>2024-12</x:v>
      </x:c>
      <x:c r="E3036" s="11" t="str">
        <x:v>Central</x:v>
      </x:c>
      <x:c r="F3036" s="11" t="str">
        <x:v>Office Supplies</x:v>
      </x:c>
      <x:c r="G3036" s="11" t="str">
        <x:v>Storage box</x:v>
      </x:c>
      <x:c r="H3036" s="11" t="n">
        <x:v>2</x:v>
      </x:c>
      <x:c r="I3036" s="19" t="n">
        <x:v>0.05</x:v>
      </x:c>
      <x:c r="J3036" s="11" t="n">
        <x:v>0</x:v>
      </x:c>
      <x:c r="K3036" s="20" t="n">
        <x:v>52</x:v>
      </x:c>
      <x:c r="L3036" s="20" t="n">
        <x:v>2.6</x:v>
      </x:c>
      <x:c r="M3036" s="20" t="n">
        <x:v>24</x:v>
      </x:c>
      <x:c r="N3036" s="20" t="n">
        <x:f>IF(J3036=1,0,K3036-L3036)</x:f>
        <x:v>49.4</x:v>
      </x:c>
      <x:c r="O3036" s="20" t="n">
        <x:f>N3036-M3036</x:f>
        <x:v>25.4</x:v>
      </x:c>
    </x:row>
    <x:row r="3037" ht="22" customHeight="1">
      <x:c r="A3037" s="11" t="n">
        <x:v>3033</x:v>
      </x:c>
      <x:c r="B3037" s="11" t="n">
        <x:v>1538</x:v>
      </x:c>
      <x:c r="C3037" s="18" t="n">
        <x:v>45511</x:v>
      </x:c>
      <x:c r="D3037" s="11" t="str">
        <x:v>2024-08</x:v>
      </x:c>
      <x:c r="E3037" s="11" t="str">
        <x:v>South</x:v>
      </x:c>
      <x:c r="F3037" s="11" t="str">
        <x:v>Office Supplies</x:v>
      </x:c>
      <x:c r="G3037" s="11" t="str">
        <x:v>Notebook pack</x:v>
      </x:c>
      <x:c r="H3037" s="11" t="n">
        <x:v>4</x:v>
      </x:c>
      <x:c r="I3037" s="19" t="n">
        <x:v>0.1</x:v>
      </x:c>
      <x:c r="J3037" s="11" t="n">
        <x:v>0</x:v>
      </x:c>
      <x:c r="K3037" s="20" t="n">
        <x:v>72</x:v>
      </x:c>
      <x:c r="L3037" s="20" t="n">
        <x:v>7.2</x:v>
      </x:c>
      <x:c r="M3037" s="20" t="n">
        <x:v>28</x:v>
      </x:c>
      <x:c r="N3037" s="20" t="n">
        <x:f>IF(J3037=1,0,K3037-L3037)</x:f>
        <x:v>64.8</x:v>
      </x:c>
      <x:c r="O3037" s="20" t="n">
        <x:f>N3037-M3037</x:f>
        <x:v>36.8</x:v>
      </x:c>
    </x:row>
    <x:row r="3038" ht="22" customHeight="1">
      <x:c r="A3038" s="11" t="n">
        <x:v>3034</x:v>
      </x:c>
      <x:c r="B3038" s="11" t="n">
        <x:v>1538</x:v>
      </x:c>
      <x:c r="C3038" s="18" t="n">
        <x:v>45511</x:v>
      </x:c>
      <x:c r="D3038" s="11" t="str">
        <x:v>2024-08</x:v>
      </x:c>
      <x:c r="E3038" s="11" t="str">
        <x:v>South</x:v>
      </x:c>
      <x:c r="F3038" s="11" t="str">
        <x:v>Furniture</x:v>
      </x:c>
      <x:c r="G3038" s="11" t="str">
        <x:v>Desk</x:v>
      </x:c>
      <x:c r="H3038" s="11" t="n">
        <x:v>1</x:v>
      </x:c>
      <x:c r="I3038" s="19" t="n">
        <x:v>0</x:v>
      </x:c>
      <x:c r="J3038" s="11" t="n">
        <x:v>0</x:v>
      </x:c>
      <x:c r="K3038" s="20" t="n">
        <x:v>280</x:v>
      </x:c>
      <x:c r="L3038" s="20" t="n">
        <x:v>0</x:v>
      </x:c>
      <x:c r="M3038" s="20" t="n">
        <x:v>190</x:v>
      </x:c>
      <x:c r="N3038" s="20" t="n">
        <x:f>IF(J3038=1,0,K3038-L3038)</x:f>
        <x:v>280</x:v>
      </x:c>
      <x:c r="O3038" s="20" t="n">
        <x:f>N3038-M3038</x:f>
        <x:v>90</x:v>
      </x:c>
    </x:row>
    <x:row r="3039" ht="22" customHeight="1">
      <x:c r="A3039" s="11" t="n">
        <x:v>3035</x:v>
      </x:c>
      <x:c r="B3039" s="11" t="n">
        <x:v>1538</x:v>
      </x:c>
      <x:c r="C3039" s="18" t="n">
        <x:v>45511</x:v>
      </x:c>
      <x:c r="D3039" s="11" t="str">
        <x:v>2024-08</x:v>
      </x:c>
      <x:c r="E3039" s="11" t="str">
        <x:v>South</x:v>
      </x:c>
      <x:c r="F3039" s="11" t="str">
        <x:v>Furniture</x:v>
      </x:c>
      <x:c r="G3039" s="11" t="str">
        <x:v>Chair</x:v>
      </x:c>
      <x:c r="H3039" s="11" t="n">
        <x:v>3</x:v>
      </x:c>
      <x:c r="I3039" s="19" t="n">
        <x:v>0</x:v>
      </x:c>
      <x:c r="J3039" s="11" t="n">
        <x:v>0</x:v>
      </x:c>
      <x:c r="K3039" s="20" t="n">
        <x:v>510</x:v>
      </x:c>
      <x:c r="L3039" s="20" t="n">
        <x:v>0</x:v>
      </x:c>
      <x:c r="M3039" s="20" t="n">
        <x:v>330</x:v>
      </x:c>
      <x:c r="N3039" s="20" t="n">
        <x:f>IF(J3039=1,0,K3039-L3039)</x:f>
        <x:v>510</x:v>
      </x:c>
      <x:c r="O3039" s="20" t="n">
        <x:f>N3039-M3039</x:f>
        <x:v>180</x:v>
      </x:c>
    </x:row>
    <x:row r="3040" ht="22" customHeight="1">
      <x:c r="A3040" s="11" t="n">
        <x:v>3036</x:v>
      </x:c>
      <x:c r="B3040" s="11" t="n">
        <x:v>1539</x:v>
      </x:c>
      <x:c r="C3040" s="18" t="n">
        <x:v>45950</x:v>
      </x:c>
      <x:c r="D3040" s="11" t="str">
        <x:v>2025-10</x:v>
      </x:c>
      <x:c r="E3040" s="11" t="str">
        <x:v>West</x:v>
      </x:c>
      <x:c r="F3040" s="11" t="str">
        <x:v>Furniture</x:v>
      </x:c>
      <x:c r="G3040" s="11" t="str">
        <x:v>Desk</x:v>
      </x:c>
      <x:c r="H3040" s="11" t="n">
        <x:v>3</x:v>
      </x:c>
      <x:c r="I3040" s="19" t="n">
        <x:v>0</x:v>
      </x:c>
      <x:c r="J3040" s="11" t="n">
        <x:v>0</x:v>
      </x:c>
      <x:c r="K3040" s="20" t="n">
        <x:v>840</x:v>
      </x:c>
      <x:c r="L3040" s="20" t="n">
        <x:v>0</x:v>
      </x:c>
      <x:c r="M3040" s="20" t="n">
        <x:v>570</x:v>
      </x:c>
      <x:c r="N3040" s="20" t="n">
        <x:f>IF(J3040=1,0,K3040-L3040)</x:f>
        <x:v>840</x:v>
      </x:c>
      <x:c r="O3040" s="20" t="n">
        <x:f>N3040-M3040</x:f>
        <x:v>270</x:v>
      </x:c>
    </x:row>
    <x:row r="3041" ht="22" customHeight="1">
      <x:c r="A3041" s="11" t="n">
        <x:v>3037</x:v>
      </x:c>
      <x:c r="B3041" s="11" t="n">
        <x:v>1540</x:v>
      </x:c>
      <x:c r="C3041" s="18" t="n">
        <x:v>45922</x:v>
      </x:c>
      <x:c r="D3041" s="11" t="str">
        <x:v>2025-09</x:v>
      </x:c>
      <x:c r="E3041" s="11" t="str">
        <x:v>East</x:v>
      </x:c>
      <x:c r="F3041" s="11" t="str">
        <x:v>Office Supplies</x:v>
      </x:c>
      <x:c r="G3041" s="11" t="str">
        <x:v>Notebook pack</x:v>
      </x:c>
      <x:c r="H3041" s="11" t="n">
        <x:v>5</x:v>
      </x:c>
      <x:c r="I3041" s="19" t="n">
        <x:v>0</x:v>
      </x:c>
      <x:c r="J3041" s="11" t="n">
        <x:v>0</x:v>
      </x:c>
      <x:c r="K3041" s="20" t="n">
        <x:v>90</x:v>
      </x:c>
      <x:c r="L3041" s="20" t="n">
        <x:v>0</x:v>
      </x:c>
      <x:c r="M3041" s="20" t="n">
        <x:v>35</x:v>
      </x:c>
      <x:c r="N3041" s="20" t="n">
        <x:f>IF(J3041=1,0,K3041-L3041)</x:f>
        <x:v>90</x:v>
      </x:c>
      <x:c r="O3041" s="20" t="n">
        <x:f>N3041-M3041</x:f>
        <x:v>55</x:v>
      </x:c>
    </x:row>
    <x:row r="3042" ht="22" customHeight="1">
      <x:c r="A3042" s="11" t="n">
        <x:v>3038</x:v>
      </x:c>
      <x:c r="B3042" s="11" t="n">
        <x:v>1540</x:v>
      </x:c>
      <x:c r="C3042" s="18" t="n">
        <x:v>45922</x:v>
      </x:c>
      <x:c r="D3042" s="11" t="str">
        <x:v>2025-09</x:v>
      </x:c>
      <x:c r="E3042" s="11" t="str">
        <x:v>East</x:v>
      </x:c>
      <x:c r="F3042" s="11" t="str">
        <x:v>Office Supplies</x:v>
      </x:c>
      <x:c r="G3042" s="11" t="str">
        <x:v>Storage box</x:v>
      </x:c>
      <x:c r="H3042" s="11" t="n">
        <x:v>2</x:v>
      </x:c>
      <x:c r="I3042" s="19" t="n">
        <x:v>0.1</x:v>
      </x:c>
      <x:c r="J3042" s="11" t="n">
        <x:v>1</x:v>
      </x:c>
      <x:c r="K3042" s="20" t="n">
        <x:v>52</x:v>
      </x:c>
      <x:c r="L3042" s="20" t="n">
        <x:v>5.2</x:v>
      </x:c>
      <x:c r="M3042" s="20" t="n">
        <x:v>0</x:v>
      </x:c>
      <x:c r="N3042" s="20" t="n">
        <x:f>IF(J3042=1,0,K3042-L3042)</x:f>
        <x:v>0</x:v>
      </x:c>
      <x:c r="O3042" s="20" t="n">
        <x:f>N3042-M3042</x:f>
        <x:v>0</x:v>
      </x:c>
    </x:row>
    <x:row r="3043" ht="22" customHeight="1">
      <x:c r="A3043" s="11" t="n">
        <x:v>3039</x:v>
      </x:c>
      <x:c r="B3043" s="11" t="n">
        <x:v>1540</x:v>
      </x:c>
      <x:c r="C3043" s="18" t="n">
        <x:v>45922</x:v>
      </x:c>
      <x:c r="D3043" s="11" t="str">
        <x:v>2025-09</x:v>
      </x:c>
      <x:c r="E3043" s="11" t="str">
        <x:v>East</x:v>
      </x:c>
      <x:c r="F3043" s="11" t="str">
        <x:v>Technology</x:v>
      </x:c>
      <x:c r="G3043" s="11" t="str">
        <x:v>Keyboard</x:v>
      </x:c>
      <x:c r="H3043" s="11" t="n">
        <x:v>3</x:v>
      </x:c>
      <x:c r="I3043" s="19" t="n">
        <x:v>0</x:v>
      </x:c>
      <x:c r="J3043" s="11" t="n">
        <x:v>0</x:v>
      </x:c>
      <x:c r="K3043" s="20" t="n">
        <x:v>195</x:v>
      </x:c>
      <x:c r="L3043" s="20" t="n">
        <x:v>0</x:v>
      </x:c>
      <x:c r="M3043" s="20" t="n">
        <x:v>96</x:v>
      </x:c>
      <x:c r="N3043" s="20" t="n">
        <x:f>IF(J3043=1,0,K3043-L3043)</x:f>
        <x:v>195</x:v>
      </x:c>
      <x:c r="O3043" s="20" t="n">
        <x:f>N3043-M3043</x:f>
        <x:v>99</x:v>
      </x:c>
    </x:row>
    <x:row r="3044" ht="22" customHeight="1">
      <x:c r="A3044" s="11" t="n">
        <x:v>3040</x:v>
      </x:c>
      <x:c r="B3044" s="11" t="n">
        <x:v>1541</x:v>
      </x:c>
      <x:c r="C3044" s="18" t="n">
        <x:v>45818</x:v>
      </x:c>
      <x:c r="D3044" s="11" t="str">
        <x:v>2025-06</x:v>
      </x:c>
      <x:c r="E3044" s="11" t="str">
        <x:v>South</x:v>
      </x:c>
      <x:c r="F3044" s="11" t="str">
        <x:v>Furniture</x:v>
      </x:c>
      <x:c r="G3044" s="11" t="str">
        <x:v>Chair</x:v>
      </x:c>
      <x:c r="H3044" s="11" t="n">
        <x:v>3</x:v>
      </x:c>
      <x:c r="I3044" s="19" t="n">
        <x:v>0.25</x:v>
      </x:c>
      <x:c r="J3044" s="11" t="n">
        <x:v>0</x:v>
      </x:c>
      <x:c r="K3044" s="20" t="n">
        <x:v>510</x:v>
      </x:c>
      <x:c r="L3044" s="20" t="n">
        <x:v>127.5</x:v>
      </x:c>
      <x:c r="M3044" s="20" t="n">
        <x:v>330</x:v>
      </x:c>
      <x:c r="N3044" s="20" t="n">
        <x:f>IF(J3044=1,0,K3044-L3044)</x:f>
        <x:v>382.5</x:v>
      </x:c>
      <x:c r="O3044" s="20" t="n">
        <x:f>N3044-M3044</x:f>
        <x:v>52.5</x:v>
      </x:c>
    </x:row>
    <x:row r="3045" ht="22" customHeight="1">
      <x:c r="A3045" s="11" t="n">
        <x:v>3041</x:v>
      </x:c>
      <x:c r="B3045" s="11" t="n">
        <x:v>1541</x:v>
      </x:c>
      <x:c r="C3045" s="18" t="n">
        <x:v>45818</x:v>
      </x:c>
      <x:c r="D3045" s="11" t="str">
        <x:v>2025-06</x:v>
      </x:c>
      <x:c r="E3045" s="11" t="str">
        <x:v>South</x:v>
      </x:c>
      <x:c r="F3045" s="11" t="str">
        <x:v>Office Supplies</x:v>
      </x:c>
      <x:c r="G3045" s="11" t="str">
        <x:v>Storage box</x:v>
      </x:c>
      <x:c r="H3045" s="11" t="n">
        <x:v>3</x:v>
      </x:c>
      <x:c r="I3045" s="19" t="n">
        <x:v>0.15</x:v>
      </x:c>
      <x:c r="J3045" s="11" t="n">
        <x:v>0</x:v>
      </x:c>
      <x:c r="K3045" s="20" t="n">
        <x:v>78</x:v>
      </x:c>
      <x:c r="L3045" s="20" t="n">
        <x:v>11.7</x:v>
      </x:c>
      <x:c r="M3045" s="20" t="n">
        <x:v>36</x:v>
      </x:c>
      <x:c r="N3045" s="20" t="n">
        <x:f>IF(J3045=1,0,K3045-L3045)</x:f>
        <x:v>66.3</x:v>
      </x:c>
      <x:c r="O3045" s="20" t="n">
        <x:f>N3045-M3045</x:f>
        <x:v>30.299999999999997</x:v>
      </x:c>
    </x:row>
    <x:row r="3046" ht="22" customHeight="1">
      <x:c r="A3046" s="11" t="n">
        <x:v>3042</x:v>
      </x:c>
      <x:c r="B3046" s="11" t="n">
        <x:v>1542</x:v>
      </x:c>
      <x:c r="C3046" s="18" t="n">
        <x:v>45752</x:v>
      </x:c>
      <x:c r="D3046" s="11" t="str">
        <x:v>2025-04</x:v>
      </x:c>
      <x:c r="E3046" s="11" t="str">
        <x:v>Central</x:v>
      </x:c>
      <x:c r="F3046" s="11" t="str">
        <x:v>Technology</x:v>
      </x:c>
      <x:c r="G3046" s="11" t="str">
        <x:v>Monitor</x:v>
      </x:c>
      <x:c r="H3046" s="11" t="n">
        <x:v>2</x:v>
      </x:c>
      <x:c r="I3046" s="19" t="n">
        <x:v>0.1</x:v>
      </x:c>
      <x:c r="J3046" s="11" t="n">
        <x:v>0</x:v>
      </x:c>
      <x:c r="K3046" s="20" t="n">
        <x:v>480</x:v>
      </x:c>
      <x:c r="L3046" s="20" t="n">
        <x:v>48</x:v>
      </x:c>
      <x:c r="M3046" s="20" t="n">
        <x:v>320</x:v>
      </x:c>
      <x:c r="N3046" s="20" t="n">
        <x:f>IF(J3046=1,0,K3046-L3046)</x:f>
        <x:v>432</x:v>
      </x:c>
      <x:c r="O3046" s="20" t="n">
        <x:f>N3046-M3046</x:f>
        <x:v>112</x:v>
      </x:c>
    </x:row>
    <x:row r="3047" ht="22" customHeight="1">
      <x:c r="A3047" s="11" t="n">
        <x:v>3043</x:v>
      </x:c>
      <x:c r="B3047" s="11" t="n">
        <x:v>1542</x:v>
      </x:c>
      <x:c r="C3047" s="18" t="n">
        <x:v>45752</x:v>
      </x:c>
      <x:c r="D3047" s="11" t="str">
        <x:v>2025-04</x:v>
      </x:c>
      <x:c r="E3047" s="11" t="str">
        <x:v>Central</x:v>
      </x:c>
      <x:c r="F3047" s="11" t="str">
        <x:v>Furniture</x:v>
      </x:c>
      <x:c r="G3047" s="11" t="str">
        <x:v>Chair</x:v>
      </x:c>
      <x:c r="H3047" s="11" t="n">
        <x:v>5</x:v>
      </x:c>
      <x:c r="I3047" s="19" t="n">
        <x:v>0.15</x:v>
      </x:c>
      <x:c r="J3047" s="11" t="n">
        <x:v>0</x:v>
      </x:c>
      <x:c r="K3047" s="20" t="n">
        <x:v>850</x:v>
      </x:c>
      <x:c r="L3047" s="20" t="n">
        <x:v>127.5</x:v>
      </x:c>
      <x:c r="M3047" s="20" t="n">
        <x:v>550</x:v>
      </x:c>
      <x:c r="N3047" s="20" t="n">
        <x:f>IF(J3047=1,0,K3047-L3047)</x:f>
        <x:v>722.5</x:v>
      </x:c>
      <x:c r="O3047" s="20" t="n">
        <x:f>N3047-M3047</x:f>
        <x:v>172.5</x:v>
      </x:c>
    </x:row>
    <x:row r="3048" ht="22" customHeight="1">
      <x:c r="A3048" s="11" t="n">
        <x:v>3044</x:v>
      </x:c>
      <x:c r="B3048" s="11" t="n">
        <x:v>1543</x:v>
      </x:c>
      <x:c r="C3048" s="18" t="n">
        <x:v>45977</x:v>
      </x:c>
      <x:c r="D3048" s="11" t="str">
        <x:v>2025-11</x:v>
      </x:c>
      <x:c r="E3048" s="11" t="str">
        <x:v>West</x:v>
      </x:c>
      <x:c r="F3048" s="11" t="str">
        <x:v>Office Supplies</x:v>
      </x:c>
      <x:c r="G3048" s="11" t="str">
        <x:v>Notebook pack</x:v>
      </x:c>
      <x:c r="H3048" s="11" t="n">
        <x:v>3</x:v>
      </x:c>
      <x:c r="I3048" s="19" t="n">
        <x:v>0.15</x:v>
      </x:c>
      <x:c r="J3048" s="11" t="n">
        <x:v>0</x:v>
      </x:c>
      <x:c r="K3048" s="20" t="n">
        <x:v>54</x:v>
      </x:c>
      <x:c r="L3048" s="20" t="n">
        <x:v>8.1</x:v>
      </x:c>
      <x:c r="M3048" s="20" t="n">
        <x:v>21</x:v>
      </x:c>
      <x:c r="N3048" s="20" t="n">
        <x:f>IF(J3048=1,0,K3048-L3048)</x:f>
        <x:v>45.9</x:v>
      </x:c>
      <x:c r="O3048" s="20" t="n">
        <x:f>N3048-M3048</x:f>
        <x:v>24.9</x:v>
      </x:c>
    </x:row>
    <x:row r="3049" ht="22" customHeight="1">
      <x:c r="A3049" s="11" t="n">
        <x:v>3045</x:v>
      </x:c>
      <x:c r="B3049" s="11" t="n">
        <x:v>1543</x:v>
      </x:c>
      <x:c r="C3049" s="18" t="n">
        <x:v>45977</x:v>
      </x:c>
      <x:c r="D3049" s="11" t="str">
        <x:v>2025-11</x:v>
      </x:c>
      <x:c r="E3049" s="11" t="str">
        <x:v>West</x:v>
      </x:c>
      <x:c r="F3049" s="11" t="str">
        <x:v>Technology</x:v>
      </x:c>
      <x:c r="G3049" s="11" t="str">
        <x:v>Keyboard</x:v>
      </x:c>
      <x:c r="H3049" s="11" t="n">
        <x:v>5</x:v>
      </x:c>
      <x:c r="I3049" s="19" t="n">
        <x:v>0</x:v>
      </x:c>
      <x:c r="J3049" s="11" t="n">
        <x:v>0</x:v>
      </x:c>
      <x:c r="K3049" s="20" t="n">
        <x:v>325</x:v>
      </x:c>
      <x:c r="L3049" s="20" t="n">
        <x:v>0</x:v>
      </x:c>
      <x:c r="M3049" s="20" t="n">
        <x:v>160</x:v>
      </x:c>
      <x:c r="N3049" s="20" t="n">
        <x:f>IF(J3049=1,0,K3049-L3049)</x:f>
        <x:v>325</x:v>
      </x:c>
      <x:c r="O3049" s="20" t="n">
        <x:f>N3049-M3049</x:f>
        <x:v>165</x:v>
      </x:c>
    </x:row>
    <x:row r="3050" ht="22" customHeight="1">
      <x:c r="A3050" s="11" t="n">
        <x:v>3046</x:v>
      </x:c>
      <x:c r="B3050" s="11" t="n">
        <x:v>1543</x:v>
      </x:c>
      <x:c r="C3050" s="18" t="n">
        <x:v>45977</x:v>
      </x:c>
      <x:c r="D3050" s="11" t="str">
        <x:v>2025-11</x:v>
      </x:c>
      <x:c r="E3050" s="11" t="str">
        <x:v>West</x:v>
      </x:c>
      <x:c r="F3050" s="11" t="str">
        <x:v>Technology</x:v>
      </x:c>
      <x:c r="G3050" s="11" t="str">
        <x:v>Monitor</x:v>
      </x:c>
      <x:c r="H3050" s="11" t="n">
        <x:v>5</x:v>
      </x:c>
      <x:c r="I3050" s="19" t="n">
        <x:v>0</x:v>
      </x:c>
      <x:c r="J3050" s="11" t="n">
        <x:v>0</x:v>
      </x:c>
      <x:c r="K3050" s="20" t="n">
        <x:v>1200</x:v>
      </x:c>
      <x:c r="L3050" s="20" t="n">
        <x:v>0</x:v>
      </x:c>
      <x:c r="M3050" s="20" t="n">
        <x:v>800</x:v>
      </x:c>
      <x:c r="N3050" s="20" t="n">
        <x:f>IF(J3050=1,0,K3050-L3050)</x:f>
        <x:v>1200</x:v>
      </x:c>
      <x:c r="O3050" s="20" t="n">
        <x:f>N3050-M3050</x:f>
        <x:v>400</x:v>
      </x:c>
    </x:row>
    <x:row r="3051" ht="22" customHeight="1">
      <x:c r="A3051" s="11" t="n">
        <x:v>3047</x:v>
      </x:c>
      <x:c r="B3051" s="11" t="n">
        <x:v>1544</x:v>
      </x:c>
      <x:c r="C3051" s="18" t="n">
        <x:v>46001</x:v>
      </x:c>
      <x:c r="D3051" s="11" t="str">
        <x:v>2025-12</x:v>
      </x:c>
      <x:c r="E3051" s="11" t="str">
        <x:v>South</x:v>
      </x:c>
      <x:c r="F3051" s="11" t="str">
        <x:v>Furniture</x:v>
      </x:c>
      <x:c r="G3051" s="11" t="str">
        <x:v>Chair</x:v>
      </x:c>
      <x:c r="H3051" s="11" t="n">
        <x:v>1</x:v>
      </x:c>
      <x:c r="I3051" s="19" t="n">
        <x:v>0</x:v>
      </x:c>
      <x:c r="J3051" s="11" t="n">
        <x:v>1</x:v>
      </x:c>
      <x:c r="K3051" s="20" t="n">
        <x:v>170</x:v>
      </x:c>
      <x:c r="L3051" s="20" t="n">
        <x:v>0</x:v>
      </x:c>
      <x:c r="M3051" s="20" t="n">
        <x:v>0</x:v>
      </x:c>
      <x:c r="N3051" s="20" t="n">
        <x:f>IF(J3051=1,0,K3051-L3051)</x:f>
        <x:v>0</x:v>
      </x:c>
      <x:c r="O3051" s="20" t="n">
        <x:f>N3051-M3051</x:f>
        <x:v>0</x:v>
      </x:c>
    </x:row>
    <x:row r="3052" ht="22" customHeight="1">
      <x:c r="A3052" s="11" t="n">
        <x:v>3048</x:v>
      </x:c>
      <x:c r="B3052" s="11" t="n">
        <x:v>1545</x:v>
      </x:c>
      <x:c r="C3052" s="18" t="n">
        <x:v>45606</x:v>
      </x:c>
      <x:c r="D3052" s="11" t="str">
        <x:v>2024-11</x:v>
      </x:c>
      <x:c r="E3052" s="11" t="str">
        <x:v>South</x:v>
      </x:c>
      <x:c r="F3052" s="11" t="str">
        <x:v>Office Supplies</x:v>
      </x:c>
      <x:c r="G3052" s="11" t="str">
        <x:v>Storage box</x:v>
      </x:c>
      <x:c r="H3052" s="11" t="n">
        <x:v>2</x:v>
      </x:c>
      <x:c r="I3052" s="19" t="n">
        <x:v>0</x:v>
      </x:c>
      <x:c r="J3052" s="11" t="n">
        <x:v>0</x:v>
      </x:c>
      <x:c r="K3052" s="20" t="n">
        <x:v>52</x:v>
      </x:c>
      <x:c r="L3052" s="20" t="n">
        <x:v>0</x:v>
      </x:c>
      <x:c r="M3052" s="20" t="n">
        <x:v>24</x:v>
      </x:c>
      <x:c r="N3052" s="20" t="n">
        <x:f>IF(J3052=1,0,K3052-L3052)</x:f>
        <x:v>52</x:v>
      </x:c>
      <x:c r="O3052" s="20" t="n">
        <x:f>N3052-M3052</x:f>
        <x:v>28</x:v>
      </x:c>
    </x:row>
    <x:row r="3053" ht="22" customHeight="1">
      <x:c r="A3053" s="11" t="n">
        <x:v>3049</x:v>
      </x:c>
      <x:c r="B3053" s="11" t="n">
        <x:v>1545</x:v>
      </x:c>
      <x:c r="C3053" s="18" t="n">
        <x:v>45606</x:v>
      </x:c>
      <x:c r="D3053" s="11" t="str">
        <x:v>2024-11</x:v>
      </x:c>
      <x:c r="E3053" s="11" t="str">
        <x:v>South</x:v>
      </x:c>
      <x:c r="F3053" s="11" t="str">
        <x:v>Furniture</x:v>
      </x:c>
      <x:c r="G3053" s="11" t="str">
        <x:v>Chair</x:v>
      </x:c>
      <x:c r="H3053" s="11" t="n">
        <x:v>1</x:v>
      </x:c>
      <x:c r="I3053" s="19" t="n">
        <x:v>0.15</x:v>
      </x:c>
      <x:c r="J3053" s="11" t="n">
        <x:v>0</x:v>
      </x:c>
      <x:c r="K3053" s="20" t="n">
        <x:v>170</x:v>
      </x:c>
      <x:c r="L3053" s="20" t="n">
        <x:v>25.5</x:v>
      </x:c>
      <x:c r="M3053" s="20" t="n">
        <x:v>110</x:v>
      </x:c>
      <x:c r="N3053" s="20" t="n">
        <x:f>IF(J3053=1,0,K3053-L3053)</x:f>
        <x:v>144.5</x:v>
      </x:c>
      <x:c r="O3053" s="20" t="n">
        <x:f>N3053-M3053</x:f>
        <x:v>34.5</x:v>
      </x:c>
    </x:row>
    <x:row r="3054" ht="22" customHeight="1">
      <x:c r="A3054" s="11" t="n">
        <x:v>3050</x:v>
      </x:c>
      <x:c r="B3054" s="11" t="n">
        <x:v>1545</x:v>
      </x:c>
      <x:c r="C3054" s="18" t="n">
        <x:v>45606</x:v>
      </x:c>
      <x:c r="D3054" s="11" t="str">
        <x:v>2024-11</x:v>
      </x:c>
      <x:c r="E3054" s="11" t="str">
        <x:v>South</x:v>
      </x:c>
      <x:c r="F3054" s="11" t="str">
        <x:v>Furniture</x:v>
      </x:c>
      <x:c r="G3054" s="11" t="str">
        <x:v>Desk</x:v>
      </x:c>
      <x:c r="H3054" s="11" t="n">
        <x:v>1</x:v>
      </x:c>
      <x:c r="I3054" s="19" t="n">
        <x:v>0.05</x:v>
      </x:c>
      <x:c r="J3054" s="11" t="n">
        <x:v>1</x:v>
      </x:c>
      <x:c r="K3054" s="20" t="n">
        <x:v>280</x:v>
      </x:c>
      <x:c r="L3054" s="20" t="n">
        <x:v>14</x:v>
      </x:c>
      <x:c r="M3054" s="20" t="n">
        <x:v>0</x:v>
      </x:c>
      <x:c r="N3054" s="20" t="n">
        <x:f>IF(J3054=1,0,K3054-L3054)</x:f>
        <x:v>0</x:v>
      </x:c>
      <x:c r="O3054" s="20" t="n">
        <x:f>N3054-M3054</x:f>
        <x:v>0</x:v>
      </x:c>
    </x:row>
    <x:row r="3055" ht="22" customHeight="1">
      <x:c r="A3055" s="11" t="n">
        <x:v>3051</x:v>
      </x:c>
      <x:c r="B3055" s="11" t="n">
        <x:v>1546</x:v>
      </x:c>
      <x:c r="C3055" s="18" t="n">
        <x:v>45640</x:v>
      </x:c>
      <x:c r="D3055" s="11" t="str">
        <x:v>2024-12</x:v>
      </x:c>
      <x:c r="E3055" s="11" t="str">
        <x:v>Central</x:v>
      </x:c>
      <x:c r="F3055" s="11" t="str">
        <x:v>Furniture</x:v>
      </x:c>
      <x:c r="G3055" s="11" t="str">
        <x:v>Chair</x:v>
      </x:c>
      <x:c r="H3055" s="11" t="n">
        <x:v>1</x:v>
      </x:c>
      <x:c r="I3055" s="19" t="n">
        <x:v>0.1</x:v>
      </x:c>
      <x:c r="J3055" s="11" t="n">
        <x:v>0</x:v>
      </x:c>
      <x:c r="K3055" s="20" t="n">
        <x:v>170</x:v>
      </x:c>
      <x:c r="L3055" s="20" t="n">
        <x:v>17</x:v>
      </x:c>
      <x:c r="M3055" s="20" t="n">
        <x:v>110</x:v>
      </x:c>
      <x:c r="N3055" s="20" t="n">
        <x:f>IF(J3055=1,0,K3055-L3055)</x:f>
        <x:v>153</x:v>
      </x:c>
      <x:c r="O3055" s="20" t="n">
        <x:f>N3055-M3055</x:f>
        <x:v>43</x:v>
      </x:c>
    </x:row>
    <x:row r="3056" ht="22" customHeight="1">
      <x:c r="A3056" s="11" t="n">
        <x:v>3052</x:v>
      </x:c>
      <x:c r="B3056" s="11" t="n">
        <x:v>1546</x:v>
      </x:c>
      <x:c r="C3056" s="18" t="n">
        <x:v>45640</x:v>
      </x:c>
      <x:c r="D3056" s="11" t="str">
        <x:v>2024-12</x:v>
      </x:c>
      <x:c r="E3056" s="11" t="str">
        <x:v>Central</x:v>
      </x:c>
      <x:c r="F3056" s="11" t="str">
        <x:v>Technology</x:v>
      </x:c>
      <x:c r="G3056" s="11" t="str">
        <x:v>Keyboard</x:v>
      </x:c>
      <x:c r="H3056" s="11" t="n">
        <x:v>5</x:v>
      </x:c>
      <x:c r="I3056" s="19" t="n">
        <x:v>0.15</x:v>
      </x:c>
      <x:c r="J3056" s="11" t="n">
        <x:v>0</x:v>
      </x:c>
      <x:c r="K3056" s="20" t="n">
        <x:v>325</x:v>
      </x:c>
      <x:c r="L3056" s="20" t="n">
        <x:v>48.75</x:v>
      </x:c>
      <x:c r="M3056" s="20" t="n">
        <x:v>160</x:v>
      </x:c>
      <x:c r="N3056" s="20" t="n">
        <x:f>IF(J3056=1,0,K3056-L3056)</x:f>
        <x:v>276.25</x:v>
      </x:c>
      <x:c r="O3056" s="20" t="n">
        <x:f>N3056-M3056</x:f>
        <x:v>116.25</x:v>
      </x:c>
    </x:row>
    <x:row r="3057" ht="22" customHeight="1">
      <x:c r="A3057" s="11" t="n">
        <x:v>3053</x:v>
      </x:c>
      <x:c r="B3057" s="11" t="n">
        <x:v>1546</x:v>
      </x:c>
      <x:c r="C3057" s="18" t="n">
        <x:v>45640</x:v>
      </x:c>
      <x:c r="D3057" s="11" t="str">
        <x:v>2024-12</x:v>
      </x:c>
      <x:c r="E3057" s="11" t="str">
        <x:v>Central</x:v>
      </x:c>
      <x:c r="F3057" s="11" t="str">
        <x:v>Office Supplies</x:v>
      </x:c>
      <x:c r="G3057" s="11" t="str">
        <x:v>Storage box</x:v>
      </x:c>
      <x:c r="H3057" s="11" t="n">
        <x:v>4</x:v>
      </x:c>
      <x:c r="I3057" s="19" t="n">
        <x:v>0.15</x:v>
      </x:c>
      <x:c r="J3057" s="11" t="n">
        <x:v>0</x:v>
      </x:c>
      <x:c r="K3057" s="20" t="n">
        <x:v>104</x:v>
      </x:c>
      <x:c r="L3057" s="20" t="n">
        <x:v>15.6</x:v>
      </x:c>
      <x:c r="M3057" s="20" t="n">
        <x:v>48</x:v>
      </x:c>
      <x:c r="N3057" s="20" t="n">
        <x:f>IF(J3057=1,0,K3057-L3057)</x:f>
        <x:v>88.4</x:v>
      </x:c>
      <x:c r="O3057" s="20" t="n">
        <x:f>N3057-M3057</x:f>
        <x:v>40.400000000000006</x:v>
      </x:c>
    </x:row>
    <x:row r="3058" ht="22" customHeight="1">
      <x:c r="A3058" s="11" t="n">
        <x:v>3054</x:v>
      </x:c>
      <x:c r="B3058" s="11" t="n">
        <x:v>1547</x:v>
      </x:c>
      <x:c r="C3058" s="18" t="n">
        <x:v>45794</x:v>
      </x:c>
      <x:c r="D3058" s="11" t="str">
        <x:v>2025-05</x:v>
      </x:c>
      <x:c r="E3058" s="11" t="str">
        <x:v>South</x:v>
      </x:c>
      <x:c r="F3058" s="11" t="str">
        <x:v>Furniture</x:v>
      </x:c>
      <x:c r="G3058" s="11" t="str">
        <x:v>Chair</x:v>
      </x:c>
      <x:c r="H3058" s="11" t="n">
        <x:v>4</x:v>
      </x:c>
      <x:c r="I3058" s="19" t="n">
        <x:v>0.1</x:v>
      </x:c>
      <x:c r="J3058" s="11" t="n">
        <x:v>0</x:v>
      </x:c>
      <x:c r="K3058" s="20" t="n">
        <x:v>680</x:v>
      </x:c>
      <x:c r="L3058" s="20" t="n">
        <x:v>68</x:v>
      </x:c>
      <x:c r="M3058" s="20" t="n">
        <x:v>440</x:v>
      </x:c>
      <x:c r="N3058" s="20" t="n">
        <x:f>IF(J3058=1,0,K3058-L3058)</x:f>
        <x:v>612</x:v>
      </x:c>
      <x:c r="O3058" s="20" t="n">
        <x:f>N3058-M3058</x:f>
        <x:v>172</x:v>
      </x:c>
    </x:row>
    <x:row r="3059" ht="22" customHeight="1">
      <x:c r="A3059" s="11" t="n">
        <x:v>3055</x:v>
      </x:c>
      <x:c r="B3059" s="11" t="n">
        <x:v>1547</x:v>
      </x:c>
      <x:c r="C3059" s="18" t="n">
        <x:v>45794</x:v>
      </x:c>
      <x:c r="D3059" s="11" t="str">
        <x:v>2025-05</x:v>
      </x:c>
      <x:c r="E3059" s="11" t="str">
        <x:v>South</x:v>
      </x:c>
      <x:c r="F3059" s="11" t="str">
        <x:v>Technology</x:v>
      </x:c>
      <x:c r="G3059" s="11" t="str">
        <x:v>Keyboard</x:v>
      </x:c>
      <x:c r="H3059" s="11" t="n">
        <x:v>2</x:v>
      </x:c>
      <x:c r="I3059" s="19" t="n">
        <x:v>0</x:v>
      </x:c>
      <x:c r="J3059" s="11" t="n">
        <x:v>0</x:v>
      </x:c>
      <x:c r="K3059" s="20" t="n">
        <x:v>130</x:v>
      </x:c>
      <x:c r="L3059" s="20" t="n">
        <x:v>0</x:v>
      </x:c>
      <x:c r="M3059" s="20" t="n">
        <x:v>64</x:v>
      </x:c>
      <x:c r="N3059" s="20" t="n">
        <x:f>IF(J3059=1,0,K3059-L3059)</x:f>
        <x:v>130</x:v>
      </x:c>
      <x:c r="O3059" s="20" t="n">
        <x:f>N3059-M3059</x:f>
        <x:v>66</x:v>
      </x:c>
    </x:row>
    <x:row r="3060" ht="22" customHeight="1">
      <x:c r="A3060" s="11" t="n">
        <x:v>3056</x:v>
      </x:c>
      <x:c r="B3060" s="11" t="n">
        <x:v>1547</x:v>
      </x:c>
      <x:c r="C3060" s="18" t="n">
        <x:v>45794</x:v>
      </x:c>
      <x:c r="D3060" s="11" t="str">
        <x:v>2025-05</x:v>
      </x:c>
      <x:c r="E3060" s="11" t="str">
        <x:v>South</x:v>
      </x:c>
      <x:c r="F3060" s="11" t="str">
        <x:v>Office Supplies</x:v>
      </x:c>
      <x:c r="G3060" s="11" t="str">
        <x:v>Notebook pack</x:v>
      </x:c>
      <x:c r="H3060" s="11" t="n">
        <x:v>5</x:v>
      </x:c>
      <x:c r="I3060" s="19" t="n">
        <x:v>0</x:v>
      </x:c>
      <x:c r="J3060" s="11" t="n">
        <x:v>0</x:v>
      </x:c>
      <x:c r="K3060" s="20" t="n">
        <x:v>90</x:v>
      </x:c>
      <x:c r="L3060" s="20" t="n">
        <x:v>0</x:v>
      </x:c>
      <x:c r="M3060" s="20" t="n">
        <x:v>35</x:v>
      </x:c>
      <x:c r="N3060" s="20" t="n">
        <x:f>IF(J3060=1,0,K3060-L3060)</x:f>
        <x:v>90</x:v>
      </x:c>
      <x:c r="O3060" s="20" t="n">
        <x:f>N3060-M3060</x:f>
        <x:v>55</x:v>
      </x:c>
    </x:row>
    <x:row r="3061" ht="22" customHeight="1">
      <x:c r="A3061" s="11" t="n">
        <x:v>3057</x:v>
      </x:c>
      <x:c r="B3061" s="11" t="n">
        <x:v>1548</x:v>
      </x:c>
      <x:c r="C3061" s="18" t="n">
        <x:v>45586</x:v>
      </x:c>
      <x:c r="D3061" s="11" t="str">
        <x:v>2024-10</x:v>
      </x:c>
      <x:c r="E3061" s="11" t="str">
        <x:v>Central</x:v>
      </x:c>
      <x:c r="F3061" s="11" t="str">
        <x:v>Furniture</x:v>
      </x:c>
      <x:c r="G3061" s="11" t="str">
        <x:v>Chair</x:v>
      </x:c>
      <x:c r="H3061" s="11" t="n">
        <x:v>2</x:v>
      </x:c>
      <x:c r="I3061" s="19" t="n">
        <x:v>0.05</x:v>
      </x:c>
      <x:c r="J3061" s="11" t="n">
        <x:v>0</x:v>
      </x:c>
      <x:c r="K3061" s="20" t="n">
        <x:v>340</x:v>
      </x:c>
      <x:c r="L3061" s="20" t="n">
        <x:v>17</x:v>
      </x:c>
      <x:c r="M3061" s="20" t="n">
        <x:v>220</x:v>
      </x:c>
      <x:c r="N3061" s="20" t="n">
        <x:f>IF(J3061=1,0,K3061-L3061)</x:f>
        <x:v>323</x:v>
      </x:c>
      <x:c r="O3061" s="20" t="n">
        <x:f>N3061-M3061</x:f>
        <x:v>103</x:v>
      </x:c>
    </x:row>
    <x:row r="3062" ht="22" customHeight="1">
      <x:c r="A3062" s="11" t="n">
        <x:v>3058</x:v>
      </x:c>
      <x:c r="B3062" s="11" t="n">
        <x:v>1548</x:v>
      </x:c>
      <x:c r="C3062" s="18" t="n">
        <x:v>45586</x:v>
      </x:c>
      <x:c r="D3062" s="11" t="str">
        <x:v>2024-10</x:v>
      </x:c>
      <x:c r="E3062" s="11" t="str">
        <x:v>Central</x:v>
      </x:c>
      <x:c r="F3062" s="11" t="str">
        <x:v>Office Supplies</x:v>
      </x:c>
      <x:c r="G3062" s="11" t="str">
        <x:v>Storage box</x:v>
      </x:c>
      <x:c r="H3062" s="11" t="n">
        <x:v>2</x:v>
      </x:c>
      <x:c r="I3062" s="19" t="n">
        <x:v>0</x:v>
      </x:c>
      <x:c r="J3062" s="11" t="n">
        <x:v>0</x:v>
      </x:c>
      <x:c r="K3062" s="20" t="n">
        <x:v>52</x:v>
      </x:c>
      <x:c r="L3062" s="20" t="n">
        <x:v>0</x:v>
      </x:c>
      <x:c r="M3062" s="20" t="n">
        <x:v>24</x:v>
      </x:c>
      <x:c r="N3062" s="20" t="n">
        <x:f>IF(J3062=1,0,K3062-L3062)</x:f>
        <x:v>52</x:v>
      </x:c>
      <x:c r="O3062" s="20" t="n">
        <x:f>N3062-M3062</x:f>
        <x:v>28</x:v>
      </x:c>
    </x:row>
    <x:row r="3063" ht="22" customHeight="1">
      <x:c r="A3063" s="11" t="n">
        <x:v>3059</x:v>
      </x:c>
      <x:c r="B3063" s="11" t="n">
        <x:v>1548</x:v>
      </x:c>
      <x:c r="C3063" s="18" t="n">
        <x:v>45586</x:v>
      </x:c>
      <x:c r="D3063" s="11" t="str">
        <x:v>2024-10</x:v>
      </x:c>
      <x:c r="E3063" s="11" t="str">
        <x:v>Central</x:v>
      </x:c>
      <x:c r="F3063" s="11" t="str">
        <x:v>Furniture</x:v>
      </x:c>
      <x:c r="G3063" s="11" t="str">
        <x:v>Desk</x:v>
      </x:c>
      <x:c r="H3063" s="11" t="n">
        <x:v>1</x:v>
      </x:c>
      <x:c r="I3063" s="19" t="n">
        <x:v>0.1</x:v>
      </x:c>
      <x:c r="J3063" s="11" t="n">
        <x:v>0</x:v>
      </x:c>
      <x:c r="K3063" s="20" t="n">
        <x:v>280</x:v>
      </x:c>
      <x:c r="L3063" s="20" t="n">
        <x:v>28</x:v>
      </x:c>
      <x:c r="M3063" s="20" t="n">
        <x:v>190</x:v>
      </x:c>
      <x:c r="N3063" s="20" t="n">
        <x:f>IF(J3063=1,0,K3063-L3063)</x:f>
        <x:v>252</x:v>
      </x:c>
      <x:c r="O3063" s="20" t="n">
        <x:f>N3063-M3063</x:f>
        <x:v>62</x:v>
      </x:c>
    </x:row>
    <x:row r="3064" ht="22" customHeight="1">
      <x:c r="A3064" s="11" t="n">
        <x:v>3060</x:v>
      </x:c>
      <x:c r="B3064" s="11" t="n">
        <x:v>1549</x:v>
      </x:c>
      <x:c r="C3064" s="18" t="n">
        <x:v>45352</x:v>
      </x:c>
      <x:c r="D3064" s="11" t="str">
        <x:v>2024-03</x:v>
      </x:c>
      <x:c r="E3064" s="11" t="str">
        <x:v>South</x:v>
      </x:c>
      <x:c r="F3064" s="11" t="str">
        <x:v>Office Supplies</x:v>
      </x:c>
      <x:c r="G3064" s="11" t="str">
        <x:v>Notebook pack</x:v>
      </x:c>
      <x:c r="H3064" s="11" t="n">
        <x:v>2</x:v>
      </x:c>
      <x:c r="I3064" s="19" t="n">
        <x:v>0.1</x:v>
      </x:c>
      <x:c r="J3064" s="11" t="n">
        <x:v>0</x:v>
      </x:c>
      <x:c r="K3064" s="20" t="n">
        <x:v>36</x:v>
      </x:c>
      <x:c r="L3064" s="20" t="n">
        <x:v>3.6</x:v>
      </x:c>
      <x:c r="M3064" s="20" t="n">
        <x:v>14</x:v>
      </x:c>
      <x:c r="N3064" s="20" t="n">
        <x:f>IF(J3064=1,0,K3064-L3064)</x:f>
        <x:v>32.4</x:v>
      </x:c>
      <x:c r="O3064" s="20" t="n">
        <x:f>N3064-M3064</x:f>
        <x:v>18.4</x:v>
      </x:c>
    </x:row>
    <x:row r="3065" ht="22" customHeight="1">
      <x:c r="A3065" s="11" t="n">
        <x:v>3061</x:v>
      </x:c>
      <x:c r="B3065" s="11" t="n">
        <x:v>1550</x:v>
      </x:c>
      <x:c r="C3065" s="18" t="n">
        <x:v>45455</x:v>
      </x:c>
      <x:c r="D3065" s="11" t="str">
        <x:v>2024-06</x:v>
      </x:c>
      <x:c r="E3065" s="11" t="str">
        <x:v>East</x:v>
      </x:c>
      <x:c r="F3065" s="11" t="str">
        <x:v>Furniture</x:v>
      </x:c>
      <x:c r="G3065" s="11" t="str">
        <x:v>Desk</x:v>
      </x:c>
      <x:c r="H3065" s="11" t="n">
        <x:v>2</x:v>
      </x:c>
      <x:c r="I3065" s="19" t="n">
        <x:v>0.35</x:v>
      </x:c>
      <x:c r="J3065" s="11" t="n">
        <x:v>0</x:v>
      </x:c>
      <x:c r="K3065" s="20" t="n">
        <x:v>560</x:v>
      </x:c>
      <x:c r="L3065" s="20" t="n">
        <x:v>196</x:v>
      </x:c>
      <x:c r="M3065" s="20" t="n">
        <x:v>380</x:v>
      </x:c>
      <x:c r="N3065" s="20" t="n">
        <x:f>IF(J3065=1,0,K3065-L3065)</x:f>
        <x:v>364</x:v>
      </x:c>
      <x:c r="O3065" s="20" t="n">
        <x:f>N3065-M3065</x:f>
        <x:v>-16</x:v>
      </x:c>
    </x:row>
    <x:row r="3066" ht="22" customHeight="1">
      <x:c r="A3066" s="11" t="n">
        <x:v>3062</x:v>
      </x:c>
      <x:c r="B3066" s="11" t="n">
        <x:v>1550</x:v>
      </x:c>
      <x:c r="C3066" s="18" t="n">
        <x:v>45455</x:v>
      </x:c>
      <x:c r="D3066" s="11" t="str">
        <x:v>2024-06</x:v>
      </x:c>
      <x:c r="E3066" s="11" t="str">
        <x:v>East</x:v>
      </x:c>
      <x:c r="F3066" s="11" t="str">
        <x:v>Office Supplies</x:v>
      </x:c>
      <x:c r="G3066" s="11" t="str">
        <x:v>Notebook pack</x:v>
      </x:c>
      <x:c r="H3066" s="11" t="n">
        <x:v>1</x:v>
      </x:c>
      <x:c r="I3066" s="19" t="n">
        <x:v>0.1</x:v>
      </x:c>
      <x:c r="J3066" s="11" t="n">
        <x:v>0</x:v>
      </x:c>
      <x:c r="K3066" s="20" t="n">
        <x:v>18</x:v>
      </x:c>
      <x:c r="L3066" s="20" t="n">
        <x:v>1.8</x:v>
      </x:c>
      <x:c r="M3066" s="20" t="n">
        <x:v>7</x:v>
      </x:c>
      <x:c r="N3066" s="20" t="n">
        <x:f>IF(J3066=1,0,K3066-L3066)</x:f>
        <x:v>16.2</x:v>
      </x:c>
      <x:c r="O3066" s="20" t="n">
        <x:f>N3066-M3066</x:f>
        <x:v>9.2</x:v>
      </x:c>
    </x:row>
    <x:row r="3067" ht="22" customHeight="1">
      <x:c r="A3067" s="11" t="n">
        <x:v>3063</x:v>
      </x:c>
      <x:c r="B3067" s="11" t="n">
        <x:v>1551</x:v>
      </x:c>
      <x:c r="C3067" s="18" t="n">
        <x:v>45477</x:v>
      </x:c>
      <x:c r="D3067" s="11" t="str">
        <x:v>2024-07</x:v>
      </x:c>
      <x:c r="E3067" s="11" t="str">
        <x:v>South</x:v>
      </x:c>
      <x:c r="F3067" s="11" t="str">
        <x:v>Technology</x:v>
      </x:c>
      <x:c r="G3067" s="11" t="str">
        <x:v>Monitor</x:v>
      </x:c>
      <x:c r="H3067" s="11" t="n">
        <x:v>3</x:v>
      </x:c>
      <x:c r="I3067" s="19" t="n">
        <x:v>0.15</x:v>
      </x:c>
      <x:c r="J3067" s="11" t="n">
        <x:v>0</x:v>
      </x:c>
      <x:c r="K3067" s="20" t="n">
        <x:v>720</x:v>
      </x:c>
      <x:c r="L3067" s="20" t="n">
        <x:v>108</x:v>
      </x:c>
      <x:c r="M3067" s="20" t="n">
        <x:v>480</x:v>
      </x:c>
      <x:c r="N3067" s="20" t="n">
        <x:f>IF(J3067=1,0,K3067-L3067)</x:f>
        <x:v>612</x:v>
      </x:c>
      <x:c r="O3067" s="20" t="n">
        <x:f>N3067-M3067</x:f>
        <x:v>132</x:v>
      </x:c>
    </x:row>
    <x:row r="3068" ht="22" customHeight="1">
      <x:c r="A3068" s="11" t="n">
        <x:v>3064</x:v>
      </x:c>
      <x:c r="B3068" s="11" t="n">
        <x:v>1551</x:v>
      </x:c>
      <x:c r="C3068" s="18" t="n">
        <x:v>45477</x:v>
      </x:c>
      <x:c r="D3068" s="11" t="str">
        <x:v>2024-07</x:v>
      </x:c>
      <x:c r="E3068" s="11" t="str">
        <x:v>South</x:v>
      </x:c>
      <x:c r="F3068" s="11" t="str">
        <x:v>Office Supplies</x:v>
      </x:c>
      <x:c r="G3068" s="11" t="str">
        <x:v>Storage box</x:v>
      </x:c>
      <x:c r="H3068" s="11" t="n">
        <x:v>4</x:v>
      </x:c>
      <x:c r="I3068" s="19" t="n">
        <x:v>0</x:v>
      </x:c>
      <x:c r="J3068" s="11" t="n">
        <x:v>0</x:v>
      </x:c>
      <x:c r="K3068" s="20" t="n">
        <x:v>104</x:v>
      </x:c>
      <x:c r="L3068" s="20" t="n">
        <x:v>0</x:v>
      </x:c>
      <x:c r="M3068" s="20" t="n">
        <x:v>48</x:v>
      </x:c>
      <x:c r="N3068" s="20" t="n">
        <x:f>IF(J3068=1,0,K3068-L3068)</x:f>
        <x:v>104</x:v>
      </x:c>
      <x:c r="O3068" s="20" t="n">
        <x:f>N3068-M3068</x:f>
        <x:v>56</x:v>
      </x:c>
    </x:row>
    <x:row r="3069" ht="22" customHeight="1">
      <x:c r="A3069" s="11" t="n">
        <x:v>3065</x:v>
      </x:c>
      <x:c r="B3069" s="11" t="n">
        <x:v>1552</x:v>
      </x:c>
      <x:c r="C3069" s="18" t="n">
        <x:v>45876</x:v>
      </x:c>
      <x:c r="D3069" s="11" t="str">
        <x:v>2025-08</x:v>
      </x:c>
      <x:c r="E3069" s="11" t="str">
        <x:v>South</x:v>
      </x:c>
      <x:c r="F3069" s="11" t="str">
        <x:v>Office Supplies</x:v>
      </x:c>
      <x:c r="G3069" s="11" t="str">
        <x:v>Notebook pack</x:v>
      </x:c>
      <x:c r="H3069" s="11" t="n">
        <x:v>1</x:v>
      </x:c>
      <x:c r="I3069" s="19" t="n">
        <x:v>0.15</x:v>
      </x:c>
      <x:c r="J3069" s="11" t="n">
        <x:v>0</x:v>
      </x:c>
      <x:c r="K3069" s="20" t="n">
        <x:v>18</x:v>
      </x:c>
      <x:c r="L3069" s="20" t="n">
        <x:v>2.7</x:v>
      </x:c>
      <x:c r="M3069" s="20" t="n">
        <x:v>7</x:v>
      </x:c>
      <x:c r="N3069" s="20" t="n">
        <x:f>IF(J3069=1,0,K3069-L3069)</x:f>
        <x:v>15.3</x:v>
      </x:c>
      <x:c r="O3069" s="20" t="n">
        <x:f>N3069-M3069</x:f>
        <x:v>8.3</x:v>
      </x:c>
    </x:row>
    <x:row r="3070" ht="22" customHeight="1">
      <x:c r="A3070" s="11" t="n">
        <x:v>3066</x:v>
      </x:c>
      <x:c r="B3070" s="11" t="n">
        <x:v>1553</x:v>
      </x:c>
      <x:c r="C3070" s="18" t="n">
        <x:v>45977</x:v>
      </x:c>
      <x:c r="D3070" s="11" t="str">
        <x:v>2025-11</x:v>
      </x:c>
      <x:c r="E3070" s="11" t="str">
        <x:v>Central</x:v>
      </x:c>
      <x:c r="F3070" s="11" t="str">
        <x:v>Office Supplies</x:v>
      </x:c>
      <x:c r="G3070" s="11" t="str">
        <x:v>Storage box</x:v>
      </x:c>
      <x:c r="H3070" s="11" t="n">
        <x:v>2</x:v>
      </x:c>
      <x:c r="I3070" s="19" t="n">
        <x:v>0</x:v>
      </x:c>
      <x:c r="J3070" s="11" t="n">
        <x:v>0</x:v>
      </x:c>
      <x:c r="K3070" s="20" t="n">
        <x:v>52</x:v>
      </x:c>
      <x:c r="L3070" s="20" t="n">
        <x:v>0</x:v>
      </x:c>
      <x:c r="M3070" s="20" t="n">
        <x:v>24</x:v>
      </x:c>
      <x:c r="N3070" s="20" t="n">
        <x:f>IF(J3070=1,0,K3070-L3070)</x:f>
        <x:v>52</x:v>
      </x:c>
      <x:c r="O3070" s="20" t="n">
        <x:f>N3070-M3070</x:f>
        <x:v>28</x:v>
      </x:c>
    </x:row>
    <x:row r="3071" ht="22" customHeight="1">
      <x:c r="A3071" s="11" t="n">
        <x:v>3067</x:v>
      </x:c>
      <x:c r="B3071" s="11" t="n">
        <x:v>1553</x:v>
      </x:c>
      <x:c r="C3071" s="18" t="n">
        <x:v>45977</x:v>
      </x:c>
      <x:c r="D3071" s="11" t="str">
        <x:v>2025-11</x:v>
      </x:c>
      <x:c r="E3071" s="11" t="str">
        <x:v>Central</x:v>
      </x:c>
      <x:c r="F3071" s="11" t="str">
        <x:v>Office Supplies</x:v>
      </x:c>
      <x:c r="G3071" s="11" t="str">
        <x:v>Notebook pack</x:v>
      </x:c>
      <x:c r="H3071" s="11" t="n">
        <x:v>5</x:v>
      </x:c>
      <x:c r="I3071" s="19" t="n">
        <x:v>0</x:v>
      </x:c>
      <x:c r="J3071" s="11" t="n">
        <x:v>0</x:v>
      </x:c>
      <x:c r="K3071" s="20" t="n">
        <x:v>90</x:v>
      </x:c>
      <x:c r="L3071" s="20" t="n">
        <x:v>0</x:v>
      </x:c>
      <x:c r="M3071" s="20" t="n">
        <x:v>35</x:v>
      </x:c>
      <x:c r="N3071" s="20" t="n">
        <x:f>IF(J3071=1,0,K3071-L3071)</x:f>
        <x:v>90</x:v>
      </x:c>
      <x:c r="O3071" s="20" t="n">
        <x:f>N3071-M3071</x:f>
        <x:v>55</x:v>
      </x:c>
    </x:row>
    <x:row r="3072" ht="22" customHeight="1">
      <x:c r="A3072" s="11" t="n">
        <x:v>3068</x:v>
      </x:c>
      <x:c r="B3072" s="11" t="n">
        <x:v>1554</x:v>
      </x:c>
      <x:c r="C3072" s="18" t="n">
        <x:v>45415</x:v>
      </x:c>
      <x:c r="D3072" s="11" t="str">
        <x:v>2024-05</x:v>
      </x:c>
      <x:c r="E3072" s="11" t="str">
        <x:v>South</x:v>
      </x:c>
      <x:c r="F3072" s="11" t="str">
        <x:v>Furniture</x:v>
      </x:c>
      <x:c r="G3072" s="11" t="str">
        <x:v>Desk</x:v>
      </x:c>
      <x:c r="H3072" s="11" t="n">
        <x:v>4</x:v>
      </x:c>
      <x:c r="I3072" s="19" t="n">
        <x:v>0.05</x:v>
      </x:c>
      <x:c r="J3072" s="11" t="n">
        <x:v>0</x:v>
      </x:c>
      <x:c r="K3072" s="20" t="n">
        <x:v>1120</x:v>
      </x:c>
      <x:c r="L3072" s="20" t="n">
        <x:v>56</x:v>
      </x:c>
      <x:c r="M3072" s="20" t="n">
        <x:v>760</x:v>
      </x:c>
      <x:c r="N3072" s="20" t="n">
        <x:f>IF(J3072=1,0,K3072-L3072)</x:f>
        <x:v>1064</x:v>
      </x:c>
      <x:c r="O3072" s="20" t="n">
        <x:f>N3072-M3072</x:f>
        <x:v>304</x:v>
      </x:c>
    </x:row>
    <x:row r="3073" ht="22" customHeight="1">
      <x:c r="A3073" s="11" t="n">
        <x:v>3069</x:v>
      </x:c>
      <x:c r="B3073" s="11" t="n">
        <x:v>1555</x:v>
      </x:c>
      <x:c r="C3073" s="18" t="n">
        <x:v>45514</x:v>
      </x:c>
      <x:c r="D3073" s="11" t="str">
        <x:v>2024-08</x:v>
      </x:c>
      <x:c r="E3073" s="11" t="str">
        <x:v>South</x:v>
      </x:c>
      <x:c r="F3073" s="11" t="str">
        <x:v>Technology</x:v>
      </x:c>
      <x:c r="G3073" s="11" t="str">
        <x:v>Monitor</x:v>
      </x:c>
      <x:c r="H3073" s="11" t="n">
        <x:v>2</x:v>
      </x:c>
      <x:c r="I3073" s="19" t="n">
        <x:v>0</x:v>
      </x:c>
      <x:c r="J3073" s="11" t="n">
        <x:v>0</x:v>
      </x:c>
      <x:c r="K3073" s="20" t="n">
        <x:v>480</x:v>
      </x:c>
      <x:c r="L3073" s="20" t="n">
        <x:v>0</x:v>
      </x:c>
      <x:c r="M3073" s="20" t="n">
        <x:v>320</x:v>
      </x:c>
      <x:c r="N3073" s="20" t="n">
        <x:f>IF(J3073=1,0,K3073-L3073)</x:f>
        <x:v>480</x:v>
      </x:c>
      <x:c r="O3073" s="20" t="n">
        <x:f>N3073-M3073</x:f>
        <x:v>160</x:v>
      </x:c>
    </x:row>
    <x:row r="3074" ht="22" customHeight="1">
      <x:c r="A3074" s="11" t="n">
        <x:v>3070</x:v>
      </x:c>
      <x:c r="B3074" s="11" t="n">
        <x:v>1556</x:v>
      </x:c>
      <x:c r="C3074" s="18" t="n">
        <x:v>45872</x:v>
      </x:c>
      <x:c r="D3074" s="11" t="str">
        <x:v>2025-08</x:v>
      </x:c>
      <x:c r="E3074" s="11" t="str">
        <x:v>East</x:v>
      </x:c>
      <x:c r="F3074" s="11" t="str">
        <x:v>Technology</x:v>
      </x:c>
      <x:c r="G3074" s="11" t="str">
        <x:v>Keyboard</x:v>
      </x:c>
      <x:c r="H3074" s="11" t="n">
        <x:v>4</x:v>
      </x:c>
      <x:c r="I3074" s="19" t="n">
        <x:v>0.05</x:v>
      </x:c>
      <x:c r="J3074" s="11" t="n">
        <x:v>0</x:v>
      </x:c>
      <x:c r="K3074" s="20" t="n">
        <x:v>260</x:v>
      </x:c>
      <x:c r="L3074" s="20" t="n">
        <x:v>13</x:v>
      </x:c>
      <x:c r="M3074" s="20" t="n">
        <x:v>128</x:v>
      </x:c>
      <x:c r="N3074" s="20" t="n">
        <x:f>IF(J3074=1,0,K3074-L3074)</x:f>
        <x:v>247</x:v>
      </x:c>
      <x:c r="O3074" s="20" t="n">
        <x:f>N3074-M3074</x:f>
        <x:v>119</x:v>
      </x:c>
    </x:row>
    <x:row r="3075" ht="22" customHeight="1">
      <x:c r="A3075" s="11" t="n">
        <x:v>3071</x:v>
      </x:c>
      <x:c r="B3075" s="11" t="n">
        <x:v>1556</x:v>
      </x:c>
      <x:c r="C3075" s="18" t="n">
        <x:v>45872</x:v>
      </x:c>
      <x:c r="D3075" s="11" t="str">
        <x:v>2025-08</x:v>
      </x:c>
      <x:c r="E3075" s="11" t="str">
        <x:v>East</x:v>
      </x:c>
      <x:c r="F3075" s="11" t="str">
        <x:v>Furniture</x:v>
      </x:c>
      <x:c r="G3075" s="11" t="str">
        <x:v>Chair</x:v>
      </x:c>
      <x:c r="H3075" s="11" t="n">
        <x:v>5</x:v>
      </x:c>
      <x:c r="I3075" s="19" t="n">
        <x:v>0</x:v>
      </x:c>
      <x:c r="J3075" s="11" t="n">
        <x:v>0</x:v>
      </x:c>
      <x:c r="K3075" s="20" t="n">
        <x:v>850</x:v>
      </x:c>
      <x:c r="L3075" s="20" t="n">
        <x:v>0</x:v>
      </x:c>
      <x:c r="M3075" s="20" t="n">
        <x:v>550</x:v>
      </x:c>
      <x:c r="N3075" s="20" t="n">
        <x:f>IF(J3075=1,0,K3075-L3075)</x:f>
        <x:v>850</x:v>
      </x:c>
      <x:c r="O3075" s="20" t="n">
        <x:f>N3075-M3075</x:f>
        <x:v>300</x:v>
      </x:c>
    </x:row>
    <x:row r="3076" ht="22" customHeight="1">
      <x:c r="A3076" s="11" t="n">
        <x:v>3072</x:v>
      </x:c>
      <x:c r="B3076" s="11" t="n">
        <x:v>1556</x:v>
      </x:c>
      <x:c r="C3076" s="18" t="n">
        <x:v>45872</x:v>
      </x:c>
      <x:c r="D3076" s="11" t="str">
        <x:v>2025-08</x:v>
      </x:c>
      <x:c r="E3076" s="11" t="str">
        <x:v>East</x:v>
      </x:c>
      <x:c r="F3076" s="11" t="str">
        <x:v>Furniture</x:v>
      </x:c>
      <x:c r="G3076" s="11" t="str">
        <x:v>Desk</x:v>
      </x:c>
      <x:c r="H3076" s="11" t="n">
        <x:v>2</x:v>
      </x:c>
      <x:c r="I3076" s="19" t="n">
        <x:v>0</x:v>
      </x:c>
      <x:c r="J3076" s="11" t="n">
        <x:v>0</x:v>
      </x:c>
      <x:c r="K3076" s="20" t="n">
        <x:v>560</x:v>
      </x:c>
      <x:c r="L3076" s="20" t="n">
        <x:v>0</x:v>
      </x:c>
      <x:c r="M3076" s="20" t="n">
        <x:v>380</x:v>
      </x:c>
      <x:c r="N3076" s="20" t="n">
        <x:f>IF(J3076=1,0,K3076-L3076)</x:f>
        <x:v>560</x:v>
      </x:c>
      <x:c r="O3076" s="20" t="n">
        <x:f>N3076-M3076</x:f>
        <x:v>180</x:v>
      </x:c>
    </x:row>
    <x:row r="3077" ht="22" customHeight="1">
      <x:c r="A3077" s="11" t="n">
        <x:v>3073</x:v>
      </x:c>
      <x:c r="B3077" s="11" t="n">
        <x:v>1557</x:v>
      </x:c>
      <x:c r="C3077" s="18" t="n">
        <x:v>45462</x:v>
      </x:c>
      <x:c r="D3077" s="11" t="str">
        <x:v>2024-06</x:v>
      </x:c>
      <x:c r="E3077" s="11" t="str">
        <x:v>South</x:v>
      </x:c>
      <x:c r="F3077" s="11" t="str">
        <x:v>Furniture</x:v>
      </x:c>
      <x:c r="G3077" s="11" t="str">
        <x:v>Chair</x:v>
      </x:c>
      <x:c r="H3077" s="11" t="n">
        <x:v>3</x:v>
      </x:c>
      <x:c r="I3077" s="19" t="n">
        <x:v>0.1</x:v>
      </x:c>
      <x:c r="J3077" s="11" t="n">
        <x:v>0</x:v>
      </x:c>
      <x:c r="K3077" s="20" t="n">
        <x:v>510</x:v>
      </x:c>
      <x:c r="L3077" s="20" t="n">
        <x:v>51</x:v>
      </x:c>
      <x:c r="M3077" s="20" t="n">
        <x:v>330</x:v>
      </x:c>
      <x:c r="N3077" s="20" t="n">
        <x:f>IF(J3077=1,0,K3077-L3077)</x:f>
        <x:v>459</x:v>
      </x:c>
      <x:c r="O3077" s="20" t="n">
        <x:f>N3077-M3077</x:f>
        <x:v>129</x:v>
      </x:c>
    </x:row>
    <x:row r="3078" ht="22" customHeight="1">
      <x:c r="A3078" s="11" t="n">
        <x:v>3074</x:v>
      </x:c>
      <x:c r="B3078" s="11" t="n">
        <x:v>1557</x:v>
      </x:c>
      <x:c r="C3078" s="18" t="n">
        <x:v>45462</x:v>
      </x:c>
      <x:c r="D3078" s="11" t="str">
        <x:v>2024-06</x:v>
      </x:c>
      <x:c r="E3078" s="11" t="str">
        <x:v>South</x:v>
      </x:c>
      <x:c r="F3078" s="11" t="str">
        <x:v>Office Supplies</x:v>
      </x:c>
      <x:c r="G3078" s="11" t="str">
        <x:v>Notebook pack</x:v>
      </x:c>
      <x:c r="H3078" s="11" t="n">
        <x:v>1</x:v>
      </x:c>
      <x:c r="I3078" s="19" t="n">
        <x:v>0.1</x:v>
      </x:c>
      <x:c r="J3078" s="11" t="n">
        <x:v>0</x:v>
      </x:c>
      <x:c r="K3078" s="20" t="n">
        <x:v>18</x:v>
      </x:c>
      <x:c r="L3078" s="20" t="n">
        <x:v>1.8</x:v>
      </x:c>
      <x:c r="M3078" s="20" t="n">
        <x:v>7</x:v>
      </x:c>
      <x:c r="N3078" s="20" t="n">
        <x:f>IF(J3078=1,0,K3078-L3078)</x:f>
        <x:v>16.2</x:v>
      </x:c>
      <x:c r="O3078" s="20" t="n">
        <x:f>N3078-M3078</x:f>
        <x:v>9.2</x:v>
      </x:c>
    </x:row>
    <x:row r="3079" ht="22" customHeight="1">
      <x:c r="A3079" s="11" t="n">
        <x:v>3075</x:v>
      </x:c>
      <x:c r="B3079" s="11" t="n">
        <x:v>1557</x:v>
      </x:c>
      <x:c r="C3079" s="18" t="n">
        <x:v>45462</x:v>
      </x:c>
      <x:c r="D3079" s="11" t="str">
        <x:v>2024-06</x:v>
      </x:c>
      <x:c r="E3079" s="11" t="str">
        <x:v>South</x:v>
      </x:c>
      <x:c r="F3079" s="11" t="str">
        <x:v>Office Supplies</x:v>
      </x:c>
      <x:c r="G3079" s="11" t="str">
        <x:v>Storage box</x:v>
      </x:c>
      <x:c r="H3079" s="11" t="n">
        <x:v>4</x:v>
      </x:c>
      <x:c r="I3079" s="19" t="n">
        <x:v>0.1</x:v>
      </x:c>
      <x:c r="J3079" s="11" t="n">
        <x:v>0</x:v>
      </x:c>
      <x:c r="K3079" s="20" t="n">
        <x:v>104</x:v>
      </x:c>
      <x:c r="L3079" s="20" t="n">
        <x:v>10.4</x:v>
      </x:c>
      <x:c r="M3079" s="20" t="n">
        <x:v>48</x:v>
      </x:c>
      <x:c r="N3079" s="20" t="n">
        <x:f>IF(J3079=1,0,K3079-L3079)</x:f>
        <x:v>93.6</x:v>
      </x:c>
      <x:c r="O3079" s="20" t="n">
        <x:f>N3079-M3079</x:f>
        <x:v>45.599999999999994</x:v>
      </x:c>
    </x:row>
    <x:row r="3080" ht="22" customHeight="1">
      <x:c r="A3080" s="11" t="n">
        <x:v>3076</x:v>
      </x:c>
      <x:c r="B3080" s="11" t="n">
        <x:v>1558</x:v>
      </x:c>
      <x:c r="C3080" s="18" t="n">
        <x:v>45694</x:v>
      </x:c>
      <x:c r="D3080" s="11" t="str">
        <x:v>2025-02</x:v>
      </x:c>
      <x:c r="E3080" s="11" t="str">
        <x:v>East</x:v>
      </x:c>
      <x:c r="F3080" s="11" t="str">
        <x:v>Office Supplies</x:v>
      </x:c>
      <x:c r="G3080" s="11" t="str">
        <x:v>Notebook pack</x:v>
      </x:c>
      <x:c r="H3080" s="11" t="n">
        <x:v>3</x:v>
      </x:c>
      <x:c r="I3080" s="19" t="n">
        <x:v>0.05</x:v>
      </x:c>
      <x:c r="J3080" s="11" t="n">
        <x:v>0</x:v>
      </x:c>
      <x:c r="K3080" s="20" t="n">
        <x:v>54</x:v>
      </x:c>
      <x:c r="L3080" s="20" t="n">
        <x:v>2.7</x:v>
      </x:c>
      <x:c r="M3080" s="20" t="n">
        <x:v>21</x:v>
      </x:c>
      <x:c r="N3080" s="20" t="n">
        <x:f>IF(J3080=1,0,K3080-L3080)</x:f>
        <x:v>51.3</x:v>
      </x:c>
      <x:c r="O3080" s="20" t="n">
        <x:f>N3080-M3080</x:f>
        <x:v>30.299999999999997</x:v>
      </x:c>
    </x:row>
    <x:row r="3081" ht="22" customHeight="1">
      <x:c r="A3081" s="11" t="n">
        <x:v>3077</x:v>
      </x:c>
      <x:c r="B3081" s="11" t="n">
        <x:v>1559</x:v>
      </x:c>
      <x:c r="C3081" s="18" t="n">
        <x:v>45883</x:v>
      </x:c>
      <x:c r="D3081" s="11" t="str">
        <x:v>2025-08</x:v>
      </x:c>
      <x:c r="E3081" s="11" t="str">
        <x:v>South</x:v>
      </x:c>
      <x:c r="F3081" s="11" t="str">
        <x:v>Office Supplies</x:v>
      </x:c>
      <x:c r="G3081" s="11" t="str">
        <x:v>Storage box</x:v>
      </x:c>
      <x:c r="H3081" s="11" t="n">
        <x:v>4</x:v>
      </x:c>
      <x:c r="I3081" s="19" t="n">
        <x:v>0.15</x:v>
      </x:c>
      <x:c r="J3081" s="11" t="n">
        <x:v>0</x:v>
      </x:c>
      <x:c r="K3081" s="20" t="n">
        <x:v>104</x:v>
      </x:c>
      <x:c r="L3081" s="20" t="n">
        <x:v>15.6</x:v>
      </x:c>
      <x:c r="M3081" s="20" t="n">
        <x:v>48</x:v>
      </x:c>
      <x:c r="N3081" s="20" t="n">
        <x:f>IF(J3081=1,0,K3081-L3081)</x:f>
        <x:v>88.4</x:v>
      </x:c>
      <x:c r="O3081" s="20" t="n">
        <x:f>N3081-M3081</x:f>
        <x:v>40.400000000000006</x:v>
      </x:c>
    </x:row>
    <x:row r="3082" ht="22" customHeight="1">
      <x:c r="A3082" s="11" t="n">
        <x:v>3078</x:v>
      </x:c>
      <x:c r="B3082" s="11" t="n">
        <x:v>1559</x:v>
      </x:c>
      <x:c r="C3082" s="18" t="n">
        <x:v>45883</x:v>
      </x:c>
      <x:c r="D3082" s="11" t="str">
        <x:v>2025-08</x:v>
      </x:c>
      <x:c r="E3082" s="11" t="str">
        <x:v>South</x:v>
      </x:c>
      <x:c r="F3082" s="11" t="str">
        <x:v>Furniture</x:v>
      </x:c>
      <x:c r="G3082" s="11" t="str">
        <x:v>Desk</x:v>
      </x:c>
      <x:c r="H3082" s="11" t="n">
        <x:v>5</x:v>
      </x:c>
      <x:c r="I3082" s="19" t="n">
        <x:v>0.35</x:v>
      </x:c>
      <x:c r="J3082" s="11" t="n">
        <x:v>1</x:v>
      </x:c>
      <x:c r="K3082" s="20" t="n">
        <x:v>1400</x:v>
      </x:c>
      <x:c r="L3082" s="20" t="n">
        <x:v>490</x:v>
      </x:c>
      <x:c r="M3082" s="20" t="n">
        <x:v>0</x:v>
      </x:c>
      <x:c r="N3082" s="20" t="n">
        <x:f>IF(J3082=1,0,K3082-L3082)</x:f>
        <x:v>0</x:v>
      </x:c>
      <x:c r="O3082" s="20" t="n">
        <x:f>N3082-M3082</x:f>
        <x:v>0</x:v>
      </x:c>
    </x:row>
    <x:row r="3083" ht="22" customHeight="1">
      <x:c r="A3083" s="11" t="n">
        <x:v>3079</x:v>
      </x:c>
      <x:c r="B3083" s="11" t="n">
        <x:v>1559</x:v>
      </x:c>
      <x:c r="C3083" s="18" t="n">
        <x:v>45883</x:v>
      </x:c>
      <x:c r="D3083" s="11" t="str">
        <x:v>2025-08</x:v>
      </x:c>
      <x:c r="E3083" s="11" t="str">
        <x:v>South</x:v>
      </x:c>
      <x:c r="F3083" s="11" t="str">
        <x:v>Furniture</x:v>
      </x:c>
      <x:c r="G3083" s="11" t="str">
        <x:v>Chair</x:v>
      </x:c>
      <x:c r="H3083" s="11" t="n">
        <x:v>5</x:v>
      </x:c>
      <x:c r="I3083" s="19" t="n">
        <x:v>0</x:v>
      </x:c>
      <x:c r="J3083" s="11" t="n">
        <x:v>0</x:v>
      </x:c>
      <x:c r="K3083" s="20" t="n">
        <x:v>850</x:v>
      </x:c>
      <x:c r="L3083" s="20" t="n">
        <x:v>0</x:v>
      </x:c>
      <x:c r="M3083" s="20" t="n">
        <x:v>550</x:v>
      </x:c>
      <x:c r="N3083" s="20" t="n">
        <x:f>IF(J3083=1,0,K3083-L3083)</x:f>
        <x:v>850</x:v>
      </x:c>
      <x:c r="O3083" s="20" t="n">
        <x:f>N3083-M3083</x:f>
        <x:v>300</x:v>
      </x:c>
    </x:row>
    <x:row r="3084" ht="22" customHeight="1">
      <x:c r="A3084" s="11" t="n">
        <x:v>3080</x:v>
      </x:c>
      <x:c r="B3084" s="11" t="n">
        <x:v>1560</x:v>
      </x:c>
      <x:c r="C3084" s="18" t="n">
        <x:v>45457</x:v>
      </x:c>
      <x:c r="D3084" s="11" t="str">
        <x:v>2024-06</x:v>
      </x:c>
      <x:c r="E3084" s="11" t="str">
        <x:v>East</x:v>
      </x:c>
      <x:c r="F3084" s="11" t="str">
        <x:v>Office Supplies</x:v>
      </x:c>
      <x:c r="G3084" s="11" t="str">
        <x:v>Storage box</x:v>
      </x:c>
      <x:c r="H3084" s="11" t="n">
        <x:v>5</x:v>
      </x:c>
      <x:c r="I3084" s="19" t="n">
        <x:v>0.1</x:v>
      </x:c>
      <x:c r="J3084" s="11" t="n">
        <x:v>0</x:v>
      </x:c>
      <x:c r="K3084" s="20" t="n">
        <x:v>130</x:v>
      </x:c>
      <x:c r="L3084" s="20" t="n">
        <x:v>13</x:v>
      </x:c>
      <x:c r="M3084" s="20" t="n">
        <x:v>60</x:v>
      </x:c>
      <x:c r="N3084" s="20" t="n">
        <x:f>IF(J3084=1,0,K3084-L3084)</x:f>
        <x:v>117</x:v>
      </x:c>
      <x:c r="O3084" s="20" t="n">
        <x:f>N3084-M3084</x:f>
        <x:v>57</x:v>
      </x:c>
    </x:row>
    <x:row r="3085" ht="22" customHeight="1">
      <x:c r="A3085" s="11" t="n">
        <x:v>3081</x:v>
      </x:c>
      <x:c r="B3085" s="11" t="n">
        <x:v>1561</x:v>
      </x:c>
      <x:c r="C3085" s="18" t="n">
        <x:v>45801</x:v>
      </x:c>
      <x:c r="D3085" s="11" t="str">
        <x:v>2025-05</x:v>
      </x:c>
      <x:c r="E3085" s="11" t="str">
        <x:v>West</x:v>
      </x:c>
      <x:c r="F3085" s="11" t="str">
        <x:v>Technology</x:v>
      </x:c>
      <x:c r="G3085" s="11" t="str">
        <x:v>Keyboard</x:v>
      </x:c>
      <x:c r="H3085" s="11" t="n">
        <x:v>3</x:v>
      </x:c>
      <x:c r="I3085" s="19" t="n">
        <x:v>0</x:v>
      </x:c>
      <x:c r="J3085" s="11" t="n">
        <x:v>0</x:v>
      </x:c>
      <x:c r="K3085" s="20" t="n">
        <x:v>195</x:v>
      </x:c>
      <x:c r="L3085" s="20" t="n">
        <x:v>0</x:v>
      </x:c>
      <x:c r="M3085" s="20" t="n">
        <x:v>96</x:v>
      </x:c>
      <x:c r="N3085" s="20" t="n">
        <x:f>IF(J3085=1,0,K3085-L3085)</x:f>
        <x:v>195</x:v>
      </x:c>
      <x:c r="O3085" s="20" t="n">
        <x:f>N3085-M3085</x:f>
        <x:v>99</x:v>
      </x:c>
    </x:row>
    <x:row r="3086" ht="22" customHeight="1">
      <x:c r="A3086" s="11" t="n">
        <x:v>3082</x:v>
      </x:c>
      <x:c r="B3086" s="11" t="n">
        <x:v>1562</x:v>
      </x:c>
      <x:c r="C3086" s="18" t="n">
        <x:v>45863</x:v>
      </x:c>
      <x:c r="D3086" s="11" t="str">
        <x:v>2025-07</x:v>
      </x:c>
      <x:c r="E3086" s="11" t="str">
        <x:v>West</x:v>
      </x:c>
      <x:c r="F3086" s="11" t="str">
        <x:v>Furniture</x:v>
      </x:c>
      <x:c r="G3086" s="11" t="str">
        <x:v>Chair</x:v>
      </x:c>
      <x:c r="H3086" s="11" t="n">
        <x:v>1</x:v>
      </x:c>
      <x:c r="I3086" s="19" t="n">
        <x:v>0</x:v>
      </x:c>
      <x:c r="J3086" s="11" t="n">
        <x:v>0</x:v>
      </x:c>
      <x:c r="K3086" s="20" t="n">
        <x:v>170</x:v>
      </x:c>
      <x:c r="L3086" s="20" t="n">
        <x:v>0</x:v>
      </x:c>
      <x:c r="M3086" s="20" t="n">
        <x:v>110</x:v>
      </x:c>
      <x:c r="N3086" s="20" t="n">
        <x:f>IF(J3086=1,0,K3086-L3086)</x:f>
        <x:v>170</x:v>
      </x:c>
      <x:c r="O3086" s="20" t="n">
        <x:f>N3086-M3086</x:f>
        <x:v>60</x:v>
      </x:c>
    </x:row>
    <x:row r="3087" ht="22" customHeight="1">
      <x:c r="A3087" s="11" t="n">
        <x:v>3083</x:v>
      </x:c>
      <x:c r="B3087" s="11" t="n">
        <x:v>1563</x:v>
      </x:c>
      <x:c r="C3087" s="18" t="n">
        <x:v>45665</x:v>
      </x:c>
      <x:c r="D3087" s="11" t="str">
        <x:v>2025-01</x:v>
      </x:c>
      <x:c r="E3087" s="11" t="str">
        <x:v>East</x:v>
      </x:c>
      <x:c r="F3087" s="11" t="str">
        <x:v>Furniture</x:v>
      </x:c>
      <x:c r="G3087" s="11" t="str">
        <x:v>Chair</x:v>
      </x:c>
      <x:c r="H3087" s="11" t="n">
        <x:v>1</x:v>
      </x:c>
      <x:c r="I3087" s="19" t="n">
        <x:v>0.1</x:v>
      </x:c>
      <x:c r="J3087" s="11" t="n">
        <x:v>0</x:v>
      </x:c>
      <x:c r="K3087" s="20" t="n">
        <x:v>170</x:v>
      </x:c>
      <x:c r="L3087" s="20" t="n">
        <x:v>17</x:v>
      </x:c>
      <x:c r="M3087" s="20" t="n">
        <x:v>110</x:v>
      </x:c>
      <x:c r="N3087" s="20" t="n">
        <x:f>IF(J3087=1,0,K3087-L3087)</x:f>
        <x:v>153</x:v>
      </x:c>
      <x:c r="O3087" s="20" t="n">
        <x:f>N3087-M3087</x:f>
        <x:v>43</x:v>
      </x:c>
    </x:row>
    <x:row r="3088" ht="22" customHeight="1">
      <x:c r="A3088" s="11" t="n">
        <x:v>3084</x:v>
      </x:c>
      <x:c r="B3088" s="11" t="n">
        <x:v>1563</x:v>
      </x:c>
      <x:c r="C3088" s="18" t="n">
        <x:v>45665</x:v>
      </x:c>
      <x:c r="D3088" s="11" t="str">
        <x:v>2025-01</x:v>
      </x:c>
      <x:c r="E3088" s="11" t="str">
        <x:v>East</x:v>
      </x:c>
      <x:c r="F3088" s="11" t="str">
        <x:v>Office Supplies</x:v>
      </x:c>
      <x:c r="G3088" s="11" t="str">
        <x:v>Storage box</x:v>
      </x:c>
      <x:c r="H3088" s="11" t="n">
        <x:v>4</x:v>
      </x:c>
      <x:c r="I3088" s="19" t="n">
        <x:v>0.15</x:v>
      </x:c>
      <x:c r="J3088" s="11" t="n">
        <x:v>0</x:v>
      </x:c>
      <x:c r="K3088" s="20" t="n">
        <x:v>104</x:v>
      </x:c>
      <x:c r="L3088" s="20" t="n">
        <x:v>15.6</x:v>
      </x:c>
      <x:c r="M3088" s="20" t="n">
        <x:v>48</x:v>
      </x:c>
      <x:c r="N3088" s="20" t="n">
        <x:f>IF(J3088=1,0,K3088-L3088)</x:f>
        <x:v>88.4</x:v>
      </x:c>
      <x:c r="O3088" s="20" t="n">
        <x:f>N3088-M3088</x:f>
        <x:v>40.400000000000006</x:v>
      </x:c>
    </x:row>
    <x:row r="3089" ht="22" customHeight="1">
      <x:c r="A3089" s="11" t="n">
        <x:v>3085</x:v>
      </x:c>
      <x:c r="B3089" s="11" t="n">
        <x:v>1563</x:v>
      </x:c>
      <x:c r="C3089" s="18" t="n">
        <x:v>45665</x:v>
      </x:c>
      <x:c r="D3089" s="11" t="str">
        <x:v>2025-01</x:v>
      </x:c>
      <x:c r="E3089" s="11" t="str">
        <x:v>East</x:v>
      </x:c>
      <x:c r="F3089" s="11" t="str">
        <x:v>Furniture</x:v>
      </x:c>
      <x:c r="G3089" s="11" t="str">
        <x:v>Desk</x:v>
      </x:c>
      <x:c r="H3089" s="11" t="n">
        <x:v>4</x:v>
      </x:c>
      <x:c r="I3089" s="19" t="n">
        <x:v>0.35</x:v>
      </x:c>
      <x:c r="J3089" s="11" t="n">
        <x:v>0</x:v>
      </x:c>
      <x:c r="K3089" s="20" t="n">
        <x:v>1120</x:v>
      </x:c>
      <x:c r="L3089" s="20" t="n">
        <x:v>392</x:v>
      </x:c>
      <x:c r="M3089" s="20" t="n">
        <x:v>760</x:v>
      </x:c>
      <x:c r="N3089" s="20" t="n">
        <x:f>IF(J3089=1,0,K3089-L3089)</x:f>
        <x:v>728</x:v>
      </x:c>
      <x:c r="O3089" s="20" t="n">
        <x:f>N3089-M3089</x:f>
        <x:v>-32</x:v>
      </x:c>
    </x:row>
    <x:row r="3090" ht="22" customHeight="1">
      <x:c r="A3090" s="11" t="n">
        <x:v>3086</x:v>
      </x:c>
      <x:c r="B3090" s="11" t="n">
        <x:v>1564</x:v>
      </x:c>
      <x:c r="C3090" s="18" t="n">
        <x:v>45507</x:v>
      </x:c>
      <x:c r="D3090" s="11" t="str">
        <x:v>2024-08</x:v>
      </x:c>
      <x:c r="E3090" s="11" t="str">
        <x:v>Central</x:v>
      </x:c>
      <x:c r="F3090" s="11" t="str">
        <x:v>Office Supplies</x:v>
      </x:c>
      <x:c r="G3090" s="11" t="str">
        <x:v>Notebook pack</x:v>
      </x:c>
      <x:c r="H3090" s="11" t="n">
        <x:v>2</x:v>
      </x:c>
      <x:c r="I3090" s="19" t="n">
        <x:v>0.15</x:v>
      </x:c>
      <x:c r="J3090" s="11" t="n">
        <x:v>0</x:v>
      </x:c>
      <x:c r="K3090" s="20" t="n">
        <x:v>36</x:v>
      </x:c>
      <x:c r="L3090" s="20" t="n">
        <x:v>5.4</x:v>
      </x:c>
      <x:c r="M3090" s="20" t="n">
        <x:v>14</x:v>
      </x:c>
      <x:c r="N3090" s="20" t="n">
        <x:f>IF(J3090=1,0,K3090-L3090)</x:f>
        <x:v>30.6</x:v>
      </x:c>
      <x:c r="O3090" s="20" t="n">
        <x:f>N3090-M3090</x:f>
        <x:v>16.6</x:v>
      </x:c>
    </x:row>
    <x:row r="3091" ht="22" customHeight="1">
      <x:c r="A3091" s="11" t="n">
        <x:v>3087</x:v>
      </x:c>
      <x:c r="B3091" s="11" t="n">
        <x:v>1564</x:v>
      </x:c>
      <x:c r="C3091" s="18" t="n">
        <x:v>45507</x:v>
      </x:c>
      <x:c r="D3091" s="11" t="str">
        <x:v>2024-08</x:v>
      </x:c>
      <x:c r="E3091" s="11" t="str">
        <x:v>Central</x:v>
      </x:c>
      <x:c r="F3091" s="11" t="str">
        <x:v>Technology</x:v>
      </x:c>
      <x:c r="G3091" s="11" t="str">
        <x:v>Monitor</x:v>
      </x:c>
      <x:c r="H3091" s="11" t="n">
        <x:v>1</x:v>
      </x:c>
      <x:c r="I3091" s="19" t="n">
        <x:v>0</x:v>
      </x:c>
      <x:c r="J3091" s="11" t="n">
        <x:v>0</x:v>
      </x:c>
      <x:c r="K3091" s="20" t="n">
        <x:v>240</x:v>
      </x:c>
      <x:c r="L3091" s="20" t="n">
        <x:v>0</x:v>
      </x:c>
      <x:c r="M3091" s="20" t="n">
        <x:v>160</x:v>
      </x:c>
      <x:c r="N3091" s="20" t="n">
        <x:f>IF(J3091=1,0,K3091-L3091)</x:f>
        <x:v>240</x:v>
      </x:c>
      <x:c r="O3091" s="20" t="n">
        <x:f>N3091-M3091</x:f>
        <x:v>80</x:v>
      </x:c>
    </x:row>
    <x:row r="3092" ht="22" customHeight="1">
      <x:c r="A3092" s="11" t="n">
        <x:v>3088</x:v>
      </x:c>
      <x:c r="B3092" s="11" t="n">
        <x:v>1564</x:v>
      </x:c>
      <x:c r="C3092" s="18" t="n">
        <x:v>45507</x:v>
      </x:c>
      <x:c r="D3092" s="11" t="str">
        <x:v>2024-08</x:v>
      </x:c>
      <x:c r="E3092" s="11" t="str">
        <x:v>Central</x:v>
      </x:c>
      <x:c r="F3092" s="11" t="str">
        <x:v>Furniture</x:v>
      </x:c>
      <x:c r="G3092" s="11" t="str">
        <x:v>Chair</x:v>
      </x:c>
      <x:c r="H3092" s="11" t="n">
        <x:v>3</x:v>
      </x:c>
      <x:c r="I3092" s="19" t="n">
        <x:v>0.1</x:v>
      </x:c>
      <x:c r="J3092" s="11" t="n">
        <x:v>0</x:v>
      </x:c>
      <x:c r="K3092" s="20" t="n">
        <x:v>510</x:v>
      </x:c>
      <x:c r="L3092" s="20" t="n">
        <x:v>51</x:v>
      </x:c>
      <x:c r="M3092" s="20" t="n">
        <x:v>330</x:v>
      </x:c>
      <x:c r="N3092" s="20" t="n">
        <x:f>IF(J3092=1,0,K3092-L3092)</x:f>
        <x:v>459</x:v>
      </x:c>
      <x:c r="O3092" s="20" t="n">
        <x:f>N3092-M3092</x:f>
        <x:v>129</x:v>
      </x:c>
    </x:row>
    <x:row r="3093" ht="22" customHeight="1">
      <x:c r="A3093" s="11" t="n">
        <x:v>3089</x:v>
      </x:c>
      <x:c r="B3093" s="11" t="n">
        <x:v>1565</x:v>
      </x:c>
      <x:c r="C3093" s="18" t="n">
        <x:v>45689</x:v>
      </x:c>
      <x:c r="D3093" s="11" t="str">
        <x:v>2025-02</x:v>
      </x:c>
      <x:c r="E3093" s="11" t="str">
        <x:v>South</x:v>
      </x:c>
      <x:c r="F3093" s="11" t="str">
        <x:v>Office Supplies</x:v>
      </x:c>
      <x:c r="G3093" s="11" t="str">
        <x:v>Notebook pack</x:v>
      </x:c>
      <x:c r="H3093" s="11" t="n">
        <x:v>4</x:v>
      </x:c>
      <x:c r="I3093" s="19" t="n">
        <x:v>0</x:v>
      </x:c>
      <x:c r="J3093" s="11" t="n">
        <x:v>0</x:v>
      </x:c>
      <x:c r="K3093" s="20" t="n">
        <x:v>72</x:v>
      </x:c>
      <x:c r="L3093" s="20" t="n">
        <x:v>0</x:v>
      </x:c>
      <x:c r="M3093" s="20" t="n">
        <x:v>28</x:v>
      </x:c>
      <x:c r="N3093" s="20" t="n">
        <x:f>IF(J3093=1,0,K3093-L3093)</x:f>
        <x:v>72</x:v>
      </x:c>
      <x:c r="O3093" s="20" t="n">
        <x:f>N3093-M3093</x:f>
        <x:v>44</x:v>
      </x:c>
    </x:row>
    <x:row r="3094" ht="22" customHeight="1">
      <x:c r="A3094" s="11" t="n">
        <x:v>3090</x:v>
      </x:c>
      <x:c r="B3094" s="11" t="n">
        <x:v>1565</x:v>
      </x:c>
      <x:c r="C3094" s="18" t="n">
        <x:v>45689</x:v>
      </x:c>
      <x:c r="D3094" s="11" t="str">
        <x:v>2025-02</x:v>
      </x:c>
      <x:c r="E3094" s="11" t="str">
        <x:v>South</x:v>
      </x:c>
      <x:c r="F3094" s="11" t="str">
        <x:v>Technology</x:v>
      </x:c>
      <x:c r="G3094" s="11" t="str">
        <x:v>Monitor</x:v>
      </x:c>
      <x:c r="H3094" s="11" t="n">
        <x:v>2</x:v>
      </x:c>
      <x:c r="I3094" s="19" t="n">
        <x:v>0</x:v>
      </x:c>
      <x:c r="J3094" s="11" t="n">
        <x:v>0</x:v>
      </x:c>
      <x:c r="K3094" s="20" t="n">
        <x:v>480</x:v>
      </x:c>
      <x:c r="L3094" s="20" t="n">
        <x:v>0</x:v>
      </x:c>
      <x:c r="M3094" s="20" t="n">
        <x:v>320</x:v>
      </x:c>
      <x:c r="N3094" s="20" t="n">
        <x:f>IF(J3094=1,0,K3094-L3094)</x:f>
        <x:v>480</x:v>
      </x:c>
      <x:c r="O3094" s="20" t="n">
        <x:f>N3094-M3094</x:f>
        <x:v>160</x:v>
      </x:c>
    </x:row>
    <x:row r="3095" ht="22" customHeight="1">
      <x:c r="A3095" s="11" t="n">
        <x:v>3091</x:v>
      </x:c>
      <x:c r="B3095" s="11" t="n">
        <x:v>1565</x:v>
      </x:c>
      <x:c r="C3095" s="18" t="n">
        <x:v>45689</x:v>
      </x:c>
      <x:c r="D3095" s="11" t="str">
        <x:v>2025-02</x:v>
      </x:c>
      <x:c r="E3095" s="11" t="str">
        <x:v>South</x:v>
      </x:c>
      <x:c r="F3095" s="11" t="str">
        <x:v>Furniture</x:v>
      </x:c>
      <x:c r="G3095" s="11" t="str">
        <x:v>Desk</x:v>
      </x:c>
      <x:c r="H3095" s="11" t="n">
        <x:v>5</x:v>
      </x:c>
      <x:c r="I3095" s="19" t="n">
        <x:v>0</x:v>
      </x:c>
      <x:c r="J3095" s="11" t="n">
        <x:v>1</x:v>
      </x:c>
      <x:c r="K3095" s="20" t="n">
        <x:v>1400</x:v>
      </x:c>
      <x:c r="L3095" s="20" t="n">
        <x:v>0</x:v>
      </x:c>
      <x:c r="M3095" s="20" t="n">
        <x:v>0</x:v>
      </x:c>
      <x:c r="N3095" s="20" t="n">
        <x:f>IF(J3095=1,0,K3095-L3095)</x:f>
        <x:v>0</x:v>
      </x:c>
      <x:c r="O3095" s="20" t="n">
        <x:f>N3095-M3095</x:f>
        <x:v>0</x:v>
      </x:c>
    </x:row>
    <x:row r="3096" ht="22" customHeight="1">
      <x:c r="A3096" s="11" t="n">
        <x:v>3092</x:v>
      </x:c>
      <x:c r="B3096" s="11" t="n">
        <x:v>1566</x:v>
      </x:c>
      <x:c r="C3096" s="18" t="n">
        <x:v>45444</x:v>
      </x:c>
      <x:c r="D3096" s="11" t="str">
        <x:v>2024-06</x:v>
      </x:c>
      <x:c r="E3096" s="11" t="str">
        <x:v>West</x:v>
      </x:c>
      <x:c r="F3096" s="11" t="str">
        <x:v>Office Supplies</x:v>
      </x:c>
      <x:c r="G3096" s="11" t="str">
        <x:v>Notebook pack</x:v>
      </x:c>
      <x:c r="H3096" s="11" t="n">
        <x:v>1</x:v>
      </x:c>
      <x:c r="I3096" s="19" t="n">
        <x:v>0.05</x:v>
      </x:c>
      <x:c r="J3096" s="11" t="n">
        <x:v>0</x:v>
      </x:c>
      <x:c r="K3096" s="20" t="n">
        <x:v>18</x:v>
      </x:c>
      <x:c r="L3096" s="20" t="n">
        <x:v>0.9</x:v>
      </x:c>
      <x:c r="M3096" s="20" t="n">
        <x:v>7</x:v>
      </x:c>
      <x:c r="N3096" s="20" t="n">
        <x:f>IF(J3096=1,0,K3096-L3096)</x:f>
        <x:v>17.1</x:v>
      </x:c>
      <x:c r="O3096" s="20" t="n">
        <x:f>N3096-M3096</x:f>
        <x:v>10.100000000000001</x:v>
      </x:c>
    </x:row>
    <x:row r="3097" ht="22" customHeight="1">
      <x:c r="A3097" s="11" t="n">
        <x:v>3093</x:v>
      </x:c>
      <x:c r="B3097" s="11" t="n">
        <x:v>1566</x:v>
      </x:c>
      <x:c r="C3097" s="18" t="n">
        <x:v>45444</x:v>
      </x:c>
      <x:c r="D3097" s="11" t="str">
        <x:v>2024-06</x:v>
      </x:c>
      <x:c r="E3097" s="11" t="str">
        <x:v>West</x:v>
      </x:c>
      <x:c r="F3097" s="11" t="str">
        <x:v>Technology</x:v>
      </x:c>
      <x:c r="G3097" s="11" t="str">
        <x:v>Monitor</x:v>
      </x:c>
      <x:c r="H3097" s="11" t="n">
        <x:v>3</x:v>
      </x:c>
      <x:c r="I3097" s="19" t="n">
        <x:v>0.15</x:v>
      </x:c>
      <x:c r="J3097" s="11" t="n">
        <x:v>0</x:v>
      </x:c>
      <x:c r="K3097" s="20" t="n">
        <x:v>720</x:v>
      </x:c>
      <x:c r="L3097" s="20" t="n">
        <x:v>108</x:v>
      </x:c>
      <x:c r="M3097" s="20" t="n">
        <x:v>480</x:v>
      </x:c>
      <x:c r="N3097" s="20" t="n">
        <x:f>IF(J3097=1,0,K3097-L3097)</x:f>
        <x:v>612</x:v>
      </x:c>
      <x:c r="O3097" s="20" t="n">
        <x:f>N3097-M3097</x:f>
        <x:v>132</x:v>
      </x:c>
    </x:row>
    <x:row r="3098" ht="22" customHeight="1">
      <x:c r="A3098" s="11" t="n">
        <x:v>3094</x:v>
      </x:c>
      <x:c r="B3098" s="11" t="n">
        <x:v>1566</x:v>
      </x:c>
      <x:c r="C3098" s="18" t="n">
        <x:v>45444</x:v>
      </x:c>
      <x:c r="D3098" s="11" t="str">
        <x:v>2024-06</x:v>
      </x:c>
      <x:c r="E3098" s="11" t="str">
        <x:v>West</x:v>
      </x:c>
      <x:c r="F3098" s="11" t="str">
        <x:v>Furniture</x:v>
      </x:c>
      <x:c r="G3098" s="11" t="str">
        <x:v>Desk</x:v>
      </x:c>
      <x:c r="H3098" s="11" t="n">
        <x:v>5</x:v>
      </x:c>
      <x:c r="I3098" s="19" t="n">
        <x:v>0.05</x:v>
      </x:c>
      <x:c r="J3098" s="11" t="n">
        <x:v>0</x:v>
      </x:c>
      <x:c r="K3098" s="20" t="n">
        <x:v>1400</x:v>
      </x:c>
      <x:c r="L3098" s="20" t="n">
        <x:v>70</x:v>
      </x:c>
      <x:c r="M3098" s="20" t="n">
        <x:v>950</x:v>
      </x:c>
      <x:c r="N3098" s="20" t="n">
        <x:f>IF(J3098=1,0,K3098-L3098)</x:f>
        <x:v>1330</x:v>
      </x:c>
      <x:c r="O3098" s="20" t="n">
        <x:f>N3098-M3098</x:f>
        <x:v>380</x:v>
      </x:c>
    </x:row>
    <x:row r="3099" ht="22" customHeight="1">
      <x:c r="A3099" s="11" t="n">
        <x:v>3095</x:v>
      </x:c>
      <x:c r="B3099" s="11" t="n">
        <x:v>1567</x:v>
      </x:c>
      <x:c r="C3099" s="18" t="n">
        <x:v>45882</x:v>
      </x:c>
      <x:c r="D3099" s="11" t="str">
        <x:v>2025-08</x:v>
      </x:c>
      <x:c r="E3099" s="11" t="str">
        <x:v>South</x:v>
      </x:c>
      <x:c r="F3099" s="11" t="str">
        <x:v>Furniture</x:v>
      </x:c>
      <x:c r="G3099" s="11" t="str">
        <x:v>Chair</x:v>
      </x:c>
      <x:c r="H3099" s="11" t="n">
        <x:v>5</x:v>
      </x:c>
      <x:c r="I3099" s="19" t="n">
        <x:v>0.35</x:v>
      </x:c>
      <x:c r="J3099" s="11" t="n">
        <x:v>0</x:v>
      </x:c>
      <x:c r="K3099" s="20" t="n">
        <x:v>850</x:v>
      </x:c>
      <x:c r="L3099" s="20" t="n">
        <x:v>297.5</x:v>
      </x:c>
      <x:c r="M3099" s="20" t="n">
        <x:v>550</x:v>
      </x:c>
      <x:c r="N3099" s="20" t="n">
        <x:f>IF(J3099=1,0,K3099-L3099)</x:f>
        <x:v>552.5</x:v>
      </x:c>
      <x:c r="O3099" s="20" t="n">
        <x:f>N3099-M3099</x:f>
        <x:v>2.5</x:v>
      </x:c>
    </x:row>
    <x:row r="3100" ht="22" customHeight="1">
      <x:c r="A3100" s="11" t="n">
        <x:v>3096</x:v>
      </x:c>
      <x:c r="B3100" s="11" t="n">
        <x:v>1568</x:v>
      </x:c>
      <x:c r="C3100" s="18" t="n">
        <x:v>45409</x:v>
      </x:c>
      <x:c r="D3100" s="11" t="str">
        <x:v>2024-04</x:v>
      </x:c>
      <x:c r="E3100" s="11" t="str">
        <x:v>East</x:v>
      </x:c>
      <x:c r="F3100" s="11" t="str">
        <x:v>Office Supplies</x:v>
      </x:c>
      <x:c r="G3100" s="11" t="str">
        <x:v>Storage box</x:v>
      </x:c>
      <x:c r="H3100" s="11" t="n">
        <x:v>2</x:v>
      </x:c>
      <x:c r="I3100" s="19" t="n">
        <x:v>0</x:v>
      </x:c>
      <x:c r="J3100" s="11" t="n">
        <x:v>0</x:v>
      </x:c>
      <x:c r="K3100" s="20" t="n">
        <x:v>52</x:v>
      </x:c>
      <x:c r="L3100" s="20" t="n">
        <x:v>0</x:v>
      </x:c>
      <x:c r="M3100" s="20" t="n">
        <x:v>24</x:v>
      </x:c>
      <x:c r="N3100" s="20" t="n">
        <x:f>IF(J3100=1,0,K3100-L3100)</x:f>
        <x:v>52</x:v>
      </x:c>
      <x:c r="O3100" s="20" t="n">
        <x:f>N3100-M3100</x:f>
        <x:v>28</x:v>
      </x:c>
    </x:row>
    <x:row r="3101" ht="22" customHeight="1">
      <x:c r="A3101" s="11" t="n">
        <x:v>3097</x:v>
      </x:c>
      <x:c r="B3101" s="11" t="n">
        <x:v>1569</x:v>
      </x:c>
      <x:c r="C3101" s="18" t="n">
        <x:v>45453</x:v>
      </x:c>
      <x:c r="D3101" s="11" t="str">
        <x:v>2024-06</x:v>
      </x:c>
      <x:c r="E3101" s="11" t="str">
        <x:v>West</x:v>
      </x:c>
      <x:c r="F3101" s="11" t="str">
        <x:v>Technology</x:v>
      </x:c>
      <x:c r="G3101" s="11" t="str">
        <x:v>Keyboard</x:v>
      </x:c>
      <x:c r="H3101" s="11" t="n">
        <x:v>1</x:v>
      </x:c>
      <x:c r="I3101" s="19" t="n">
        <x:v>0</x:v>
      </x:c>
      <x:c r="J3101" s="11" t="n">
        <x:v>0</x:v>
      </x:c>
      <x:c r="K3101" s="20" t="n">
        <x:v>65</x:v>
      </x:c>
      <x:c r="L3101" s="20" t="n">
        <x:v>0</x:v>
      </x:c>
      <x:c r="M3101" s="20" t="n">
        <x:v>32</x:v>
      </x:c>
      <x:c r="N3101" s="20" t="n">
        <x:f>IF(J3101=1,0,K3101-L3101)</x:f>
        <x:v>65</x:v>
      </x:c>
      <x:c r="O3101" s="20" t="n">
        <x:f>N3101-M3101</x:f>
        <x:v>33</x:v>
      </x:c>
    </x:row>
    <x:row r="3102" ht="22" customHeight="1">
      <x:c r="A3102" s="11" t="n">
        <x:v>3098</x:v>
      </x:c>
      <x:c r="B3102" s="11" t="n">
        <x:v>1569</x:v>
      </x:c>
      <x:c r="C3102" s="18" t="n">
        <x:v>45453</x:v>
      </x:c>
      <x:c r="D3102" s="11" t="str">
        <x:v>2024-06</x:v>
      </x:c>
      <x:c r="E3102" s="11" t="str">
        <x:v>West</x:v>
      </x:c>
      <x:c r="F3102" s="11" t="str">
        <x:v>Furniture</x:v>
      </x:c>
      <x:c r="G3102" s="11" t="str">
        <x:v>Chair</x:v>
      </x:c>
      <x:c r="H3102" s="11" t="n">
        <x:v>1</x:v>
      </x:c>
      <x:c r="I3102" s="19" t="n">
        <x:v>0</x:v>
      </x:c>
      <x:c r="J3102" s="11" t="n">
        <x:v>0</x:v>
      </x:c>
      <x:c r="K3102" s="20" t="n">
        <x:v>170</x:v>
      </x:c>
      <x:c r="L3102" s="20" t="n">
        <x:v>0</x:v>
      </x:c>
      <x:c r="M3102" s="20" t="n">
        <x:v>110</x:v>
      </x:c>
      <x:c r="N3102" s="20" t="n">
        <x:f>IF(J3102=1,0,K3102-L3102)</x:f>
        <x:v>170</x:v>
      </x:c>
      <x:c r="O3102" s="20" t="n">
        <x:f>N3102-M3102</x:f>
        <x:v>60</x:v>
      </x:c>
    </x:row>
    <x:row r="3103" ht="22" customHeight="1">
      <x:c r="A3103" s="11" t="n">
        <x:v>3099</x:v>
      </x:c>
      <x:c r="B3103" s="11" t="n">
        <x:v>1570</x:v>
      </x:c>
      <x:c r="C3103" s="18" t="n">
        <x:v>45704</x:v>
      </x:c>
      <x:c r="D3103" s="11" t="str">
        <x:v>2025-02</x:v>
      </x:c>
      <x:c r="E3103" s="11" t="str">
        <x:v>South</x:v>
      </x:c>
      <x:c r="F3103" s="11" t="str">
        <x:v>Furniture</x:v>
      </x:c>
      <x:c r="G3103" s="11" t="str">
        <x:v>Desk</x:v>
      </x:c>
      <x:c r="H3103" s="11" t="n">
        <x:v>1</x:v>
      </x:c>
      <x:c r="I3103" s="19" t="n">
        <x:v>0</x:v>
      </x:c>
      <x:c r="J3103" s="11" t="n">
        <x:v>0</x:v>
      </x:c>
      <x:c r="K3103" s="20" t="n">
        <x:v>280</x:v>
      </x:c>
      <x:c r="L3103" s="20" t="n">
        <x:v>0</x:v>
      </x:c>
      <x:c r="M3103" s="20" t="n">
        <x:v>190</x:v>
      </x:c>
      <x:c r="N3103" s="20" t="n">
        <x:f>IF(J3103=1,0,K3103-L3103)</x:f>
        <x:v>280</x:v>
      </x:c>
      <x:c r="O3103" s="20" t="n">
        <x:f>N3103-M3103</x:f>
        <x:v>90</x:v>
      </x:c>
    </x:row>
    <x:row r="3104" ht="22" customHeight="1">
      <x:c r="A3104" s="11" t="n">
        <x:v>3100</x:v>
      </x:c>
      <x:c r="B3104" s="11" t="n">
        <x:v>1571</x:v>
      </x:c>
      <x:c r="C3104" s="18" t="n">
        <x:v>45643</x:v>
      </x:c>
      <x:c r="D3104" s="11" t="str">
        <x:v>2024-12</x:v>
      </x:c>
      <x:c r="E3104" s="11" t="str">
        <x:v>West</x:v>
      </x:c>
      <x:c r="F3104" s="11" t="str">
        <x:v>Furniture</x:v>
      </x:c>
      <x:c r="G3104" s="11" t="str">
        <x:v>Chair</x:v>
      </x:c>
      <x:c r="H3104" s="11" t="n">
        <x:v>5</x:v>
      </x:c>
      <x:c r="I3104" s="19" t="n">
        <x:v>0.05</x:v>
      </x:c>
      <x:c r="J3104" s="11" t="n">
        <x:v>1</x:v>
      </x:c>
      <x:c r="K3104" s="20" t="n">
        <x:v>850</x:v>
      </x:c>
      <x:c r="L3104" s="20" t="n">
        <x:v>42.5</x:v>
      </x:c>
      <x:c r="M3104" s="20" t="n">
        <x:v>0</x:v>
      </x:c>
      <x:c r="N3104" s="20" t="n">
        <x:f>IF(J3104=1,0,K3104-L3104)</x:f>
        <x:v>0</x:v>
      </x:c>
      <x:c r="O3104" s="20" t="n">
        <x:f>N3104-M3104</x:f>
        <x:v>0</x:v>
      </x:c>
    </x:row>
    <x:row r="3105" ht="22" customHeight="1">
      <x:c r="A3105" s="11" t="n">
        <x:v>3101</x:v>
      </x:c>
      <x:c r="B3105" s="11" t="n">
        <x:v>1572</x:v>
      </x:c>
      <x:c r="C3105" s="18" t="n">
        <x:v>45877</x:v>
      </x:c>
      <x:c r="D3105" s="11" t="str">
        <x:v>2025-08</x:v>
      </x:c>
      <x:c r="E3105" s="11" t="str">
        <x:v>East</x:v>
      </x:c>
      <x:c r="F3105" s="11" t="str">
        <x:v>Technology</x:v>
      </x:c>
      <x:c r="G3105" s="11" t="str">
        <x:v>Monitor</x:v>
      </x:c>
      <x:c r="H3105" s="11" t="n">
        <x:v>5</x:v>
      </x:c>
      <x:c r="I3105" s="19" t="n">
        <x:v>0</x:v>
      </x:c>
      <x:c r="J3105" s="11" t="n">
        <x:v>0</x:v>
      </x:c>
      <x:c r="K3105" s="20" t="n">
        <x:v>1200</x:v>
      </x:c>
      <x:c r="L3105" s="20" t="n">
        <x:v>0</x:v>
      </x:c>
      <x:c r="M3105" s="20" t="n">
        <x:v>800</x:v>
      </x:c>
      <x:c r="N3105" s="20" t="n">
        <x:f>IF(J3105=1,0,K3105-L3105)</x:f>
        <x:v>1200</x:v>
      </x:c>
      <x:c r="O3105" s="20" t="n">
        <x:f>N3105-M3105</x:f>
        <x:v>400</x:v>
      </x:c>
    </x:row>
    <x:row r="3106" ht="22" customHeight="1">
      <x:c r="A3106" s="11" t="n">
        <x:v>3102</x:v>
      </x:c>
      <x:c r="B3106" s="11" t="n">
        <x:v>1572</x:v>
      </x:c>
      <x:c r="C3106" s="18" t="n">
        <x:v>45877</x:v>
      </x:c>
      <x:c r="D3106" s="11" t="str">
        <x:v>2025-08</x:v>
      </x:c>
      <x:c r="E3106" s="11" t="str">
        <x:v>East</x:v>
      </x:c>
      <x:c r="F3106" s="11" t="str">
        <x:v>Furniture</x:v>
      </x:c>
      <x:c r="G3106" s="11" t="str">
        <x:v>Chair</x:v>
      </x:c>
      <x:c r="H3106" s="11" t="n">
        <x:v>4</x:v>
      </x:c>
      <x:c r="I3106" s="19" t="n">
        <x:v>0.1</x:v>
      </x:c>
      <x:c r="J3106" s="11" t="n">
        <x:v>0</x:v>
      </x:c>
      <x:c r="K3106" s="20" t="n">
        <x:v>680</x:v>
      </x:c>
      <x:c r="L3106" s="20" t="n">
        <x:v>68</x:v>
      </x:c>
      <x:c r="M3106" s="20" t="n">
        <x:v>440</x:v>
      </x:c>
      <x:c r="N3106" s="20" t="n">
        <x:f>IF(J3106=1,0,K3106-L3106)</x:f>
        <x:v>612</x:v>
      </x:c>
      <x:c r="O3106" s="20" t="n">
        <x:f>N3106-M3106</x:f>
        <x:v>172</x:v>
      </x:c>
    </x:row>
    <x:row r="3107" ht="22" customHeight="1">
      <x:c r="A3107" s="11" t="n">
        <x:v>3103</x:v>
      </x:c>
      <x:c r="B3107" s="11" t="n">
        <x:v>1573</x:v>
      </x:c>
      <x:c r="C3107" s="18" t="n">
        <x:v>45398</x:v>
      </x:c>
      <x:c r="D3107" s="11" t="str">
        <x:v>2024-04</x:v>
      </x:c>
      <x:c r="E3107" s="11" t="str">
        <x:v>Central</x:v>
      </x:c>
      <x:c r="F3107" s="11" t="str">
        <x:v>Furniture</x:v>
      </x:c>
      <x:c r="G3107" s="11" t="str">
        <x:v>Desk</x:v>
      </x:c>
      <x:c r="H3107" s="11" t="n">
        <x:v>1</x:v>
      </x:c>
      <x:c r="I3107" s="19" t="n">
        <x:v>0.1</x:v>
      </x:c>
      <x:c r="J3107" s="11" t="n">
        <x:v>1</x:v>
      </x:c>
      <x:c r="K3107" s="20" t="n">
        <x:v>280</x:v>
      </x:c>
      <x:c r="L3107" s="20" t="n">
        <x:v>28</x:v>
      </x:c>
      <x:c r="M3107" s="20" t="n">
        <x:v>0</x:v>
      </x:c>
      <x:c r="N3107" s="20" t="n">
        <x:f>IF(J3107=1,0,K3107-L3107)</x:f>
        <x:v>0</x:v>
      </x:c>
      <x:c r="O3107" s="20" t="n">
        <x:f>N3107-M3107</x:f>
        <x:v>0</x:v>
      </x:c>
    </x:row>
    <x:row r="3108" ht="22" customHeight="1">
      <x:c r="A3108" s="11" t="n">
        <x:v>3104</x:v>
      </x:c>
      <x:c r="B3108" s="11" t="n">
        <x:v>1574</x:v>
      </x:c>
      <x:c r="C3108" s="18" t="n">
        <x:v>45863</x:v>
      </x:c>
      <x:c r="D3108" s="11" t="str">
        <x:v>2025-07</x:v>
      </x:c>
      <x:c r="E3108" s="11" t="str">
        <x:v>South</x:v>
      </x:c>
      <x:c r="F3108" s="11" t="str">
        <x:v>Office Supplies</x:v>
      </x:c>
      <x:c r="G3108" s="11" t="str">
        <x:v>Notebook pack</x:v>
      </x:c>
      <x:c r="H3108" s="11" t="n">
        <x:v>1</x:v>
      </x:c>
      <x:c r="I3108" s="19" t="n">
        <x:v>0.15</x:v>
      </x:c>
      <x:c r="J3108" s="11" t="n">
        <x:v>0</x:v>
      </x:c>
      <x:c r="K3108" s="20" t="n">
        <x:v>18</x:v>
      </x:c>
      <x:c r="L3108" s="20" t="n">
        <x:v>2.7</x:v>
      </x:c>
      <x:c r="M3108" s="20" t="n">
        <x:v>7</x:v>
      </x:c>
      <x:c r="N3108" s="20" t="n">
        <x:f>IF(J3108=1,0,K3108-L3108)</x:f>
        <x:v>15.3</x:v>
      </x:c>
      <x:c r="O3108" s="20" t="n">
        <x:f>N3108-M3108</x:f>
        <x:v>8.3</x:v>
      </x:c>
    </x:row>
    <x:row r="3109" ht="22" customHeight="1">
      <x:c r="A3109" s="11" t="n">
        <x:v>3105</x:v>
      </x:c>
      <x:c r="B3109" s="11" t="n">
        <x:v>1574</x:v>
      </x:c>
      <x:c r="C3109" s="18" t="n">
        <x:v>45863</x:v>
      </x:c>
      <x:c r="D3109" s="11" t="str">
        <x:v>2025-07</x:v>
      </x:c>
      <x:c r="E3109" s="11" t="str">
        <x:v>South</x:v>
      </x:c>
      <x:c r="F3109" s="11" t="str">
        <x:v>Furniture</x:v>
      </x:c>
      <x:c r="G3109" s="11" t="str">
        <x:v>Chair</x:v>
      </x:c>
      <x:c r="H3109" s="11" t="n">
        <x:v>2</x:v>
      </x:c>
      <x:c r="I3109" s="19" t="n">
        <x:v>0</x:v>
      </x:c>
      <x:c r="J3109" s="11" t="n">
        <x:v>0</x:v>
      </x:c>
      <x:c r="K3109" s="20" t="n">
        <x:v>340</x:v>
      </x:c>
      <x:c r="L3109" s="20" t="n">
        <x:v>0</x:v>
      </x:c>
      <x:c r="M3109" s="20" t="n">
        <x:v>220</x:v>
      </x:c>
      <x:c r="N3109" s="20" t="n">
        <x:f>IF(J3109=1,0,K3109-L3109)</x:f>
        <x:v>340</x:v>
      </x:c>
      <x:c r="O3109" s="20" t="n">
        <x:f>N3109-M3109</x:f>
        <x:v>120</x:v>
      </x:c>
    </x:row>
    <x:row r="3110" ht="22" customHeight="1">
      <x:c r="A3110" s="11" t="n">
        <x:v>3106</x:v>
      </x:c>
      <x:c r="B3110" s="11" t="n">
        <x:v>1574</x:v>
      </x:c>
      <x:c r="C3110" s="18" t="n">
        <x:v>45863</x:v>
      </x:c>
      <x:c r="D3110" s="11" t="str">
        <x:v>2025-07</x:v>
      </x:c>
      <x:c r="E3110" s="11" t="str">
        <x:v>South</x:v>
      </x:c>
      <x:c r="F3110" s="11" t="str">
        <x:v>Technology</x:v>
      </x:c>
      <x:c r="G3110" s="11" t="str">
        <x:v>Monitor</x:v>
      </x:c>
      <x:c r="H3110" s="11" t="n">
        <x:v>4</x:v>
      </x:c>
      <x:c r="I3110" s="19" t="n">
        <x:v>0</x:v>
      </x:c>
      <x:c r="J3110" s="11" t="n">
        <x:v>1</x:v>
      </x:c>
      <x:c r="K3110" s="20" t="n">
        <x:v>960</x:v>
      </x:c>
      <x:c r="L3110" s="20" t="n">
        <x:v>0</x:v>
      </x:c>
      <x:c r="M3110" s="20" t="n">
        <x:v>0</x:v>
      </x:c>
      <x:c r="N3110" s="20" t="n">
        <x:f>IF(J3110=1,0,K3110-L3110)</x:f>
        <x:v>0</x:v>
      </x:c>
      <x:c r="O3110" s="20" t="n">
        <x:f>N3110-M3110</x:f>
        <x:v>0</x:v>
      </x:c>
    </x:row>
    <x:row r="3111" ht="22" customHeight="1">
      <x:c r="A3111" s="11" t="n">
        <x:v>3107</x:v>
      </x:c>
      <x:c r="B3111" s="11" t="n">
        <x:v>1575</x:v>
      </x:c>
      <x:c r="C3111" s="18" t="n">
        <x:v>45897</x:v>
      </x:c>
      <x:c r="D3111" s="11" t="str">
        <x:v>2025-08</x:v>
      </x:c>
      <x:c r="E3111" s="11" t="str">
        <x:v>East</x:v>
      </x:c>
      <x:c r="F3111" s="11" t="str">
        <x:v>Office Supplies</x:v>
      </x:c>
      <x:c r="G3111" s="11" t="str">
        <x:v>Storage box</x:v>
      </x:c>
      <x:c r="H3111" s="11" t="n">
        <x:v>1</x:v>
      </x:c>
      <x:c r="I3111" s="19" t="n">
        <x:v>0</x:v>
      </x:c>
      <x:c r="J3111" s="11" t="n">
        <x:v>0</x:v>
      </x:c>
      <x:c r="K3111" s="20" t="n">
        <x:v>26</x:v>
      </x:c>
      <x:c r="L3111" s="20" t="n">
        <x:v>0</x:v>
      </x:c>
      <x:c r="M3111" s="20" t="n">
        <x:v>12</x:v>
      </x:c>
      <x:c r="N3111" s="20" t="n">
        <x:f>IF(J3111=1,0,K3111-L3111)</x:f>
        <x:v>26</x:v>
      </x:c>
      <x:c r="O3111" s="20" t="n">
        <x:f>N3111-M3111</x:f>
        <x:v>14</x:v>
      </x:c>
    </x:row>
    <x:row r="3112" ht="22" customHeight="1">
      <x:c r="A3112" s="11" t="n">
        <x:v>3108</x:v>
      </x:c>
      <x:c r="B3112" s="11" t="n">
        <x:v>1575</x:v>
      </x:c>
      <x:c r="C3112" s="18" t="n">
        <x:v>45897</x:v>
      </x:c>
      <x:c r="D3112" s="11" t="str">
        <x:v>2025-08</x:v>
      </x:c>
      <x:c r="E3112" s="11" t="str">
        <x:v>East</x:v>
      </x:c>
      <x:c r="F3112" s="11" t="str">
        <x:v>Technology</x:v>
      </x:c>
      <x:c r="G3112" s="11" t="str">
        <x:v>Keyboard</x:v>
      </x:c>
      <x:c r="H3112" s="11" t="n">
        <x:v>2</x:v>
      </x:c>
      <x:c r="I3112" s="19" t="n">
        <x:v>0.15</x:v>
      </x:c>
      <x:c r="J3112" s="11" t="n">
        <x:v>0</x:v>
      </x:c>
      <x:c r="K3112" s="20" t="n">
        <x:v>130</x:v>
      </x:c>
      <x:c r="L3112" s="20" t="n">
        <x:v>19.5</x:v>
      </x:c>
      <x:c r="M3112" s="20" t="n">
        <x:v>64</x:v>
      </x:c>
      <x:c r="N3112" s="20" t="n">
        <x:f>IF(J3112=1,0,K3112-L3112)</x:f>
        <x:v>110.5</x:v>
      </x:c>
      <x:c r="O3112" s="20" t="n">
        <x:f>N3112-M3112</x:f>
        <x:v>46.5</x:v>
      </x:c>
    </x:row>
    <x:row r="3113" ht="22" customHeight="1">
      <x:c r="A3113" s="11" t="n">
        <x:v>3109</x:v>
      </x:c>
      <x:c r="B3113" s="11" t="n">
        <x:v>1576</x:v>
      </x:c>
      <x:c r="C3113" s="18" t="n">
        <x:v>45423</x:v>
      </x:c>
      <x:c r="D3113" s="11" t="str">
        <x:v>2024-05</x:v>
      </x:c>
      <x:c r="E3113" s="11" t="str">
        <x:v>South</x:v>
      </x:c>
      <x:c r="F3113" s="11" t="str">
        <x:v>Furniture</x:v>
      </x:c>
      <x:c r="G3113" s="11" t="str">
        <x:v>Desk</x:v>
      </x:c>
      <x:c r="H3113" s="11" t="n">
        <x:v>2</x:v>
      </x:c>
      <x:c r="I3113" s="19" t="n">
        <x:v>0.35</x:v>
      </x:c>
      <x:c r="J3113" s="11" t="n">
        <x:v>0</x:v>
      </x:c>
      <x:c r="K3113" s="20" t="n">
        <x:v>560</x:v>
      </x:c>
      <x:c r="L3113" s="20" t="n">
        <x:v>196</x:v>
      </x:c>
      <x:c r="M3113" s="20" t="n">
        <x:v>380</x:v>
      </x:c>
      <x:c r="N3113" s="20" t="n">
        <x:f>IF(J3113=1,0,K3113-L3113)</x:f>
        <x:v>364</x:v>
      </x:c>
      <x:c r="O3113" s="20" t="n">
        <x:f>N3113-M3113</x:f>
        <x:v>-16</x:v>
      </x:c>
    </x:row>
    <x:row r="3114" ht="22" customHeight="1">
      <x:c r="A3114" s="11" t="n">
        <x:v>3110</x:v>
      </x:c>
      <x:c r="B3114" s="11" t="n">
        <x:v>1577</x:v>
      </x:c>
      <x:c r="C3114" s="18" t="n">
        <x:v>45574</x:v>
      </x:c>
      <x:c r="D3114" s="11" t="str">
        <x:v>2024-10</x:v>
      </x:c>
      <x:c r="E3114" s="11" t="str">
        <x:v>West</x:v>
      </x:c>
      <x:c r="F3114" s="11" t="str">
        <x:v>Office Supplies</x:v>
      </x:c>
      <x:c r="G3114" s="11" t="str">
        <x:v>Notebook pack</x:v>
      </x:c>
      <x:c r="H3114" s="11" t="n">
        <x:v>5</x:v>
      </x:c>
      <x:c r="I3114" s="19" t="n">
        <x:v>0.05</x:v>
      </x:c>
      <x:c r="J3114" s="11" t="n">
        <x:v>0</x:v>
      </x:c>
      <x:c r="K3114" s="20" t="n">
        <x:v>90</x:v>
      </x:c>
      <x:c r="L3114" s="20" t="n">
        <x:v>4.5</x:v>
      </x:c>
      <x:c r="M3114" s="20" t="n">
        <x:v>35</x:v>
      </x:c>
      <x:c r="N3114" s="20" t="n">
        <x:f>IF(J3114=1,0,K3114-L3114)</x:f>
        <x:v>85.5</x:v>
      </x:c>
      <x:c r="O3114" s="20" t="n">
        <x:f>N3114-M3114</x:f>
        <x:v>50.5</x:v>
      </x:c>
    </x:row>
    <x:row r="3115" ht="22" customHeight="1">
      <x:c r="A3115" s="11" t="n">
        <x:v>3111</x:v>
      </x:c>
      <x:c r="B3115" s="11" t="n">
        <x:v>1577</x:v>
      </x:c>
      <x:c r="C3115" s="18" t="n">
        <x:v>45574</x:v>
      </x:c>
      <x:c r="D3115" s="11" t="str">
        <x:v>2024-10</x:v>
      </x:c>
      <x:c r="E3115" s="11" t="str">
        <x:v>West</x:v>
      </x:c>
      <x:c r="F3115" s="11" t="str">
        <x:v>Technology</x:v>
      </x:c>
      <x:c r="G3115" s="11" t="str">
        <x:v>Monitor</x:v>
      </x:c>
      <x:c r="H3115" s="11" t="n">
        <x:v>2</x:v>
      </x:c>
      <x:c r="I3115" s="19" t="n">
        <x:v>0</x:v>
      </x:c>
      <x:c r="J3115" s="11" t="n">
        <x:v>0</x:v>
      </x:c>
      <x:c r="K3115" s="20" t="n">
        <x:v>480</x:v>
      </x:c>
      <x:c r="L3115" s="20" t="n">
        <x:v>0</x:v>
      </x:c>
      <x:c r="M3115" s="20" t="n">
        <x:v>320</x:v>
      </x:c>
      <x:c r="N3115" s="20" t="n">
        <x:f>IF(J3115=1,0,K3115-L3115)</x:f>
        <x:v>480</x:v>
      </x:c>
      <x:c r="O3115" s="20" t="n">
        <x:f>N3115-M3115</x:f>
        <x:v>160</x:v>
      </x:c>
    </x:row>
    <x:row r="3116" ht="22" customHeight="1">
      <x:c r="A3116" s="11" t="n">
        <x:v>3112</x:v>
      </x:c>
      <x:c r="B3116" s="11" t="n">
        <x:v>1578</x:v>
      </x:c>
      <x:c r="C3116" s="18" t="n">
        <x:v>45557</x:v>
      </x:c>
      <x:c r="D3116" s="11" t="str">
        <x:v>2024-09</x:v>
      </x:c>
      <x:c r="E3116" s="11" t="str">
        <x:v>South</x:v>
      </x:c>
      <x:c r="F3116" s="11" t="str">
        <x:v>Furniture</x:v>
      </x:c>
      <x:c r="G3116" s="11" t="str">
        <x:v>Chair</x:v>
      </x:c>
      <x:c r="H3116" s="11" t="n">
        <x:v>4</x:v>
      </x:c>
      <x:c r="I3116" s="19" t="n">
        <x:v>0</x:v>
      </x:c>
      <x:c r="J3116" s="11" t="n">
        <x:v>0</x:v>
      </x:c>
      <x:c r="K3116" s="20" t="n">
        <x:v>680</x:v>
      </x:c>
      <x:c r="L3116" s="20" t="n">
        <x:v>0</x:v>
      </x:c>
      <x:c r="M3116" s="20" t="n">
        <x:v>440</x:v>
      </x:c>
      <x:c r="N3116" s="20" t="n">
        <x:f>IF(J3116=1,0,K3116-L3116)</x:f>
        <x:v>680</x:v>
      </x:c>
      <x:c r="O3116" s="20" t="n">
        <x:f>N3116-M3116</x:f>
        <x:v>240</x:v>
      </x:c>
    </x:row>
    <x:row r="3117" ht="22" customHeight="1">
      <x:c r="A3117" s="11" t="n">
        <x:v>3113</x:v>
      </x:c>
      <x:c r="B3117" s="11" t="n">
        <x:v>1579</x:v>
      </x:c>
      <x:c r="C3117" s="18" t="n">
        <x:v>45662</x:v>
      </x:c>
      <x:c r="D3117" s="11" t="str">
        <x:v>2025-01</x:v>
      </x:c>
      <x:c r="E3117" s="11" t="str">
        <x:v>East</x:v>
      </x:c>
      <x:c r="F3117" s="11" t="str">
        <x:v>Furniture</x:v>
      </x:c>
      <x:c r="G3117" s="11" t="str">
        <x:v>Chair</x:v>
      </x:c>
      <x:c r="H3117" s="11" t="n">
        <x:v>4</x:v>
      </x:c>
      <x:c r="I3117" s="19" t="n">
        <x:v>0.1</x:v>
      </x:c>
      <x:c r="J3117" s="11" t="n">
        <x:v>0</x:v>
      </x:c>
      <x:c r="K3117" s="20" t="n">
        <x:v>680</x:v>
      </x:c>
      <x:c r="L3117" s="20" t="n">
        <x:v>68</x:v>
      </x:c>
      <x:c r="M3117" s="20" t="n">
        <x:v>440</x:v>
      </x:c>
      <x:c r="N3117" s="20" t="n">
        <x:f>IF(J3117=1,0,K3117-L3117)</x:f>
        <x:v>612</x:v>
      </x:c>
      <x:c r="O3117" s="20" t="n">
        <x:f>N3117-M3117</x:f>
        <x:v>172</x:v>
      </x:c>
    </x:row>
    <x:row r="3118" ht="22" customHeight="1">
      <x:c r="A3118" s="11" t="n">
        <x:v>3114</x:v>
      </x:c>
      <x:c r="B3118" s="11" t="n">
        <x:v>1579</x:v>
      </x:c>
      <x:c r="C3118" s="18" t="n">
        <x:v>45662</x:v>
      </x:c>
      <x:c r="D3118" s="11" t="str">
        <x:v>2025-01</x:v>
      </x:c>
      <x:c r="E3118" s="11" t="str">
        <x:v>East</x:v>
      </x:c>
      <x:c r="F3118" s="11" t="str">
        <x:v>Office Supplies</x:v>
      </x:c>
      <x:c r="G3118" s="11" t="str">
        <x:v>Notebook pack</x:v>
      </x:c>
      <x:c r="H3118" s="11" t="n">
        <x:v>5</x:v>
      </x:c>
      <x:c r="I3118" s="19" t="n">
        <x:v>0.15</x:v>
      </x:c>
      <x:c r="J3118" s="11" t="n">
        <x:v>0</x:v>
      </x:c>
      <x:c r="K3118" s="20" t="n">
        <x:v>90</x:v>
      </x:c>
      <x:c r="L3118" s="20" t="n">
        <x:v>13.5</x:v>
      </x:c>
      <x:c r="M3118" s="20" t="n">
        <x:v>35</x:v>
      </x:c>
      <x:c r="N3118" s="20" t="n">
        <x:f>IF(J3118=1,0,K3118-L3118)</x:f>
        <x:v>76.5</x:v>
      </x:c>
      <x:c r="O3118" s="20" t="n">
        <x:f>N3118-M3118</x:f>
        <x:v>41.5</x:v>
      </x:c>
    </x:row>
    <x:row r="3119" ht="22" customHeight="1">
      <x:c r="A3119" s="11" t="n">
        <x:v>3115</x:v>
      </x:c>
      <x:c r="B3119" s="11" t="n">
        <x:v>1580</x:v>
      </x:c>
      <x:c r="C3119" s="18" t="n">
        <x:v>45379</x:v>
      </x:c>
      <x:c r="D3119" s="11" t="str">
        <x:v>2024-03</x:v>
      </x:c>
      <x:c r="E3119" s="11" t="str">
        <x:v>West</x:v>
      </x:c>
      <x:c r="F3119" s="11" t="str">
        <x:v>Furniture</x:v>
      </x:c>
      <x:c r="G3119" s="11" t="str">
        <x:v>Desk</x:v>
      </x:c>
      <x:c r="H3119" s="11" t="n">
        <x:v>2</x:v>
      </x:c>
      <x:c r="I3119" s="19" t="n">
        <x:v>0</x:v>
      </x:c>
      <x:c r="J3119" s="11" t="n">
        <x:v>0</x:v>
      </x:c>
      <x:c r="K3119" s="20" t="n">
        <x:v>560</x:v>
      </x:c>
      <x:c r="L3119" s="20" t="n">
        <x:v>0</x:v>
      </x:c>
      <x:c r="M3119" s="20" t="n">
        <x:v>380</x:v>
      </x:c>
      <x:c r="N3119" s="20" t="n">
        <x:f>IF(J3119=1,0,K3119-L3119)</x:f>
        <x:v>560</x:v>
      </x:c>
      <x:c r="O3119" s="20" t="n">
        <x:f>N3119-M3119</x:f>
        <x:v>180</x:v>
      </x:c>
    </x:row>
    <x:row r="3120" ht="22" customHeight="1">
      <x:c r="A3120" s="11" t="n">
        <x:v>3116</x:v>
      </x:c>
      <x:c r="B3120" s="11" t="n">
        <x:v>1580</x:v>
      </x:c>
      <x:c r="C3120" s="18" t="n">
        <x:v>45379</x:v>
      </x:c>
      <x:c r="D3120" s="11" t="str">
        <x:v>2024-03</x:v>
      </x:c>
      <x:c r="E3120" s="11" t="str">
        <x:v>West</x:v>
      </x:c>
      <x:c r="F3120" s="11" t="str">
        <x:v>Technology</x:v>
      </x:c>
      <x:c r="G3120" s="11" t="str">
        <x:v>Keyboard</x:v>
      </x:c>
      <x:c r="H3120" s="11" t="n">
        <x:v>5</x:v>
      </x:c>
      <x:c r="I3120" s="19" t="n">
        <x:v>0</x:v>
      </x:c>
      <x:c r="J3120" s="11" t="n">
        <x:v>0</x:v>
      </x:c>
      <x:c r="K3120" s="20" t="n">
        <x:v>325</x:v>
      </x:c>
      <x:c r="L3120" s="20" t="n">
        <x:v>0</x:v>
      </x:c>
      <x:c r="M3120" s="20" t="n">
        <x:v>160</x:v>
      </x:c>
      <x:c r="N3120" s="20" t="n">
        <x:f>IF(J3120=1,0,K3120-L3120)</x:f>
        <x:v>325</x:v>
      </x:c>
      <x:c r="O3120" s="20" t="n">
        <x:f>N3120-M3120</x:f>
        <x:v>165</x:v>
      </x:c>
    </x:row>
    <x:row r="3121" ht="22" customHeight="1">
      <x:c r="A3121" s="11" t="n">
        <x:v>3117</x:v>
      </x:c>
      <x:c r="B3121" s="11" t="n">
        <x:v>1580</x:v>
      </x:c>
      <x:c r="C3121" s="18" t="n">
        <x:v>45379</x:v>
      </x:c>
      <x:c r="D3121" s="11" t="str">
        <x:v>2024-03</x:v>
      </x:c>
      <x:c r="E3121" s="11" t="str">
        <x:v>West</x:v>
      </x:c>
      <x:c r="F3121" s="11" t="str">
        <x:v>Furniture</x:v>
      </x:c>
      <x:c r="G3121" s="11" t="str">
        <x:v>Chair</x:v>
      </x:c>
      <x:c r="H3121" s="11" t="n">
        <x:v>3</x:v>
      </x:c>
      <x:c r="I3121" s="19" t="n">
        <x:v>0</x:v>
      </x:c>
      <x:c r="J3121" s="11" t="n">
        <x:v>0</x:v>
      </x:c>
      <x:c r="K3121" s="20" t="n">
        <x:v>510</x:v>
      </x:c>
      <x:c r="L3121" s="20" t="n">
        <x:v>0</x:v>
      </x:c>
      <x:c r="M3121" s="20" t="n">
        <x:v>330</x:v>
      </x:c>
      <x:c r="N3121" s="20" t="n">
        <x:f>IF(J3121=1,0,K3121-L3121)</x:f>
        <x:v>510</x:v>
      </x:c>
      <x:c r="O3121" s="20" t="n">
        <x:f>N3121-M3121</x:f>
        <x:v>180</x:v>
      </x:c>
    </x:row>
    <x:row r="3122" ht="22" customHeight="1">
      <x:c r="A3122" s="11" t="n">
        <x:v>3118</x:v>
      </x:c>
      <x:c r="B3122" s="11" t="n">
        <x:v>1581</x:v>
      </x:c>
      <x:c r="C3122" s="18" t="n">
        <x:v>45992</x:v>
      </x:c>
      <x:c r="D3122" s="11" t="str">
        <x:v>2025-12</x:v>
      </x:c>
      <x:c r="E3122" s="11" t="str">
        <x:v>East</x:v>
      </x:c>
      <x:c r="F3122" s="11" t="str">
        <x:v>Office Supplies</x:v>
      </x:c>
      <x:c r="G3122" s="11" t="str">
        <x:v>Storage box</x:v>
      </x:c>
      <x:c r="H3122" s="11" t="n">
        <x:v>3</x:v>
      </x:c>
      <x:c r="I3122" s="19" t="n">
        <x:v>0</x:v>
      </x:c>
      <x:c r="J3122" s="11" t="n">
        <x:v>0</x:v>
      </x:c>
      <x:c r="K3122" s="20" t="n">
        <x:v>78</x:v>
      </x:c>
      <x:c r="L3122" s="20" t="n">
        <x:v>0</x:v>
      </x:c>
      <x:c r="M3122" s="20" t="n">
        <x:v>36</x:v>
      </x:c>
      <x:c r="N3122" s="20" t="n">
        <x:f>IF(J3122=1,0,K3122-L3122)</x:f>
        <x:v>78</x:v>
      </x:c>
      <x:c r="O3122" s="20" t="n">
        <x:f>N3122-M3122</x:f>
        <x:v>42</x:v>
      </x:c>
    </x:row>
    <x:row r="3123" ht="22" customHeight="1">
      <x:c r="A3123" s="11" t="n">
        <x:v>3119</x:v>
      </x:c>
      <x:c r="B3123" s="11" t="n">
        <x:v>1582</x:v>
      </x:c>
      <x:c r="C3123" s="18" t="n">
        <x:v>45419</x:v>
      </x:c>
      <x:c r="D3123" s="11" t="str">
        <x:v>2024-05</x:v>
      </x:c>
      <x:c r="E3123" s="11" t="str">
        <x:v>South</x:v>
      </x:c>
      <x:c r="F3123" s="11" t="str">
        <x:v>Technology</x:v>
      </x:c>
      <x:c r="G3123" s="11" t="str">
        <x:v>Keyboard</x:v>
      </x:c>
      <x:c r="H3123" s="11" t="n">
        <x:v>4</x:v>
      </x:c>
      <x:c r="I3123" s="19" t="n">
        <x:v>0.05</x:v>
      </x:c>
      <x:c r="J3123" s="11" t="n">
        <x:v>0</x:v>
      </x:c>
      <x:c r="K3123" s="20" t="n">
        <x:v>260</x:v>
      </x:c>
      <x:c r="L3123" s="20" t="n">
        <x:v>13</x:v>
      </x:c>
      <x:c r="M3123" s="20" t="n">
        <x:v>128</x:v>
      </x:c>
      <x:c r="N3123" s="20" t="n">
        <x:f>IF(J3123=1,0,K3123-L3123)</x:f>
        <x:v>247</x:v>
      </x:c>
      <x:c r="O3123" s="20" t="n">
        <x:f>N3123-M3123</x:f>
        <x:v>119</x:v>
      </x:c>
    </x:row>
    <x:row r="3124" ht="22" customHeight="1">
      <x:c r="A3124" s="11" t="n">
        <x:v>3120</x:v>
      </x:c>
      <x:c r="B3124" s="11" t="n">
        <x:v>1582</x:v>
      </x:c>
      <x:c r="C3124" s="18" t="n">
        <x:v>45419</x:v>
      </x:c>
      <x:c r="D3124" s="11" t="str">
        <x:v>2024-05</x:v>
      </x:c>
      <x:c r="E3124" s="11" t="str">
        <x:v>South</x:v>
      </x:c>
      <x:c r="F3124" s="11" t="str">
        <x:v>Office Supplies</x:v>
      </x:c>
      <x:c r="G3124" s="11" t="str">
        <x:v>Notebook pack</x:v>
      </x:c>
      <x:c r="H3124" s="11" t="n">
        <x:v>3</x:v>
      </x:c>
      <x:c r="I3124" s="19" t="n">
        <x:v>0.15</x:v>
      </x:c>
      <x:c r="J3124" s="11" t="n">
        <x:v>0</x:v>
      </x:c>
      <x:c r="K3124" s="20" t="n">
        <x:v>54</x:v>
      </x:c>
      <x:c r="L3124" s="20" t="n">
        <x:v>8.1</x:v>
      </x:c>
      <x:c r="M3124" s="20" t="n">
        <x:v>21</x:v>
      </x:c>
      <x:c r="N3124" s="20" t="n">
        <x:f>IF(J3124=1,0,K3124-L3124)</x:f>
        <x:v>45.9</x:v>
      </x:c>
      <x:c r="O3124" s="20" t="n">
        <x:f>N3124-M3124</x:f>
        <x:v>24.9</x:v>
      </x:c>
    </x:row>
    <x:row r="3125" ht="22" customHeight="1">
      <x:c r="A3125" s="11" t="n">
        <x:v>3121</x:v>
      </x:c>
      <x:c r="B3125" s="11" t="n">
        <x:v>1583</x:v>
      </x:c>
      <x:c r="C3125" s="18" t="n">
        <x:v>45745</x:v>
      </x:c>
      <x:c r="D3125" s="11" t="str">
        <x:v>2025-03</x:v>
      </x:c>
      <x:c r="E3125" s="11" t="str">
        <x:v>East</x:v>
      </x:c>
      <x:c r="F3125" s="11" t="str">
        <x:v>Technology</x:v>
      </x:c>
      <x:c r="G3125" s="11" t="str">
        <x:v>Monitor</x:v>
      </x:c>
      <x:c r="H3125" s="11" t="n">
        <x:v>2</x:v>
      </x:c>
      <x:c r="I3125" s="19" t="n">
        <x:v>0</x:v>
      </x:c>
      <x:c r="J3125" s="11" t="n">
        <x:v>0</x:v>
      </x:c>
      <x:c r="K3125" s="20" t="n">
        <x:v>480</x:v>
      </x:c>
      <x:c r="L3125" s="20" t="n">
        <x:v>0</x:v>
      </x:c>
      <x:c r="M3125" s="20" t="n">
        <x:v>320</x:v>
      </x:c>
      <x:c r="N3125" s="20" t="n">
        <x:f>IF(J3125=1,0,K3125-L3125)</x:f>
        <x:v>480</x:v>
      </x:c>
      <x:c r="O3125" s="20" t="n">
        <x:f>N3125-M3125</x:f>
        <x:v>160</x:v>
      </x:c>
    </x:row>
    <x:row r="3126" ht="22" customHeight="1">
      <x:c r="A3126" s="11" t="n">
        <x:v>3122</x:v>
      </x:c>
      <x:c r="B3126" s="11" t="n">
        <x:v>1583</x:v>
      </x:c>
      <x:c r="C3126" s="18" t="n">
        <x:v>45745</x:v>
      </x:c>
      <x:c r="D3126" s="11" t="str">
        <x:v>2025-03</x:v>
      </x:c>
      <x:c r="E3126" s="11" t="str">
        <x:v>East</x:v>
      </x:c>
      <x:c r="F3126" s="11" t="str">
        <x:v>Technology</x:v>
      </x:c>
      <x:c r="G3126" s="11" t="str">
        <x:v>Keyboard</x:v>
      </x:c>
      <x:c r="H3126" s="11" t="n">
        <x:v>1</x:v>
      </x:c>
      <x:c r="I3126" s="19" t="n">
        <x:v>0</x:v>
      </x:c>
      <x:c r="J3126" s="11" t="n">
        <x:v>0</x:v>
      </x:c>
      <x:c r="K3126" s="20" t="n">
        <x:v>65</x:v>
      </x:c>
      <x:c r="L3126" s="20" t="n">
        <x:v>0</x:v>
      </x:c>
      <x:c r="M3126" s="20" t="n">
        <x:v>32</x:v>
      </x:c>
      <x:c r="N3126" s="20" t="n">
        <x:f>IF(J3126=1,0,K3126-L3126)</x:f>
        <x:v>65</x:v>
      </x:c>
      <x:c r="O3126" s="20" t="n">
        <x:f>N3126-M3126</x:f>
        <x:v>33</x:v>
      </x:c>
    </x:row>
    <x:row r="3127" ht="22" customHeight="1">
      <x:c r="A3127" s="11" t="n">
        <x:v>3123</x:v>
      </x:c>
      <x:c r="B3127" s="11" t="n">
        <x:v>1584</x:v>
      </x:c>
      <x:c r="C3127" s="18" t="n">
        <x:v>45549</x:v>
      </x:c>
      <x:c r="D3127" s="11" t="str">
        <x:v>2024-09</x:v>
      </x:c>
      <x:c r="E3127" s="11" t="str">
        <x:v>West</x:v>
      </x:c>
      <x:c r="F3127" s="11" t="str">
        <x:v>Furniture</x:v>
      </x:c>
      <x:c r="G3127" s="11" t="str">
        <x:v>Desk</x:v>
      </x:c>
      <x:c r="H3127" s="11" t="n">
        <x:v>1</x:v>
      </x:c>
      <x:c r="I3127" s="19" t="n">
        <x:v>0</x:v>
      </x:c>
      <x:c r="J3127" s="11" t="n">
        <x:v>0</x:v>
      </x:c>
      <x:c r="K3127" s="20" t="n">
        <x:v>280</x:v>
      </x:c>
      <x:c r="L3127" s="20" t="n">
        <x:v>0</x:v>
      </x:c>
      <x:c r="M3127" s="20" t="n">
        <x:v>190</x:v>
      </x:c>
      <x:c r="N3127" s="20" t="n">
        <x:f>IF(J3127=1,0,K3127-L3127)</x:f>
        <x:v>280</x:v>
      </x:c>
      <x:c r="O3127" s="20" t="n">
        <x:f>N3127-M3127</x:f>
        <x:v>90</x:v>
      </x:c>
    </x:row>
    <x:row r="3128" ht="22" customHeight="1">
      <x:c r="A3128" s="11" t="n">
        <x:v>3124</x:v>
      </x:c>
      <x:c r="B3128" s="11" t="n">
        <x:v>1585</x:v>
      </x:c>
      <x:c r="C3128" s="18" t="n">
        <x:v>45818</x:v>
      </x:c>
      <x:c r="D3128" s="11" t="str">
        <x:v>2025-06</x:v>
      </x:c>
      <x:c r="E3128" s="11" t="str">
        <x:v>West</x:v>
      </x:c>
      <x:c r="F3128" s="11" t="str">
        <x:v>Furniture</x:v>
      </x:c>
      <x:c r="G3128" s="11" t="str">
        <x:v>Desk</x:v>
      </x:c>
      <x:c r="H3128" s="11" t="n">
        <x:v>4</x:v>
      </x:c>
      <x:c r="I3128" s="19" t="n">
        <x:v>0.05</x:v>
      </x:c>
      <x:c r="J3128" s="11" t="n">
        <x:v>0</x:v>
      </x:c>
      <x:c r="K3128" s="20" t="n">
        <x:v>1120</x:v>
      </x:c>
      <x:c r="L3128" s="20" t="n">
        <x:v>56</x:v>
      </x:c>
      <x:c r="M3128" s="20" t="n">
        <x:v>760</x:v>
      </x:c>
      <x:c r="N3128" s="20" t="n">
        <x:f>IF(J3128=1,0,K3128-L3128)</x:f>
        <x:v>1064</x:v>
      </x:c>
      <x:c r="O3128" s="20" t="n">
        <x:f>N3128-M3128</x:f>
        <x:v>304</x:v>
      </x:c>
    </x:row>
    <x:row r="3129" ht="22" customHeight="1">
      <x:c r="A3129" s="11" t="n">
        <x:v>3125</x:v>
      </x:c>
      <x:c r="B3129" s="11" t="n">
        <x:v>1586</x:v>
      </x:c>
      <x:c r="C3129" s="18" t="n">
        <x:v>45700</x:v>
      </x:c>
      <x:c r="D3129" s="11" t="str">
        <x:v>2025-02</x:v>
      </x:c>
      <x:c r="E3129" s="11" t="str">
        <x:v>South</x:v>
      </x:c>
      <x:c r="F3129" s="11" t="str">
        <x:v>Furniture</x:v>
      </x:c>
      <x:c r="G3129" s="11" t="str">
        <x:v>Chair</x:v>
      </x:c>
      <x:c r="H3129" s="11" t="n">
        <x:v>5</x:v>
      </x:c>
      <x:c r="I3129" s="19" t="n">
        <x:v>0</x:v>
      </x:c>
      <x:c r="J3129" s="11" t="n">
        <x:v>0</x:v>
      </x:c>
      <x:c r="K3129" s="20" t="n">
        <x:v>850</x:v>
      </x:c>
      <x:c r="L3129" s="20" t="n">
        <x:v>0</x:v>
      </x:c>
      <x:c r="M3129" s="20" t="n">
        <x:v>550</x:v>
      </x:c>
      <x:c r="N3129" s="20" t="n">
        <x:f>IF(J3129=1,0,K3129-L3129)</x:f>
        <x:v>850</x:v>
      </x:c>
      <x:c r="O3129" s="20" t="n">
        <x:f>N3129-M3129</x:f>
        <x:v>300</x:v>
      </x:c>
    </x:row>
    <x:row r="3130" ht="22" customHeight="1">
      <x:c r="A3130" s="11" t="n">
        <x:v>3126</x:v>
      </x:c>
      <x:c r="B3130" s="11" t="n">
        <x:v>1586</x:v>
      </x:c>
      <x:c r="C3130" s="18" t="n">
        <x:v>45700</x:v>
      </x:c>
      <x:c r="D3130" s="11" t="str">
        <x:v>2025-02</x:v>
      </x:c>
      <x:c r="E3130" s="11" t="str">
        <x:v>South</x:v>
      </x:c>
      <x:c r="F3130" s="11" t="str">
        <x:v>Technology</x:v>
      </x:c>
      <x:c r="G3130" s="11" t="str">
        <x:v>Keyboard</x:v>
      </x:c>
      <x:c r="H3130" s="11" t="n">
        <x:v>5</x:v>
      </x:c>
      <x:c r="I3130" s="19" t="n">
        <x:v>0</x:v>
      </x:c>
      <x:c r="J3130" s="11" t="n">
        <x:v>0</x:v>
      </x:c>
      <x:c r="K3130" s="20" t="n">
        <x:v>325</x:v>
      </x:c>
      <x:c r="L3130" s="20" t="n">
        <x:v>0</x:v>
      </x:c>
      <x:c r="M3130" s="20" t="n">
        <x:v>160</x:v>
      </x:c>
      <x:c r="N3130" s="20" t="n">
        <x:f>IF(J3130=1,0,K3130-L3130)</x:f>
        <x:v>325</x:v>
      </x:c>
      <x:c r="O3130" s="20" t="n">
        <x:f>N3130-M3130</x:f>
        <x:v>165</x:v>
      </x:c>
    </x:row>
    <x:row r="3131" ht="22" customHeight="1">
      <x:c r="A3131" s="11" t="n">
        <x:v>3127</x:v>
      </x:c>
      <x:c r="B3131" s="11" t="n">
        <x:v>1587</x:v>
      </x:c>
      <x:c r="C3131" s="18" t="n">
        <x:v>45978</x:v>
      </x:c>
      <x:c r="D3131" s="11" t="str">
        <x:v>2025-11</x:v>
      </x:c>
      <x:c r="E3131" s="11" t="str">
        <x:v>East</x:v>
      </x:c>
      <x:c r="F3131" s="11" t="str">
        <x:v>Furniture</x:v>
      </x:c>
      <x:c r="G3131" s="11" t="str">
        <x:v>Chair</x:v>
      </x:c>
      <x:c r="H3131" s="11" t="n">
        <x:v>5</x:v>
      </x:c>
      <x:c r="I3131" s="19" t="n">
        <x:v>0</x:v>
      </x:c>
      <x:c r="J3131" s="11" t="n">
        <x:v>0</x:v>
      </x:c>
      <x:c r="K3131" s="20" t="n">
        <x:v>850</x:v>
      </x:c>
      <x:c r="L3131" s="20" t="n">
        <x:v>0</x:v>
      </x:c>
      <x:c r="M3131" s="20" t="n">
        <x:v>550</x:v>
      </x:c>
      <x:c r="N3131" s="20" t="n">
        <x:f>IF(J3131=1,0,K3131-L3131)</x:f>
        <x:v>850</x:v>
      </x:c>
      <x:c r="O3131" s="20" t="n">
        <x:f>N3131-M3131</x:f>
        <x:v>300</x:v>
      </x:c>
    </x:row>
    <x:row r="3132" ht="22" customHeight="1">
      <x:c r="A3132" s="11" t="n">
        <x:v>3128</x:v>
      </x:c>
      <x:c r="B3132" s="11" t="n">
        <x:v>1588</x:v>
      </x:c>
      <x:c r="C3132" s="18" t="n">
        <x:v>45402</x:v>
      </x:c>
      <x:c r="D3132" s="11" t="str">
        <x:v>2024-04</x:v>
      </x:c>
      <x:c r="E3132" s="11" t="str">
        <x:v>East</x:v>
      </x:c>
      <x:c r="F3132" s="11" t="str">
        <x:v>Furniture</x:v>
      </x:c>
      <x:c r="G3132" s="11" t="str">
        <x:v>Desk</x:v>
      </x:c>
      <x:c r="H3132" s="11" t="n">
        <x:v>5</x:v>
      </x:c>
      <x:c r="I3132" s="19" t="n">
        <x:v>0</x:v>
      </x:c>
      <x:c r="J3132" s="11" t="n">
        <x:v>0</x:v>
      </x:c>
      <x:c r="K3132" s="20" t="n">
        <x:v>1400</x:v>
      </x:c>
      <x:c r="L3132" s="20" t="n">
        <x:v>0</x:v>
      </x:c>
      <x:c r="M3132" s="20" t="n">
        <x:v>950</x:v>
      </x:c>
      <x:c r="N3132" s="20" t="n">
        <x:f>IF(J3132=1,0,K3132-L3132)</x:f>
        <x:v>1400</x:v>
      </x:c>
      <x:c r="O3132" s="20" t="n">
        <x:f>N3132-M3132</x:f>
        <x:v>450</x:v>
      </x:c>
    </x:row>
    <x:row r="3133" ht="22" customHeight="1">
      <x:c r="A3133" s="11" t="n">
        <x:v>3129</x:v>
      </x:c>
      <x:c r="B3133" s="11" t="n">
        <x:v>1588</x:v>
      </x:c>
      <x:c r="C3133" s="18" t="n">
        <x:v>45402</x:v>
      </x:c>
      <x:c r="D3133" s="11" t="str">
        <x:v>2024-04</x:v>
      </x:c>
      <x:c r="E3133" s="11" t="str">
        <x:v>East</x:v>
      </x:c>
      <x:c r="F3133" s="11" t="str">
        <x:v>Furniture</x:v>
      </x:c>
      <x:c r="G3133" s="11" t="str">
        <x:v>Chair</x:v>
      </x:c>
      <x:c r="H3133" s="11" t="n">
        <x:v>1</x:v>
      </x:c>
      <x:c r="I3133" s="19" t="n">
        <x:v>0.05</x:v>
      </x:c>
      <x:c r="J3133" s="11" t="n">
        <x:v>1</x:v>
      </x:c>
      <x:c r="K3133" s="20" t="n">
        <x:v>170</x:v>
      </x:c>
      <x:c r="L3133" s="20" t="n">
        <x:v>8.5</x:v>
      </x:c>
      <x:c r="M3133" s="20" t="n">
        <x:v>0</x:v>
      </x:c>
      <x:c r="N3133" s="20" t="n">
        <x:f>IF(J3133=1,0,K3133-L3133)</x:f>
        <x:v>0</x:v>
      </x:c>
      <x:c r="O3133" s="20" t="n">
        <x:f>N3133-M3133</x:f>
        <x:v>0</x:v>
      </x:c>
    </x:row>
    <x:row r="3134" ht="22" customHeight="1">
      <x:c r="A3134" s="11" t="n">
        <x:v>3130</x:v>
      </x:c>
      <x:c r="B3134" s="11" t="n">
        <x:v>1589</x:v>
      </x:c>
      <x:c r="C3134" s="18" t="n">
        <x:v>46021</x:v>
      </x:c>
      <x:c r="D3134" s="11" t="str">
        <x:v>2025-12</x:v>
      </x:c>
      <x:c r="E3134" s="11" t="str">
        <x:v>Central</x:v>
      </x:c>
      <x:c r="F3134" s="11" t="str">
        <x:v>Furniture</x:v>
      </x:c>
      <x:c r="G3134" s="11" t="str">
        <x:v>Desk</x:v>
      </x:c>
      <x:c r="H3134" s="11" t="n">
        <x:v>3</x:v>
      </x:c>
      <x:c r="I3134" s="19" t="n">
        <x:v>0.15</x:v>
      </x:c>
      <x:c r="J3134" s="11" t="n">
        <x:v>0</x:v>
      </x:c>
      <x:c r="K3134" s="20" t="n">
        <x:v>840</x:v>
      </x:c>
      <x:c r="L3134" s="20" t="n">
        <x:v>126</x:v>
      </x:c>
      <x:c r="M3134" s="20" t="n">
        <x:v>570</x:v>
      </x:c>
      <x:c r="N3134" s="20" t="n">
        <x:f>IF(J3134=1,0,K3134-L3134)</x:f>
        <x:v>714</x:v>
      </x:c>
      <x:c r="O3134" s="20" t="n">
        <x:f>N3134-M3134</x:f>
        <x:v>144</x:v>
      </x:c>
    </x:row>
    <x:row r="3135" ht="22" customHeight="1">
      <x:c r="A3135" s="11" t="n">
        <x:v>3131</x:v>
      </x:c>
      <x:c r="B3135" s="11" t="n">
        <x:v>1590</x:v>
      </x:c>
      <x:c r="C3135" s="18" t="n">
        <x:v>45574</x:v>
      </x:c>
      <x:c r="D3135" s="11" t="str">
        <x:v>2024-10</x:v>
      </x:c>
      <x:c r="E3135" s="11" t="str">
        <x:v>West</x:v>
      </x:c>
      <x:c r="F3135" s="11" t="str">
        <x:v>Technology</x:v>
      </x:c>
      <x:c r="G3135" s="11" t="str">
        <x:v>Keyboard</x:v>
      </x:c>
      <x:c r="H3135" s="11" t="n">
        <x:v>2</x:v>
      </x:c>
      <x:c r="I3135" s="19" t="n">
        <x:v>0</x:v>
      </x:c>
      <x:c r="J3135" s="11" t="n">
        <x:v>0</x:v>
      </x:c>
      <x:c r="K3135" s="20" t="n">
        <x:v>130</x:v>
      </x:c>
      <x:c r="L3135" s="20" t="n">
        <x:v>0</x:v>
      </x:c>
      <x:c r="M3135" s="20" t="n">
        <x:v>64</x:v>
      </x:c>
      <x:c r="N3135" s="20" t="n">
        <x:f>IF(J3135=1,0,K3135-L3135)</x:f>
        <x:v>130</x:v>
      </x:c>
      <x:c r="O3135" s="20" t="n">
        <x:f>N3135-M3135</x:f>
        <x:v>66</x:v>
      </x:c>
    </x:row>
    <x:row r="3136" ht="22" customHeight="1">
      <x:c r="A3136" s="11" t="n">
        <x:v>3132</x:v>
      </x:c>
      <x:c r="B3136" s="11" t="n">
        <x:v>1591</x:v>
      </x:c>
      <x:c r="C3136" s="18" t="n">
        <x:v>45317</x:v>
      </x:c>
      <x:c r="D3136" s="11" t="str">
        <x:v>2024-01</x:v>
      </x:c>
      <x:c r="E3136" s="11" t="str">
        <x:v>South</x:v>
      </x:c>
      <x:c r="F3136" s="11" t="str">
        <x:v>Technology</x:v>
      </x:c>
      <x:c r="G3136" s="11" t="str">
        <x:v>Monitor</x:v>
      </x:c>
      <x:c r="H3136" s="11" t="n">
        <x:v>5</x:v>
      </x:c>
      <x:c r="I3136" s="19" t="n">
        <x:v>0.15</x:v>
      </x:c>
      <x:c r="J3136" s="11" t="n">
        <x:v>0</x:v>
      </x:c>
      <x:c r="K3136" s="20" t="n">
        <x:v>1200</x:v>
      </x:c>
      <x:c r="L3136" s="20" t="n">
        <x:v>180</x:v>
      </x:c>
      <x:c r="M3136" s="20" t="n">
        <x:v>800</x:v>
      </x:c>
      <x:c r="N3136" s="20" t="n">
        <x:f>IF(J3136=1,0,K3136-L3136)</x:f>
        <x:v>1020</x:v>
      </x:c>
      <x:c r="O3136" s="20" t="n">
        <x:f>N3136-M3136</x:f>
        <x:v>220</x:v>
      </x:c>
    </x:row>
    <x:row r="3137" ht="22" customHeight="1">
      <x:c r="A3137" s="11" t="n">
        <x:v>3133</x:v>
      </x:c>
      <x:c r="B3137" s="11" t="n">
        <x:v>1592</x:v>
      </x:c>
      <x:c r="C3137" s="18" t="n">
        <x:v>45749</x:v>
      </x:c>
      <x:c r="D3137" s="11" t="str">
        <x:v>2025-04</x:v>
      </x:c>
      <x:c r="E3137" s="11" t="str">
        <x:v>South</x:v>
      </x:c>
      <x:c r="F3137" s="11" t="str">
        <x:v>Technology</x:v>
      </x:c>
      <x:c r="G3137" s="11" t="str">
        <x:v>Monitor</x:v>
      </x:c>
      <x:c r="H3137" s="11" t="n">
        <x:v>2</x:v>
      </x:c>
      <x:c r="I3137" s="19" t="n">
        <x:v>0</x:v>
      </x:c>
      <x:c r="J3137" s="11" t="n">
        <x:v>0</x:v>
      </x:c>
      <x:c r="K3137" s="20" t="n">
        <x:v>480</x:v>
      </x:c>
      <x:c r="L3137" s="20" t="n">
        <x:v>0</x:v>
      </x:c>
      <x:c r="M3137" s="20" t="n">
        <x:v>320</x:v>
      </x:c>
      <x:c r="N3137" s="20" t="n">
        <x:f>IF(J3137=1,0,K3137-L3137)</x:f>
        <x:v>480</x:v>
      </x:c>
      <x:c r="O3137" s="20" t="n">
        <x:f>N3137-M3137</x:f>
        <x:v>160</x:v>
      </x:c>
    </x:row>
    <x:row r="3138" ht="22" customHeight="1">
      <x:c r="A3138" s="11" t="n">
        <x:v>3134</x:v>
      </x:c>
      <x:c r="B3138" s="11" t="n">
        <x:v>1592</x:v>
      </x:c>
      <x:c r="C3138" s="18" t="n">
        <x:v>45749</x:v>
      </x:c>
      <x:c r="D3138" s="11" t="str">
        <x:v>2025-04</x:v>
      </x:c>
      <x:c r="E3138" s="11" t="str">
        <x:v>South</x:v>
      </x:c>
      <x:c r="F3138" s="11" t="str">
        <x:v>Technology</x:v>
      </x:c>
      <x:c r="G3138" s="11" t="str">
        <x:v>Keyboard</x:v>
      </x:c>
      <x:c r="H3138" s="11" t="n">
        <x:v>3</x:v>
      </x:c>
      <x:c r="I3138" s="19" t="n">
        <x:v>0</x:v>
      </x:c>
      <x:c r="J3138" s="11" t="n">
        <x:v>0</x:v>
      </x:c>
      <x:c r="K3138" s="20" t="n">
        <x:v>195</x:v>
      </x:c>
      <x:c r="L3138" s="20" t="n">
        <x:v>0</x:v>
      </x:c>
      <x:c r="M3138" s="20" t="n">
        <x:v>96</x:v>
      </x:c>
      <x:c r="N3138" s="20" t="n">
        <x:f>IF(J3138=1,0,K3138-L3138)</x:f>
        <x:v>195</x:v>
      </x:c>
      <x:c r="O3138" s="20" t="n">
        <x:f>N3138-M3138</x:f>
        <x:v>99</x:v>
      </x:c>
    </x:row>
    <x:row r="3139" ht="22" customHeight="1">
      <x:c r="A3139" s="11" t="n">
        <x:v>3135</x:v>
      </x:c>
      <x:c r="B3139" s="11" t="n">
        <x:v>1592</x:v>
      </x:c>
      <x:c r="C3139" s="18" t="n">
        <x:v>45749</x:v>
      </x:c>
      <x:c r="D3139" s="11" t="str">
        <x:v>2025-04</x:v>
      </x:c>
      <x:c r="E3139" s="11" t="str">
        <x:v>South</x:v>
      </x:c>
      <x:c r="F3139" s="11" t="str">
        <x:v>Furniture</x:v>
      </x:c>
      <x:c r="G3139" s="11" t="str">
        <x:v>Desk</x:v>
      </x:c>
      <x:c r="H3139" s="11" t="n">
        <x:v>2</x:v>
      </x:c>
      <x:c r="I3139" s="19" t="n">
        <x:v>0.25</x:v>
      </x:c>
      <x:c r="J3139" s="11" t="n">
        <x:v>0</x:v>
      </x:c>
      <x:c r="K3139" s="20" t="n">
        <x:v>560</x:v>
      </x:c>
      <x:c r="L3139" s="20" t="n">
        <x:v>140</x:v>
      </x:c>
      <x:c r="M3139" s="20" t="n">
        <x:v>380</x:v>
      </x:c>
      <x:c r="N3139" s="20" t="n">
        <x:f>IF(J3139=1,0,K3139-L3139)</x:f>
        <x:v>420</x:v>
      </x:c>
      <x:c r="O3139" s="20" t="n">
        <x:f>N3139-M3139</x:f>
        <x:v>40</x:v>
      </x:c>
    </x:row>
    <x:row r="3140" ht="22" customHeight="1">
      <x:c r="A3140" s="11" t="n">
        <x:v>3136</x:v>
      </x:c>
      <x:c r="B3140" s="11" t="n">
        <x:v>1593</x:v>
      </x:c>
      <x:c r="C3140" s="18" t="n">
        <x:v>45742</x:v>
      </x:c>
      <x:c r="D3140" s="11" t="str">
        <x:v>2025-03</x:v>
      </x:c>
      <x:c r="E3140" s="11" t="str">
        <x:v>West</x:v>
      </x:c>
      <x:c r="F3140" s="11" t="str">
        <x:v>Technology</x:v>
      </x:c>
      <x:c r="G3140" s="11" t="str">
        <x:v>Keyboard</x:v>
      </x:c>
      <x:c r="H3140" s="11" t="n">
        <x:v>1</x:v>
      </x:c>
      <x:c r="I3140" s="19" t="n">
        <x:v>0.05</x:v>
      </x:c>
      <x:c r="J3140" s="11" t="n">
        <x:v>0</x:v>
      </x:c>
      <x:c r="K3140" s="20" t="n">
        <x:v>65</x:v>
      </x:c>
      <x:c r="L3140" s="20" t="n">
        <x:v>3.25</x:v>
      </x:c>
      <x:c r="M3140" s="20" t="n">
        <x:v>32</x:v>
      </x:c>
      <x:c r="N3140" s="20" t="n">
        <x:f>IF(J3140=1,0,K3140-L3140)</x:f>
        <x:v>61.75</x:v>
      </x:c>
      <x:c r="O3140" s="20" t="n">
        <x:f>N3140-M3140</x:f>
        <x:v>29.75</x:v>
      </x:c>
    </x:row>
    <x:row r="3141" ht="22" customHeight="1">
      <x:c r="A3141" s="11" t="n">
        <x:v>3137</x:v>
      </x:c>
      <x:c r="B3141" s="11" t="n">
        <x:v>1593</x:v>
      </x:c>
      <x:c r="C3141" s="18" t="n">
        <x:v>45742</x:v>
      </x:c>
      <x:c r="D3141" s="11" t="str">
        <x:v>2025-03</x:v>
      </x:c>
      <x:c r="E3141" s="11" t="str">
        <x:v>West</x:v>
      </x:c>
      <x:c r="F3141" s="11" t="str">
        <x:v>Furniture</x:v>
      </x:c>
      <x:c r="G3141" s="11" t="str">
        <x:v>Chair</x:v>
      </x:c>
      <x:c r="H3141" s="11" t="n">
        <x:v>5</x:v>
      </x:c>
      <x:c r="I3141" s="19" t="n">
        <x:v>0.05</x:v>
      </x:c>
      <x:c r="J3141" s="11" t="n">
        <x:v>0</x:v>
      </x:c>
      <x:c r="K3141" s="20" t="n">
        <x:v>850</x:v>
      </x:c>
      <x:c r="L3141" s="20" t="n">
        <x:v>42.5</x:v>
      </x:c>
      <x:c r="M3141" s="20" t="n">
        <x:v>550</x:v>
      </x:c>
      <x:c r="N3141" s="20" t="n">
        <x:f>IF(J3141=1,0,K3141-L3141)</x:f>
        <x:v>807.5</x:v>
      </x:c>
      <x:c r="O3141" s="20" t="n">
        <x:f>N3141-M3141</x:f>
        <x:v>257.5</x:v>
      </x:c>
    </x:row>
    <x:row r="3142" ht="22" customHeight="1">
      <x:c r="A3142" s="11" t="n">
        <x:v>3138</x:v>
      </x:c>
      <x:c r="B3142" s="11" t="n">
        <x:v>1594</x:v>
      </x:c>
      <x:c r="C3142" s="18" t="n">
        <x:v>46008</x:v>
      </x:c>
      <x:c r="D3142" s="11" t="str">
        <x:v>2025-12</x:v>
      </x:c>
      <x:c r="E3142" s="11" t="str">
        <x:v>South</x:v>
      </x:c>
      <x:c r="F3142" s="11" t="str">
        <x:v>Furniture</x:v>
      </x:c>
      <x:c r="G3142" s="11" t="str">
        <x:v>Desk</x:v>
      </x:c>
      <x:c r="H3142" s="11" t="n">
        <x:v>3</x:v>
      </x:c>
      <x:c r="I3142" s="19" t="n">
        <x:v>0.25</x:v>
      </x:c>
      <x:c r="J3142" s="11" t="n">
        <x:v>0</x:v>
      </x:c>
      <x:c r="K3142" s="20" t="n">
        <x:v>840</x:v>
      </x:c>
      <x:c r="L3142" s="20" t="n">
        <x:v>210</x:v>
      </x:c>
      <x:c r="M3142" s="20" t="n">
        <x:v>570</x:v>
      </x:c>
      <x:c r="N3142" s="20" t="n">
        <x:f>IF(J3142=1,0,K3142-L3142)</x:f>
        <x:v>630</x:v>
      </x:c>
      <x:c r="O3142" s="20" t="n">
        <x:f>N3142-M3142</x:f>
        <x:v>60</x:v>
      </x:c>
    </x:row>
    <x:row r="3143" ht="22" customHeight="1">
      <x:c r="A3143" s="11" t="n">
        <x:v>3139</x:v>
      </x:c>
      <x:c r="B3143" s="11" t="n">
        <x:v>1595</x:v>
      </x:c>
      <x:c r="C3143" s="18" t="n">
        <x:v>45394</x:v>
      </x:c>
      <x:c r="D3143" s="11" t="str">
        <x:v>2024-04</x:v>
      </x:c>
      <x:c r="E3143" s="11" t="str">
        <x:v>East</x:v>
      </x:c>
      <x:c r="F3143" s="11" t="str">
        <x:v>Office Supplies</x:v>
      </x:c>
      <x:c r="G3143" s="11" t="str">
        <x:v>Notebook pack</x:v>
      </x:c>
      <x:c r="H3143" s="11" t="n">
        <x:v>1</x:v>
      </x:c>
      <x:c r="I3143" s="19" t="n">
        <x:v>0</x:v>
      </x:c>
      <x:c r="J3143" s="11" t="n">
        <x:v>0</x:v>
      </x:c>
      <x:c r="K3143" s="20" t="n">
        <x:v>18</x:v>
      </x:c>
      <x:c r="L3143" s="20" t="n">
        <x:v>0</x:v>
      </x:c>
      <x:c r="M3143" s="20" t="n">
        <x:v>7</x:v>
      </x:c>
      <x:c r="N3143" s="20" t="n">
        <x:f>IF(J3143=1,0,K3143-L3143)</x:f>
        <x:v>18</x:v>
      </x:c>
      <x:c r="O3143" s="20" t="n">
        <x:f>N3143-M3143</x:f>
        <x:v>11</x:v>
      </x:c>
    </x:row>
    <x:row r="3144" ht="22" customHeight="1">
      <x:c r="A3144" s="11" t="n">
        <x:v>3140</x:v>
      </x:c>
      <x:c r="B3144" s="11" t="n">
        <x:v>1595</x:v>
      </x:c>
      <x:c r="C3144" s="18" t="n">
        <x:v>45394</x:v>
      </x:c>
      <x:c r="D3144" s="11" t="str">
        <x:v>2024-04</x:v>
      </x:c>
      <x:c r="E3144" s="11" t="str">
        <x:v>East</x:v>
      </x:c>
      <x:c r="F3144" s="11" t="str">
        <x:v>Furniture</x:v>
      </x:c>
      <x:c r="G3144" s="11" t="str">
        <x:v>Desk</x:v>
      </x:c>
      <x:c r="H3144" s="11" t="n">
        <x:v>4</x:v>
      </x:c>
      <x:c r="I3144" s="19" t="n">
        <x:v>0.35</x:v>
      </x:c>
      <x:c r="J3144" s="11" t="n">
        <x:v>0</x:v>
      </x:c>
      <x:c r="K3144" s="20" t="n">
        <x:v>1120</x:v>
      </x:c>
      <x:c r="L3144" s="20" t="n">
        <x:v>392</x:v>
      </x:c>
      <x:c r="M3144" s="20" t="n">
        <x:v>760</x:v>
      </x:c>
      <x:c r="N3144" s="20" t="n">
        <x:f>IF(J3144=1,0,K3144-L3144)</x:f>
        <x:v>728</x:v>
      </x:c>
      <x:c r="O3144" s="20" t="n">
        <x:f>N3144-M3144</x:f>
        <x:v>-32</x:v>
      </x:c>
    </x:row>
    <x:row r="3145" ht="22" customHeight="1">
      <x:c r="A3145" s="11" t="n">
        <x:v>3141</x:v>
      </x:c>
      <x:c r="B3145" s="11" t="n">
        <x:v>1595</x:v>
      </x:c>
      <x:c r="C3145" s="18" t="n">
        <x:v>45394</x:v>
      </x:c>
      <x:c r="D3145" s="11" t="str">
        <x:v>2024-04</x:v>
      </x:c>
      <x:c r="E3145" s="11" t="str">
        <x:v>East</x:v>
      </x:c>
      <x:c r="F3145" s="11" t="str">
        <x:v>Office Supplies</x:v>
      </x:c>
      <x:c r="G3145" s="11" t="str">
        <x:v>Storage box</x:v>
      </x:c>
      <x:c r="H3145" s="11" t="n">
        <x:v>3</x:v>
      </x:c>
      <x:c r="I3145" s="19" t="n">
        <x:v>0</x:v>
      </x:c>
      <x:c r="J3145" s="11" t="n">
        <x:v>1</x:v>
      </x:c>
      <x:c r="K3145" s="20" t="n">
        <x:v>78</x:v>
      </x:c>
      <x:c r="L3145" s="20" t="n">
        <x:v>0</x:v>
      </x:c>
      <x:c r="M3145" s="20" t="n">
        <x:v>0</x:v>
      </x:c>
      <x:c r="N3145" s="20" t="n">
        <x:f>IF(J3145=1,0,K3145-L3145)</x:f>
        <x:v>0</x:v>
      </x:c>
      <x:c r="O3145" s="20" t="n">
        <x:f>N3145-M3145</x:f>
        <x:v>0</x:v>
      </x:c>
    </x:row>
    <x:row r="3146" ht="22" customHeight="1">
      <x:c r="A3146" s="11" t="n">
        <x:v>3142</x:v>
      </x:c>
      <x:c r="B3146" s="11" t="n">
        <x:v>1596</x:v>
      </x:c>
      <x:c r="C3146" s="18" t="n">
        <x:v>45962</x:v>
      </x:c>
      <x:c r="D3146" s="11" t="str">
        <x:v>2025-11</x:v>
      </x:c>
      <x:c r="E3146" s="11" t="str">
        <x:v>East</x:v>
      </x:c>
      <x:c r="F3146" s="11" t="str">
        <x:v>Office Supplies</x:v>
      </x:c>
      <x:c r="G3146" s="11" t="str">
        <x:v>Notebook pack</x:v>
      </x:c>
      <x:c r="H3146" s="11" t="n">
        <x:v>5</x:v>
      </x:c>
      <x:c r="I3146" s="19" t="n">
        <x:v>0</x:v>
      </x:c>
      <x:c r="J3146" s="11" t="n">
        <x:v>0</x:v>
      </x:c>
      <x:c r="K3146" s="20" t="n">
        <x:v>90</x:v>
      </x:c>
      <x:c r="L3146" s="20" t="n">
        <x:v>0</x:v>
      </x:c>
      <x:c r="M3146" s="20" t="n">
        <x:v>35</x:v>
      </x:c>
      <x:c r="N3146" s="20" t="n">
        <x:f>IF(J3146=1,0,K3146-L3146)</x:f>
        <x:v>90</x:v>
      </x:c>
      <x:c r="O3146" s="20" t="n">
        <x:f>N3146-M3146</x:f>
        <x:v>55</x:v>
      </x:c>
    </x:row>
    <x:row r="3147" ht="22" customHeight="1">
      <x:c r="A3147" s="11" t="n">
        <x:v>3143</x:v>
      </x:c>
      <x:c r="B3147" s="11" t="n">
        <x:v>1596</x:v>
      </x:c>
      <x:c r="C3147" s="18" t="n">
        <x:v>45962</x:v>
      </x:c>
      <x:c r="D3147" s="11" t="str">
        <x:v>2025-11</x:v>
      </x:c>
      <x:c r="E3147" s="11" t="str">
        <x:v>East</x:v>
      </x:c>
      <x:c r="F3147" s="11" t="str">
        <x:v>Furniture</x:v>
      </x:c>
      <x:c r="G3147" s="11" t="str">
        <x:v>Desk</x:v>
      </x:c>
      <x:c r="H3147" s="11" t="n">
        <x:v>1</x:v>
      </x:c>
      <x:c r="I3147" s="19" t="n">
        <x:v>0.15</x:v>
      </x:c>
      <x:c r="J3147" s="11" t="n">
        <x:v>0</x:v>
      </x:c>
      <x:c r="K3147" s="20" t="n">
        <x:v>280</x:v>
      </x:c>
      <x:c r="L3147" s="20" t="n">
        <x:v>42</x:v>
      </x:c>
      <x:c r="M3147" s="20" t="n">
        <x:v>190</x:v>
      </x:c>
      <x:c r="N3147" s="20" t="n">
        <x:f>IF(J3147=1,0,K3147-L3147)</x:f>
        <x:v>238</x:v>
      </x:c>
      <x:c r="O3147" s="20" t="n">
        <x:f>N3147-M3147</x:f>
        <x:v>48</x:v>
      </x:c>
    </x:row>
    <x:row r="3148" ht="22" customHeight="1">
      <x:c r="A3148" s="11" t="n">
        <x:v>3144</x:v>
      </x:c>
      <x:c r="B3148" s="11" t="n">
        <x:v>1596</x:v>
      </x:c>
      <x:c r="C3148" s="18" t="n">
        <x:v>45962</x:v>
      </x:c>
      <x:c r="D3148" s="11" t="str">
        <x:v>2025-11</x:v>
      </x:c>
      <x:c r="E3148" s="11" t="str">
        <x:v>East</x:v>
      </x:c>
      <x:c r="F3148" s="11" t="str">
        <x:v>Technology</x:v>
      </x:c>
      <x:c r="G3148" s="11" t="str">
        <x:v>Monitor</x:v>
      </x:c>
      <x:c r="H3148" s="11" t="n">
        <x:v>1</x:v>
      </x:c>
      <x:c r="I3148" s="19" t="n">
        <x:v>0.05</x:v>
      </x:c>
      <x:c r="J3148" s="11" t="n">
        <x:v>0</x:v>
      </x:c>
      <x:c r="K3148" s="20" t="n">
        <x:v>240</x:v>
      </x:c>
      <x:c r="L3148" s="20" t="n">
        <x:v>12</x:v>
      </x:c>
      <x:c r="M3148" s="20" t="n">
        <x:v>160</x:v>
      </x:c>
      <x:c r="N3148" s="20" t="n">
        <x:f>IF(J3148=1,0,K3148-L3148)</x:f>
        <x:v>228</x:v>
      </x:c>
      <x:c r="O3148" s="20" t="n">
        <x:f>N3148-M3148</x:f>
        <x:v>68</x:v>
      </x:c>
    </x:row>
    <x:row r="3149" ht="22" customHeight="1">
      <x:c r="A3149" s="11" t="n">
        <x:v>3145</x:v>
      </x:c>
      <x:c r="B3149" s="11" t="n">
        <x:v>1597</x:v>
      </x:c>
      <x:c r="C3149" s="18" t="n">
        <x:v>45805</x:v>
      </x:c>
      <x:c r="D3149" s="11" t="str">
        <x:v>2025-05</x:v>
      </x:c>
      <x:c r="E3149" s="11" t="str">
        <x:v>South</x:v>
      </x:c>
      <x:c r="F3149" s="11" t="str">
        <x:v>Office Supplies</x:v>
      </x:c>
      <x:c r="G3149" s="11" t="str">
        <x:v>Notebook pack</x:v>
      </x:c>
      <x:c r="H3149" s="11" t="n">
        <x:v>5</x:v>
      </x:c>
      <x:c r="I3149" s="19" t="n">
        <x:v>0.15</x:v>
      </x:c>
      <x:c r="J3149" s="11" t="n">
        <x:v>0</x:v>
      </x:c>
      <x:c r="K3149" s="20" t="n">
        <x:v>90</x:v>
      </x:c>
      <x:c r="L3149" s="20" t="n">
        <x:v>13.5</x:v>
      </x:c>
      <x:c r="M3149" s="20" t="n">
        <x:v>35</x:v>
      </x:c>
      <x:c r="N3149" s="20" t="n">
        <x:f>IF(J3149=1,0,K3149-L3149)</x:f>
        <x:v>76.5</x:v>
      </x:c>
      <x:c r="O3149" s="20" t="n">
        <x:f>N3149-M3149</x:f>
        <x:v>41.5</x:v>
      </x:c>
    </x:row>
    <x:row r="3150" ht="22" customHeight="1">
      <x:c r="A3150" s="11" t="n">
        <x:v>3146</x:v>
      </x:c>
      <x:c r="B3150" s="11" t="n">
        <x:v>1597</x:v>
      </x:c>
      <x:c r="C3150" s="18" t="n">
        <x:v>45805</x:v>
      </x:c>
      <x:c r="D3150" s="11" t="str">
        <x:v>2025-05</x:v>
      </x:c>
      <x:c r="E3150" s="11" t="str">
        <x:v>South</x:v>
      </x:c>
      <x:c r="F3150" s="11" t="str">
        <x:v>Technology</x:v>
      </x:c>
      <x:c r="G3150" s="11" t="str">
        <x:v>Keyboard</x:v>
      </x:c>
      <x:c r="H3150" s="11" t="n">
        <x:v>2</x:v>
      </x:c>
      <x:c r="I3150" s="19" t="n">
        <x:v>0</x:v>
      </x:c>
      <x:c r="J3150" s="11" t="n">
        <x:v>0</x:v>
      </x:c>
      <x:c r="K3150" s="20" t="n">
        <x:v>130</x:v>
      </x:c>
      <x:c r="L3150" s="20" t="n">
        <x:v>0</x:v>
      </x:c>
      <x:c r="M3150" s="20" t="n">
        <x:v>64</x:v>
      </x:c>
      <x:c r="N3150" s="20" t="n">
        <x:f>IF(J3150=1,0,K3150-L3150)</x:f>
        <x:v>130</x:v>
      </x:c>
      <x:c r="O3150" s="20" t="n">
        <x:f>N3150-M3150</x:f>
        <x:v>66</x:v>
      </x:c>
    </x:row>
    <x:row r="3151" ht="22" customHeight="1">
      <x:c r="A3151" s="11" t="n">
        <x:v>3147</x:v>
      </x:c>
      <x:c r="B3151" s="11" t="n">
        <x:v>1597</x:v>
      </x:c>
      <x:c r="C3151" s="18" t="n">
        <x:v>45805</x:v>
      </x:c>
      <x:c r="D3151" s="11" t="str">
        <x:v>2025-05</x:v>
      </x:c>
      <x:c r="E3151" s="11" t="str">
        <x:v>South</x:v>
      </x:c>
      <x:c r="F3151" s="11" t="str">
        <x:v>Office Supplies</x:v>
      </x:c>
      <x:c r="G3151" s="11" t="str">
        <x:v>Storage box</x:v>
      </x:c>
      <x:c r="H3151" s="11" t="n">
        <x:v>5</x:v>
      </x:c>
      <x:c r="I3151" s="19" t="n">
        <x:v>0.1</x:v>
      </x:c>
      <x:c r="J3151" s="11" t="n">
        <x:v>0</x:v>
      </x:c>
      <x:c r="K3151" s="20" t="n">
        <x:v>130</x:v>
      </x:c>
      <x:c r="L3151" s="20" t="n">
        <x:v>13</x:v>
      </x:c>
      <x:c r="M3151" s="20" t="n">
        <x:v>60</x:v>
      </x:c>
      <x:c r="N3151" s="20" t="n">
        <x:f>IF(J3151=1,0,K3151-L3151)</x:f>
        <x:v>117</x:v>
      </x:c>
      <x:c r="O3151" s="20" t="n">
        <x:f>N3151-M3151</x:f>
        <x:v>57</x:v>
      </x:c>
    </x:row>
    <x:row r="3152" ht="22" customHeight="1">
      <x:c r="A3152" s="11" t="n">
        <x:v>3148</x:v>
      </x:c>
      <x:c r="B3152" s="11" t="n">
        <x:v>1598</x:v>
      </x:c>
      <x:c r="C3152" s="18" t="n">
        <x:v>45716</x:v>
      </x:c>
      <x:c r="D3152" s="11" t="str">
        <x:v>2025-02</x:v>
      </x:c>
      <x:c r="E3152" s="11" t="str">
        <x:v>Central</x:v>
      </x:c>
      <x:c r="F3152" s="11" t="str">
        <x:v>Technology</x:v>
      </x:c>
      <x:c r="G3152" s="11" t="str">
        <x:v>Keyboard</x:v>
      </x:c>
      <x:c r="H3152" s="11" t="n">
        <x:v>4</x:v>
      </x:c>
      <x:c r="I3152" s="19" t="n">
        <x:v>0</x:v>
      </x:c>
      <x:c r="J3152" s="11" t="n">
        <x:v>0</x:v>
      </x:c>
      <x:c r="K3152" s="20" t="n">
        <x:v>260</x:v>
      </x:c>
      <x:c r="L3152" s="20" t="n">
        <x:v>0</x:v>
      </x:c>
      <x:c r="M3152" s="20" t="n">
        <x:v>128</x:v>
      </x:c>
      <x:c r="N3152" s="20" t="n">
        <x:f>IF(J3152=1,0,K3152-L3152)</x:f>
        <x:v>260</x:v>
      </x:c>
      <x:c r="O3152" s="20" t="n">
        <x:f>N3152-M3152</x:f>
        <x:v>132</x:v>
      </x:c>
    </x:row>
    <x:row r="3153" ht="22" customHeight="1">
      <x:c r="A3153" s="11" t="n">
        <x:v>3149</x:v>
      </x:c>
      <x:c r="B3153" s="11" t="n">
        <x:v>1599</x:v>
      </x:c>
      <x:c r="C3153" s="18" t="n">
        <x:v>45788</x:v>
      </x:c>
      <x:c r="D3153" s="11" t="str">
        <x:v>2025-05</x:v>
      </x:c>
      <x:c r="E3153" s="11" t="str">
        <x:v>South</x:v>
      </x:c>
      <x:c r="F3153" s="11" t="str">
        <x:v>Technology</x:v>
      </x:c>
      <x:c r="G3153" s="11" t="str">
        <x:v>Keyboard</x:v>
      </x:c>
      <x:c r="H3153" s="11" t="n">
        <x:v>3</x:v>
      </x:c>
      <x:c r="I3153" s="19" t="n">
        <x:v>0</x:v>
      </x:c>
      <x:c r="J3153" s="11" t="n">
        <x:v>0</x:v>
      </x:c>
      <x:c r="K3153" s="20" t="n">
        <x:v>195</x:v>
      </x:c>
      <x:c r="L3153" s="20" t="n">
        <x:v>0</x:v>
      </x:c>
      <x:c r="M3153" s="20" t="n">
        <x:v>96</x:v>
      </x:c>
      <x:c r="N3153" s="20" t="n">
        <x:f>IF(J3153=1,0,K3153-L3153)</x:f>
        <x:v>195</x:v>
      </x:c>
      <x:c r="O3153" s="20" t="n">
        <x:f>N3153-M3153</x:f>
        <x:v>99</x:v>
      </x:c>
    </x:row>
    <x:row r="3154" ht="22" customHeight="1">
      <x:c r="A3154" s="11" t="n">
        <x:v>3150</x:v>
      </x:c>
      <x:c r="B3154" s="11" t="n">
        <x:v>1599</x:v>
      </x:c>
      <x:c r="C3154" s="18" t="n">
        <x:v>45788</x:v>
      </x:c>
      <x:c r="D3154" s="11" t="str">
        <x:v>2025-05</x:v>
      </x:c>
      <x:c r="E3154" s="11" t="str">
        <x:v>South</x:v>
      </x:c>
      <x:c r="F3154" s="11" t="str">
        <x:v>Office Supplies</x:v>
      </x:c>
      <x:c r="G3154" s="11" t="str">
        <x:v>Notebook pack</x:v>
      </x:c>
      <x:c r="H3154" s="11" t="n">
        <x:v>2</x:v>
      </x:c>
      <x:c r="I3154" s="19" t="n">
        <x:v>0.05</x:v>
      </x:c>
      <x:c r="J3154" s="11" t="n">
        <x:v>0</x:v>
      </x:c>
      <x:c r="K3154" s="20" t="n">
        <x:v>36</x:v>
      </x:c>
      <x:c r="L3154" s="20" t="n">
        <x:v>1.8</x:v>
      </x:c>
      <x:c r="M3154" s="20" t="n">
        <x:v>14</x:v>
      </x:c>
      <x:c r="N3154" s="20" t="n">
        <x:f>IF(J3154=1,0,K3154-L3154)</x:f>
        <x:v>34.2</x:v>
      </x:c>
      <x:c r="O3154" s="20" t="n">
        <x:f>N3154-M3154</x:f>
        <x:v>20.200000000000003</x:v>
      </x:c>
    </x:row>
    <x:row r="3155" ht="22" customHeight="1">
      <x:c r="A3155" s="11" t="n">
        <x:v>3151</x:v>
      </x:c>
      <x:c r="B3155" s="11" t="n">
        <x:v>1600</x:v>
      </x:c>
      <x:c r="C3155" s="18" t="n">
        <x:v>45507</x:v>
      </x:c>
      <x:c r="D3155" s="11" t="str">
        <x:v>2024-08</x:v>
      </x:c>
      <x:c r="E3155" s="11" t="str">
        <x:v>Central</x:v>
      </x:c>
      <x:c r="F3155" s="11" t="str">
        <x:v>Office Supplies</x:v>
      </x:c>
      <x:c r="G3155" s="11" t="str">
        <x:v>Notebook pack</x:v>
      </x:c>
      <x:c r="H3155" s="11" t="n">
        <x:v>1</x:v>
      </x:c>
      <x:c r="I3155" s="19" t="n">
        <x:v>0</x:v>
      </x:c>
      <x:c r="J3155" s="11" t="n">
        <x:v>0</x:v>
      </x:c>
      <x:c r="K3155" s="20" t="n">
        <x:v>18</x:v>
      </x:c>
      <x:c r="L3155" s="20" t="n">
        <x:v>0</x:v>
      </x:c>
      <x:c r="M3155" s="20" t="n">
        <x:v>7</x:v>
      </x:c>
      <x:c r="N3155" s="20" t="n">
        <x:f>IF(J3155=1,0,K3155-L3155)</x:f>
        <x:v>18</x:v>
      </x:c>
      <x:c r="O3155" s="20" t="n">
        <x:f>N3155-M3155</x:f>
        <x:v>11</x:v>
      </x:c>
    </x:row>
    <x:row r="3156" ht="22" customHeight="1">
      <x:c r="A3156" s="11" t="n">
        <x:v>3152</x:v>
      </x:c>
      <x:c r="B3156" s="11" t="n">
        <x:v>1600</x:v>
      </x:c>
      <x:c r="C3156" s="18" t="n">
        <x:v>45507</x:v>
      </x:c>
      <x:c r="D3156" s="11" t="str">
        <x:v>2024-08</x:v>
      </x:c>
      <x:c r="E3156" s="11" t="str">
        <x:v>Central</x:v>
      </x:c>
      <x:c r="F3156" s="11" t="str">
        <x:v>Furniture</x:v>
      </x:c>
      <x:c r="G3156" s="11" t="str">
        <x:v>Desk</x:v>
      </x:c>
      <x:c r="H3156" s="11" t="n">
        <x:v>3</x:v>
      </x:c>
      <x:c r="I3156" s="19" t="n">
        <x:v>0</x:v>
      </x:c>
      <x:c r="J3156" s="11" t="n">
        <x:v>0</x:v>
      </x:c>
      <x:c r="K3156" s="20" t="n">
        <x:v>840</x:v>
      </x:c>
      <x:c r="L3156" s="20" t="n">
        <x:v>0</x:v>
      </x:c>
      <x:c r="M3156" s="20" t="n">
        <x:v>570</x:v>
      </x:c>
      <x:c r="N3156" s="20" t="n">
        <x:f>IF(J3156=1,0,K3156-L3156)</x:f>
        <x:v>840</x:v>
      </x:c>
      <x:c r="O3156" s="20" t="n">
        <x:f>N3156-M3156</x:f>
        <x:v>270</x:v>
      </x:c>
    </x:row>
    <x:row r="3157" ht="22" customHeight="1">
      <x:c r="A3157" s="11" t="n">
        <x:v>3153</x:v>
      </x:c>
      <x:c r="B3157" s="11" t="n">
        <x:v>1600</x:v>
      </x:c>
      <x:c r="C3157" s="18" t="n">
        <x:v>45507</x:v>
      </x:c>
      <x:c r="D3157" s="11" t="str">
        <x:v>2024-08</x:v>
      </x:c>
      <x:c r="E3157" s="11" t="str">
        <x:v>Central</x:v>
      </x:c>
      <x:c r="F3157" s="11" t="str">
        <x:v>Technology</x:v>
      </x:c>
      <x:c r="G3157" s="11" t="str">
        <x:v>Keyboard</x:v>
      </x:c>
      <x:c r="H3157" s="11" t="n">
        <x:v>2</x:v>
      </x:c>
      <x:c r="I3157" s="19" t="n">
        <x:v>0</x:v>
      </x:c>
      <x:c r="J3157" s="11" t="n">
        <x:v>0</x:v>
      </x:c>
      <x:c r="K3157" s="20" t="n">
        <x:v>130</x:v>
      </x:c>
      <x:c r="L3157" s="20" t="n">
        <x:v>0</x:v>
      </x:c>
      <x:c r="M3157" s="20" t="n">
        <x:v>64</x:v>
      </x:c>
      <x:c r="N3157" s="20" t="n">
        <x:f>IF(J3157=1,0,K3157-L3157)</x:f>
        <x:v>130</x:v>
      </x:c>
      <x:c r="O3157" s="20" t="n">
        <x:f>N3157-M3157</x:f>
        <x:v>66</x:v>
      </x:c>
    </x:row>
    <x:row r="3158" ht="22" customHeight="1">
      <x:c r="A3158" s="11" t="n">
        <x:v>3154</x:v>
      </x:c>
      <x:c r="B3158" s="11" t="n">
        <x:v>1601</x:v>
      </x:c>
      <x:c r="C3158" s="18" t="n">
        <x:v>45344</x:v>
      </x:c>
      <x:c r="D3158" s="11" t="str">
        <x:v>2024-02</x:v>
      </x:c>
      <x:c r="E3158" s="11" t="str">
        <x:v>Central</x:v>
      </x:c>
      <x:c r="F3158" s="11" t="str">
        <x:v>Furniture</x:v>
      </x:c>
      <x:c r="G3158" s="11" t="str">
        <x:v>Chair</x:v>
      </x:c>
      <x:c r="H3158" s="11" t="n">
        <x:v>4</x:v>
      </x:c>
      <x:c r="I3158" s="19" t="n">
        <x:v>0</x:v>
      </x:c>
      <x:c r="J3158" s="11" t="n">
        <x:v>0</x:v>
      </x:c>
      <x:c r="K3158" s="20" t="n">
        <x:v>680</x:v>
      </x:c>
      <x:c r="L3158" s="20" t="n">
        <x:v>0</x:v>
      </x:c>
      <x:c r="M3158" s="20" t="n">
        <x:v>440</x:v>
      </x:c>
      <x:c r="N3158" s="20" t="n">
        <x:f>IF(J3158=1,0,K3158-L3158)</x:f>
        <x:v>680</x:v>
      </x:c>
      <x:c r="O3158" s="20" t="n">
        <x:f>N3158-M3158</x:f>
        <x:v>240</x:v>
      </x:c>
    </x:row>
    <x:row r="3159" ht="22" customHeight="1">
      <x:c r="A3159" s="11" t="n">
        <x:v>3155</x:v>
      </x:c>
      <x:c r="B3159" s="11" t="n">
        <x:v>1601</x:v>
      </x:c>
      <x:c r="C3159" s="18" t="n">
        <x:v>45344</x:v>
      </x:c>
      <x:c r="D3159" s="11" t="str">
        <x:v>2024-02</x:v>
      </x:c>
      <x:c r="E3159" s="11" t="str">
        <x:v>Central</x:v>
      </x:c>
      <x:c r="F3159" s="11" t="str">
        <x:v>Furniture</x:v>
      </x:c>
      <x:c r="G3159" s="11" t="str">
        <x:v>Desk</x:v>
      </x:c>
      <x:c r="H3159" s="11" t="n">
        <x:v>1</x:v>
      </x:c>
      <x:c r="I3159" s="19" t="n">
        <x:v>0.1</x:v>
      </x:c>
      <x:c r="J3159" s="11" t="n">
        <x:v>0</x:v>
      </x:c>
      <x:c r="K3159" s="20" t="n">
        <x:v>280</x:v>
      </x:c>
      <x:c r="L3159" s="20" t="n">
        <x:v>28</x:v>
      </x:c>
      <x:c r="M3159" s="20" t="n">
        <x:v>190</x:v>
      </x:c>
      <x:c r="N3159" s="20" t="n">
        <x:f>IF(J3159=1,0,K3159-L3159)</x:f>
        <x:v>252</x:v>
      </x:c>
      <x:c r="O3159" s="20" t="n">
        <x:f>N3159-M3159</x:f>
        <x:v>62</x:v>
      </x:c>
    </x:row>
    <x:row r="3160" ht="22" customHeight="1">
      <x:c r="A3160" s="11" t="n">
        <x:v>3156</x:v>
      </x:c>
      <x:c r="B3160" s="11" t="n">
        <x:v>1601</x:v>
      </x:c>
      <x:c r="C3160" s="18" t="n">
        <x:v>45344</x:v>
      </x:c>
      <x:c r="D3160" s="11" t="str">
        <x:v>2024-02</x:v>
      </x:c>
      <x:c r="E3160" s="11" t="str">
        <x:v>Central</x:v>
      </x:c>
      <x:c r="F3160" s="11" t="str">
        <x:v>Office Supplies</x:v>
      </x:c>
      <x:c r="G3160" s="11" t="str">
        <x:v>Notebook pack</x:v>
      </x:c>
      <x:c r="H3160" s="11" t="n">
        <x:v>5</x:v>
      </x:c>
      <x:c r="I3160" s="19" t="n">
        <x:v>0</x:v>
      </x:c>
      <x:c r="J3160" s="11" t="n">
        <x:v>0</x:v>
      </x:c>
      <x:c r="K3160" s="20" t="n">
        <x:v>90</x:v>
      </x:c>
      <x:c r="L3160" s="20" t="n">
        <x:v>0</x:v>
      </x:c>
      <x:c r="M3160" s="20" t="n">
        <x:v>35</x:v>
      </x:c>
      <x:c r="N3160" s="20" t="n">
        <x:f>IF(J3160=1,0,K3160-L3160)</x:f>
        <x:v>90</x:v>
      </x:c>
      <x:c r="O3160" s="20" t="n">
        <x:f>N3160-M3160</x:f>
        <x:v>55</x:v>
      </x:c>
    </x:row>
    <x:row r="3161" ht="22" customHeight="1">
      <x:c r="A3161" s="11" t="n">
        <x:v>3157</x:v>
      </x:c>
      <x:c r="B3161" s="11" t="n">
        <x:v>1602</x:v>
      </x:c>
      <x:c r="C3161" s="18" t="n">
        <x:v>45992</x:v>
      </x:c>
      <x:c r="D3161" s="11" t="str">
        <x:v>2025-12</x:v>
      </x:c>
      <x:c r="E3161" s="11" t="str">
        <x:v>Central</x:v>
      </x:c>
      <x:c r="F3161" s="11" t="str">
        <x:v>Furniture</x:v>
      </x:c>
      <x:c r="G3161" s="11" t="str">
        <x:v>Desk</x:v>
      </x:c>
      <x:c r="H3161" s="11" t="n">
        <x:v>1</x:v>
      </x:c>
      <x:c r="I3161" s="19" t="n">
        <x:v>0.35</x:v>
      </x:c>
      <x:c r="J3161" s="11" t="n">
        <x:v>0</x:v>
      </x:c>
      <x:c r="K3161" s="20" t="n">
        <x:v>280</x:v>
      </x:c>
      <x:c r="L3161" s="20" t="n">
        <x:v>98</x:v>
      </x:c>
      <x:c r="M3161" s="20" t="n">
        <x:v>190</x:v>
      </x:c>
      <x:c r="N3161" s="20" t="n">
        <x:f>IF(J3161=1,0,K3161-L3161)</x:f>
        <x:v>182</x:v>
      </x:c>
      <x:c r="O3161" s="20" t="n">
        <x:f>N3161-M3161</x:f>
        <x:v>-8</x:v>
      </x:c>
    </x:row>
    <x:row r="3162" ht="22" customHeight="1">
      <x:c r="A3162" s="11" t="n">
        <x:v>3158</x:v>
      </x:c>
      <x:c r="B3162" s="11" t="n">
        <x:v>1603</x:v>
      </x:c>
      <x:c r="C3162" s="18" t="n">
        <x:v>45842</x:v>
      </x:c>
      <x:c r="D3162" s="11" t="str">
        <x:v>2025-07</x:v>
      </x:c>
      <x:c r="E3162" s="11" t="str">
        <x:v>South</x:v>
      </x:c>
      <x:c r="F3162" s="11" t="str">
        <x:v>Office Supplies</x:v>
      </x:c>
      <x:c r="G3162" s="11" t="str">
        <x:v>Notebook pack</x:v>
      </x:c>
      <x:c r="H3162" s="11" t="n">
        <x:v>5</x:v>
      </x:c>
      <x:c r="I3162" s="19" t="n">
        <x:v>0.1</x:v>
      </x:c>
      <x:c r="J3162" s="11" t="n">
        <x:v>0</x:v>
      </x:c>
      <x:c r="K3162" s="20" t="n">
        <x:v>90</x:v>
      </x:c>
      <x:c r="L3162" s="20" t="n">
        <x:v>9</x:v>
      </x:c>
      <x:c r="M3162" s="20" t="n">
        <x:v>35</x:v>
      </x:c>
      <x:c r="N3162" s="20" t="n">
        <x:f>IF(J3162=1,0,K3162-L3162)</x:f>
        <x:v>81</x:v>
      </x:c>
      <x:c r="O3162" s="20" t="n">
        <x:f>N3162-M3162</x:f>
        <x:v>46</x:v>
      </x:c>
    </x:row>
    <x:row r="3163" ht="22" customHeight="1">
      <x:c r="A3163" s="11" t="n">
        <x:v>3159</x:v>
      </x:c>
      <x:c r="B3163" s="11" t="n">
        <x:v>1603</x:v>
      </x:c>
      <x:c r="C3163" s="18" t="n">
        <x:v>45842</x:v>
      </x:c>
      <x:c r="D3163" s="11" t="str">
        <x:v>2025-07</x:v>
      </x:c>
      <x:c r="E3163" s="11" t="str">
        <x:v>South</x:v>
      </x:c>
      <x:c r="F3163" s="11" t="str">
        <x:v>Furniture</x:v>
      </x:c>
      <x:c r="G3163" s="11" t="str">
        <x:v>Desk</x:v>
      </x:c>
      <x:c r="H3163" s="11" t="n">
        <x:v>3</x:v>
      </x:c>
      <x:c r="I3163" s="19" t="n">
        <x:v>0</x:v>
      </x:c>
      <x:c r="J3163" s="11" t="n">
        <x:v>0</x:v>
      </x:c>
      <x:c r="K3163" s="20" t="n">
        <x:v>840</x:v>
      </x:c>
      <x:c r="L3163" s="20" t="n">
        <x:v>0</x:v>
      </x:c>
      <x:c r="M3163" s="20" t="n">
        <x:v>570</x:v>
      </x:c>
      <x:c r="N3163" s="20" t="n">
        <x:f>IF(J3163=1,0,K3163-L3163)</x:f>
        <x:v>840</x:v>
      </x:c>
      <x:c r="O3163" s="20" t="n">
        <x:f>N3163-M3163</x:f>
        <x:v>270</x:v>
      </x:c>
    </x:row>
    <x:row r="3164" ht="22" customHeight="1">
      <x:c r="A3164" s="11" t="n">
        <x:v>3160</x:v>
      </x:c>
      <x:c r="B3164" s="11" t="n">
        <x:v>1603</x:v>
      </x:c>
      <x:c r="C3164" s="18" t="n">
        <x:v>45842</x:v>
      </x:c>
      <x:c r="D3164" s="11" t="str">
        <x:v>2025-07</x:v>
      </x:c>
      <x:c r="E3164" s="11" t="str">
        <x:v>South</x:v>
      </x:c>
      <x:c r="F3164" s="11" t="str">
        <x:v>Office Supplies</x:v>
      </x:c>
      <x:c r="G3164" s="11" t="str">
        <x:v>Storage box</x:v>
      </x:c>
      <x:c r="H3164" s="11" t="n">
        <x:v>1</x:v>
      </x:c>
      <x:c r="I3164" s="19" t="n">
        <x:v>0.1</x:v>
      </x:c>
      <x:c r="J3164" s="11" t="n">
        <x:v>0</x:v>
      </x:c>
      <x:c r="K3164" s="20" t="n">
        <x:v>26</x:v>
      </x:c>
      <x:c r="L3164" s="20" t="n">
        <x:v>2.6</x:v>
      </x:c>
      <x:c r="M3164" s="20" t="n">
        <x:v>12</x:v>
      </x:c>
      <x:c r="N3164" s="20" t="n">
        <x:f>IF(J3164=1,0,K3164-L3164)</x:f>
        <x:v>23.4</x:v>
      </x:c>
      <x:c r="O3164" s="20" t="n">
        <x:f>N3164-M3164</x:f>
        <x:v>11.399999999999999</x:v>
      </x:c>
    </x:row>
    <x:row r="3165" ht="22" customHeight="1">
      <x:c r="A3165" s="11" t="n">
        <x:v>3161</x:v>
      </x:c>
      <x:c r="B3165" s="11" t="n">
        <x:v>1604</x:v>
      </x:c>
      <x:c r="C3165" s="18" t="n">
        <x:v>45656</x:v>
      </x:c>
      <x:c r="D3165" s="11" t="str">
        <x:v>2024-12</x:v>
      </x:c>
      <x:c r="E3165" s="11" t="str">
        <x:v>Central</x:v>
      </x:c>
      <x:c r="F3165" s="11" t="str">
        <x:v>Technology</x:v>
      </x:c>
      <x:c r="G3165" s="11" t="str">
        <x:v>Keyboard</x:v>
      </x:c>
      <x:c r="H3165" s="11" t="n">
        <x:v>4</x:v>
      </x:c>
      <x:c r="I3165" s="19" t="n">
        <x:v>0</x:v>
      </x:c>
      <x:c r="J3165" s="11" t="n">
        <x:v>0</x:v>
      </x:c>
      <x:c r="K3165" s="20" t="n">
        <x:v>260</x:v>
      </x:c>
      <x:c r="L3165" s="20" t="n">
        <x:v>0</x:v>
      </x:c>
      <x:c r="M3165" s="20" t="n">
        <x:v>128</x:v>
      </x:c>
      <x:c r="N3165" s="20" t="n">
        <x:f>IF(J3165=1,0,K3165-L3165)</x:f>
        <x:v>260</x:v>
      </x:c>
      <x:c r="O3165" s="20" t="n">
        <x:f>N3165-M3165</x:f>
        <x:v>132</x:v>
      </x:c>
    </x:row>
    <x:row r="3166" ht="22" customHeight="1">
      <x:c r="A3166" s="11" t="n">
        <x:v>3162</x:v>
      </x:c>
      <x:c r="B3166" s="11" t="n">
        <x:v>1604</x:v>
      </x:c>
      <x:c r="C3166" s="18" t="n">
        <x:v>45656</x:v>
      </x:c>
      <x:c r="D3166" s="11" t="str">
        <x:v>2024-12</x:v>
      </x:c>
      <x:c r="E3166" s="11" t="str">
        <x:v>Central</x:v>
      </x:c>
      <x:c r="F3166" s="11" t="str">
        <x:v>Office Supplies</x:v>
      </x:c>
      <x:c r="G3166" s="11" t="str">
        <x:v>Notebook pack</x:v>
      </x:c>
      <x:c r="H3166" s="11" t="n">
        <x:v>1</x:v>
      </x:c>
      <x:c r="I3166" s="19" t="n">
        <x:v>0</x:v>
      </x:c>
      <x:c r="J3166" s="11" t="n">
        <x:v>0</x:v>
      </x:c>
      <x:c r="K3166" s="20" t="n">
        <x:v>18</x:v>
      </x:c>
      <x:c r="L3166" s="20" t="n">
        <x:v>0</x:v>
      </x:c>
      <x:c r="M3166" s="20" t="n">
        <x:v>7</x:v>
      </x:c>
      <x:c r="N3166" s="20" t="n">
        <x:f>IF(J3166=1,0,K3166-L3166)</x:f>
        <x:v>18</x:v>
      </x:c>
      <x:c r="O3166" s="20" t="n">
        <x:f>N3166-M3166</x:f>
        <x:v>11</x:v>
      </x:c>
    </x:row>
    <x:row r="3167" ht="22" customHeight="1">
      <x:c r="A3167" s="11" t="n">
        <x:v>3163</x:v>
      </x:c>
      <x:c r="B3167" s="11" t="n">
        <x:v>1604</x:v>
      </x:c>
      <x:c r="C3167" s="18" t="n">
        <x:v>45656</x:v>
      </x:c>
      <x:c r="D3167" s="11" t="str">
        <x:v>2024-12</x:v>
      </x:c>
      <x:c r="E3167" s="11" t="str">
        <x:v>Central</x:v>
      </x:c>
      <x:c r="F3167" s="11" t="str">
        <x:v>Technology</x:v>
      </x:c>
      <x:c r="G3167" s="11" t="str">
        <x:v>Monitor</x:v>
      </x:c>
      <x:c r="H3167" s="11" t="n">
        <x:v>1</x:v>
      </x:c>
      <x:c r="I3167" s="19" t="n">
        <x:v>0.1</x:v>
      </x:c>
      <x:c r="J3167" s="11" t="n">
        <x:v>0</x:v>
      </x:c>
      <x:c r="K3167" s="20" t="n">
        <x:v>240</x:v>
      </x:c>
      <x:c r="L3167" s="20" t="n">
        <x:v>24</x:v>
      </x:c>
      <x:c r="M3167" s="20" t="n">
        <x:v>160</x:v>
      </x:c>
      <x:c r="N3167" s="20" t="n">
        <x:f>IF(J3167=1,0,K3167-L3167)</x:f>
        <x:v>216</x:v>
      </x:c>
      <x:c r="O3167" s="20" t="n">
        <x:f>N3167-M3167</x:f>
        <x:v>56</x:v>
      </x:c>
    </x:row>
    <x:row r="3168" ht="22" customHeight="1">
      <x:c r="A3168" s="11" t="n">
        <x:v>3164</x:v>
      </x:c>
      <x:c r="B3168" s="11" t="n">
        <x:v>1605</x:v>
      </x:c>
      <x:c r="C3168" s="18" t="n">
        <x:v>45776</x:v>
      </x:c>
      <x:c r="D3168" s="11" t="str">
        <x:v>2025-04</x:v>
      </x:c>
      <x:c r="E3168" s="11" t="str">
        <x:v>East</x:v>
      </x:c>
      <x:c r="F3168" s="11" t="str">
        <x:v>Furniture</x:v>
      </x:c>
      <x:c r="G3168" s="11" t="str">
        <x:v>Chair</x:v>
      </x:c>
      <x:c r="H3168" s="11" t="n">
        <x:v>4</x:v>
      </x:c>
      <x:c r="I3168" s="19" t="n">
        <x:v>0</x:v>
      </x:c>
      <x:c r="J3168" s="11" t="n">
        <x:v>0</x:v>
      </x:c>
      <x:c r="K3168" s="20" t="n">
        <x:v>680</x:v>
      </x:c>
      <x:c r="L3168" s="20" t="n">
        <x:v>0</x:v>
      </x:c>
      <x:c r="M3168" s="20" t="n">
        <x:v>440</x:v>
      </x:c>
      <x:c r="N3168" s="20" t="n">
        <x:f>IF(J3168=1,0,K3168-L3168)</x:f>
        <x:v>680</x:v>
      </x:c>
      <x:c r="O3168" s="20" t="n">
        <x:f>N3168-M3168</x:f>
        <x:v>240</x:v>
      </x:c>
    </x:row>
    <x:row r="3169" ht="22" customHeight="1">
      <x:c r="A3169" s="11" t="n">
        <x:v>3165</x:v>
      </x:c>
      <x:c r="B3169" s="11" t="n">
        <x:v>1606</x:v>
      </x:c>
      <x:c r="C3169" s="18" t="n">
        <x:v>45704</x:v>
      </x:c>
      <x:c r="D3169" s="11" t="str">
        <x:v>2025-02</x:v>
      </x:c>
      <x:c r="E3169" s="11" t="str">
        <x:v>Central</x:v>
      </x:c>
      <x:c r="F3169" s="11" t="str">
        <x:v>Office Supplies</x:v>
      </x:c>
      <x:c r="G3169" s="11" t="str">
        <x:v>Notebook pack</x:v>
      </x:c>
      <x:c r="H3169" s="11" t="n">
        <x:v>4</x:v>
      </x:c>
      <x:c r="I3169" s="19" t="n">
        <x:v>0.15</x:v>
      </x:c>
      <x:c r="J3169" s="11" t="n">
        <x:v>0</x:v>
      </x:c>
      <x:c r="K3169" s="20" t="n">
        <x:v>72</x:v>
      </x:c>
      <x:c r="L3169" s="20" t="n">
        <x:v>10.8</x:v>
      </x:c>
      <x:c r="M3169" s="20" t="n">
        <x:v>28</x:v>
      </x:c>
      <x:c r="N3169" s="20" t="n">
        <x:f>IF(J3169=1,0,K3169-L3169)</x:f>
        <x:v>61.2</x:v>
      </x:c>
      <x:c r="O3169" s="20" t="n">
        <x:f>N3169-M3169</x:f>
        <x:v>33.2</x:v>
      </x:c>
    </x:row>
    <x:row r="3170" ht="22" customHeight="1">
      <x:c r="A3170" s="11" t="n">
        <x:v>3166</x:v>
      </x:c>
      <x:c r="B3170" s="11" t="n">
        <x:v>1607</x:v>
      </x:c>
      <x:c r="C3170" s="18" t="n">
        <x:v>45461</x:v>
      </x:c>
      <x:c r="D3170" s="11" t="str">
        <x:v>2024-06</x:v>
      </x:c>
      <x:c r="E3170" s="11" t="str">
        <x:v>West</x:v>
      </x:c>
      <x:c r="F3170" s="11" t="str">
        <x:v>Office Supplies</x:v>
      </x:c>
      <x:c r="G3170" s="11" t="str">
        <x:v>Notebook pack</x:v>
      </x:c>
      <x:c r="H3170" s="11" t="n">
        <x:v>4</x:v>
      </x:c>
      <x:c r="I3170" s="19" t="n">
        <x:v>0.15</x:v>
      </x:c>
      <x:c r="J3170" s="11" t="n">
        <x:v>0</x:v>
      </x:c>
      <x:c r="K3170" s="20" t="n">
        <x:v>72</x:v>
      </x:c>
      <x:c r="L3170" s="20" t="n">
        <x:v>10.8</x:v>
      </x:c>
      <x:c r="M3170" s="20" t="n">
        <x:v>28</x:v>
      </x:c>
      <x:c r="N3170" s="20" t="n">
        <x:f>IF(J3170=1,0,K3170-L3170)</x:f>
        <x:v>61.2</x:v>
      </x:c>
      <x:c r="O3170" s="20" t="n">
        <x:f>N3170-M3170</x:f>
        <x:v>33.2</x:v>
      </x:c>
    </x:row>
    <x:row r="3171" ht="22" customHeight="1">
      <x:c r="A3171" s="11" t="n">
        <x:v>3167</x:v>
      </x:c>
      <x:c r="B3171" s="11" t="n">
        <x:v>1607</x:v>
      </x:c>
      <x:c r="C3171" s="18" t="n">
        <x:v>45461</x:v>
      </x:c>
      <x:c r="D3171" s="11" t="str">
        <x:v>2024-06</x:v>
      </x:c>
      <x:c r="E3171" s="11" t="str">
        <x:v>West</x:v>
      </x:c>
      <x:c r="F3171" s="11" t="str">
        <x:v>Furniture</x:v>
      </x:c>
      <x:c r="G3171" s="11" t="str">
        <x:v>Chair</x:v>
      </x:c>
      <x:c r="H3171" s="11" t="n">
        <x:v>4</x:v>
      </x:c>
      <x:c r="I3171" s="19" t="n">
        <x:v>0</x:v>
      </x:c>
      <x:c r="J3171" s="11" t="n">
        <x:v>0</x:v>
      </x:c>
      <x:c r="K3171" s="20" t="n">
        <x:v>680</x:v>
      </x:c>
      <x:c r="L3171" s="20" t="n">
        <x:v>0</x:v>
      </x:c>
      <x:c r="M3171" s="20" t="n">
        <x:v>440</x:v>
      </x:c>
      <x:c r="N3171" s="20" t="n">
        <x:f>IF(J3171=1,0,K3171-L3171)</x:f>
        <x:v>680</x:v>
      </x:c>
      <x:c r="O3171" s="20" t="n">
        <x:f>N3171-M3171</x:f>
        <x:v>240</x:v>
      </x:c>
    </x:row>
    <x:row r="3172" ht="22" customHeight="1">
      <x:c r="A3172" s="11" t="n">
        <x:v>3168</x:v>
      </x:c>
      <x:c r="B3172" s="11" t="n">
        <x:v>1607</x:v>
      </x:c>
      <x:c r="C3172" s="18" t="n">
        <x:v>45461</x:v>
      </x:c>
      <x:c r="D3172" s="11" t="str">
        <x:v>2024-06</x:v>
      </x:c>
      <x:c r="E3172" s="11" t="str">
        <x:v>West</x:v>
      </x:c>
      <x:c r="F3172" s="11" t="str">
        <x:v>Technology</x:v>
      </x:c>
      <x:c r="G3172" s="11" t="str">
        <x:v>Keyboard</x:v>
      </x:c>
      <x:c r="H3172" s="11" t="n">
        <x:v>5</x:v>
      </x:c>
      <x:c r="I3172" s="19" t="n">
        <x:v>0.05</x:v>
      </x:c>
      <x:c r="J3172" s="11" t="n">
        <x:v>0</x:v>
      </x:c>
      <x:c r="K3172" s="20" t="n">
        <x:v>325</x:v>
      </x:c>
      <x:c r="L3172" s="20" t="n">
        <x:v>16.25</x:v>
      </x:c>
      <x:c r="M3172" s="20" t="n">
        <x:v>160</x:v>
      </x:c>
      <x:c r="N3172" s="20" t="n">
        <x:f>IF(J3172=1,0,K3172-L3172)</x:f>
        <x:v>308.75</x:v>
      </x:c>
      <x:c r="O3172" s="20" t="n">
        <x:f>N3172-M3172</x:f>
        <x:v>148.75</x:v>
      </x:c>
    </x:row>
    <x:row r="3173" ht="22" customHeight="1">
      <x:c r="A3173" s="11" t="n">
        <x:v>3169</x:v>
      </x:c>
      <x:c r="B3173" s="11" t="n">
        <x:v>1608</x:v>
      </x:c>
      <x:c r="C3173" s="18" t="n">
        <x:v>45412</x:v>
      </x:c>
      <x:c r="D3173" s="11" t="str">
        <x:v>2024-04</x:v>
      </x:c>
      <x:c r="E3173" s="11" t="str">
        <x:v>East</x:v>
      </x:c>
      <x:c r="F3173" s="11" t="str">
        <x:v>Technology</x:v>
      </x:c>
      <x:c r="G3173" s="11" t="str">
        <x:v>Keyboard</x:v>
      </x:c>
      <x:c r="H3173" s="11" t="n">
        <x:v>4</x:v>
      </x:c>
      <x:c r="I3173" s="19" t="n">
        <x:v>0</x:v>
      </x:c>
      <x:c r="J3173" s="11" t="n">
        <x:v>0</x:v>
      </x:c>
      <x:c r="K3173" s="20" t="n">
        <x:v>260</x:v>
      </x:c>
      <x:c r="L3173" s="20" t="n">
        <x:v>0</x:v>
      </x:c>
      <x:c r="M3173" s="20" t="n">
        <x:v>128</x:v>
      </x:c>
      <x:c r="N3173" s="20" t="n">
        <x:f>IF(J3173=1,0,K3173-L3173)</x:f>
        <x:v>260</x:v>
      </x:c>
      <x:c r="O3173" s="20" t="n">
        <x:f>N3173-M3173</x:f>
        <x:v>132</x:v>
      </x:c>
    </x:row>
    <x:row r="3174" ht="22" customHeight="1">
      <x:c r="A3174" s="11" t="n">
        <x:v>3170</x:v>
      </x:c>
      <x:c r="B3174" s="11" t="n">
        <x:v>1608</x:v>
      </x:c>
      <x:c r="C3174" s="18" t="n">
        <x:v>45412</x:v>
      </x:c>
      <x:c r="D3174" s="11" t="str">
        <x:v>2024-04</x:v>
      </x:c>
      <x:c r="E3174" s="11" t="str">
        <x:v>East</x:v>
      </x:c>
      <x:c r="F3174" s="11" t="str">
        <x:v>Furniture</x:v>
      </x:c>
      <x:c r="G3174" s="11" t="str">
        <x:v>Desk</x:v>
      </x:c>
      <x:c r="H3174" s="11" t="n">
        <x:v>5</x:v>
      </x:c>
      <x:c r="I3174" s="19" t="n">
        <x:v>0.05</x:v>
      </x:c>
      <x:c r="J3174" s="11" t="n">
        <x:v>0</x:v>
      </x:c>
      <x:c r="K3174" s="20" t="n">
        <x:v>1400</x:v>
      </x:c>
      <x:c r="L3174" s="20" t="n">
        <x:v>70</x:v>
      </x:c>
      <x:c r="M3174" s="20" t="n">
        <x:v>950</x:v>
      </x:c>
      <x:c r="N3174" s="20" t="n">
        <x:f>IF(J3174=1,0,K3174-L3174)</x:f>
        <x:v>1330</x:v>
      </x:c>
      <x:c r="O3174" s="20" t="n">
        <x:f>N3174-M3174</x:f>
        <x:v>380</x:v>
      </x:c>
    </x:row>
    <x:row r="3175" ht="22" customHeight="1">
      <x:c r="A3175" s="11" t="n">
        <x:v>3171</x:v>
      </x:c>
      <x:c r="B3175" s="11" t="n">
        <x:v>1608</x:v>
      </x:c>
      <x:c r="C3175" s="18" t="n">
        <x:v>45412</x:v>
      </x:c>
      <x:c r="D3175" s="11" t="str">
        <x:v>2024-04</x:v>
      </x:c>
      <x:c r="E3175" s="11" t="str">
        <x:v>East</x:v>
      </x:c>
      <x:c r="F3175" s="11" t="str">
        <x:v>Technology</x:v>
      </x:c>
      <x:c r="G3175" s="11" t="str">
        <x:v>Monitor</x:v>
      </x:c>
      <x:c r="H3175" s="11" t="n">
        <x:v>3</x:v>
      </x:c>
      <x:c r="I3175" s="19" t="n">
        <x:v>0.15</x:v>
      </x:c>
      <x:c r="J3175" s="11" t="n">
        <x:v>0</x:v>
      </x:c>
      <x:c r="K3175" s="20" t="n">
        <x:v>720</x:v>
      </x:c>
      <x:c r="L3175" s="20" t="n">
        <x:v>108</x:v>
      </x:c>
      <x:c r="M3175" s="20" t="n">
        <x:v>480</x:v>
      </x:c>
      <x:c r="N3175" s="20" t="n">
        <x:f>IF(J3175=1,0,K3175-L3175)</x:f>
        <x:v>612</x:v>
      </x:c>
      <x:c r="O3175" s="20" t="n">
        <x:f>N3175-M3175</x:f>
        <x:v>132</x:v>
      </x:c>
    </x:row>
    <x:row r="3176" ht="22" customHeight="1">
      <x:c r="A3176" s="11" t="n">
        <x:v>3172</x:v>
      </x:c>
      <x:c r="B3176" s="11" t="n">
        <x:v>1609</x:v>
      </x:c>
      <x:c r="C3176" s="18" t="n">
        <x:v>45633</x:v>
      </x:c>
      <x:c r="D3176" s="11" t="str">
        <x:v>2024-12</x:v>
      </x:c>
      <x:c r="E3176" s="11" t="str">
        <x:v>South</x:v>
      </x:c>
      <x:c r="F3176" s="11" t="str">
        <x:v>Furniture</x:v>
      </x:c>
      <x:c r="G3176" s="11" t="str">
        <x:v>Desk</x:v>
      </x:c>
      <x:c r="H3176" s="11" t="n">
        <x:v>5</x:v>
      </x:c>
      <x:c r="I3176" s="19" t="n">
        <x:v>0.25</x:v>
      </x:c>
      <x:c r="J3176" s="11" t="n">
        <x:v>0</x:v>
      </x:c>
      <x:c r="K3176" s="20" t="n">
        <x:v>1400</x:v>
      </x:c>
      <x:c r="L3176" s="20" t="n">
        <x:v>350</x:v>
      </x:c>
      <x:c r="M3176" s="20" t="n">
        <x:v>950</x:v>
      </x:c>
      <x:c r="N3176" s="20" t="n">
        <x:f>IF(J3176=1,0,K3176-L3176)</x:f>
        <x:v>1050</x:v>
      </x:c>
      <x:c r="O3176" s="20" t="n">
        <x:f>N3176-M3176</x:f>
        <x:v>100</x:v>
      </x:c>
    </x:row>
    <x:row r="3177" ht="22" customHeight="1">
      <x:c r="A3177" s="11" t="n">
        <x:v>3173</x:v>
      </x:c>
      <x:c r="B3177" s="11" t="n">
        <x:v>1609</x:v>
      </x:c>
      <x:c r="C3177" s="18" t="n">
        <x:v>45633</x:v>
      </x:c>
      <x:c r="D3177" s="11" t="str">
        <x:v>2024-12</x:v>
      </x:c>
      <x:c r="E3177" s="11" t="str">
        <x:v>South</x:v>
      </x:c>
      <x:c r="F3177" s="11" t="str">
        <x:v>Technology</x:v>
      </x:c>
      <x:c r="G3177" s="11" t="str">
        <x:v>Keyboard</x:v>
      </x:c>
      <x:c r="H3177" s="11" t="n">
        <x:v>1</x:v>
      </x:c>
      <x:c r="I3177" s="19" t="n">
        <x:v>0.15</x:v>
      </x:c>
      <x:c r="J3177" s="11" t="n">
        <x:v>0</x:v>
      </x:c>
      <x:c r="K3177" s="20" t="n">
        <x:v>65</x:v>
      </x:c>
      <x:c r="L3177" s="20" t="n">
        <x:v>9.75</x:v>
      </x:c>
      <x:c r="M3177" s="20" t="n">
        <x:v>32</x:v>
      </x:c>
      <x:c r="N3177" s="20" t="n">
        <x:f>IF(J3177=1,0,K3177-L3177)</x:f>
        <x:v>55.25</x:v>
      </x:c>
      <x:c r="O3177" s="20" t="n">
        <x:f>N3177-M3177</x:f>
        <x:v>23.25</x:v>
      </x:c>
    </x:row>
    <x:row r="3178" ht="22" customHeight="1">
      <x:c r="A3178" s="11" t="n">
        <x:v>3174</x:v>
      </x:c>
      <x:c r="B3178" s="11" t="n">
        <x:v>1610</x:v>
      </x:c>
      <x:c r="C3178" s="18" t="n">
        <x:v>46010</x:v>
      </x:c>
      <x:c r="D3178" s="11" t="str">
        <x:v>2025-12</x:v>
      </x:c>
      <x:c r="E3178" s="11" t="str">
        <x:v>West</x:v>
      </x:c>
      <x:c r="F3178" s="11" t="str">
        <x:v>Technology</x:v>
      </x:c>
      <x:c r="G3178" s="11" t="str">
        <x:v>Keyboard</x:v>
      </x:c>
      <x:c r="H3178" s="11" t="n">
        <x:v>3</x:v>
      </x:c>
      <x:c r="I3178" s="19" t="n">
        <x:v>0.15</x:v>
      </x:c>
      <x:c r="J3178" s="11" t="n">
        <x:v>0</x:v>
      </x:c>
      <x:c r="K3178" s="20" t="n">
        <x:v>195</x:v>
      </x:c>
      <x:c r="L3178" s="20" t="n">
        <x:v>29.25</x:v>
      </x:c>
      <x:c r="M3178" s="20" t="n">
        <x:v>96</x:v>
      </x:c>
      <x:c r="N3178" s="20" t="n">
        <x:f>IF(J3178=1,0,K3178-L3178)</x:f>
        <x:v>165.75</x:v>
      </x:c>
      <x:c r="O3178" s="20" t="n">
        <x:f>N3178-M3178</x:f>
        <x:v>69.75</x:v>
      </x:c>
    </x:row>
    <x:row r="3179" ht="22" customHeight="1">
      <x:c r="A3179" s="11" t="n">
        <x:v>3175</x:v>
      </x:c>
      <x:c r="B3179" s="11" t="n">
        <x:v>1610</x:v>
      </x:c>
      <x:c r="C3179" s="18" t="n">
        <x:v>46010</x:v>
      </x:c>
      <x:c r="D3179" s="11" t="str">
        <x:v>2025-12</x:v>
      </x:c>
      <x:c r="E3179" s="11" t="str">
        <x:v>West</x:v>
      </x:c>
      <x:c r="F3179" s="11" t="str">
        <x:v>Office Supplies</x:v>
      </x:c>
      <x:c r="G3179" s="11" t="str">
        <x:v>Storage box</x:v>
      </x:c>
      <x:c r="H3179" s="11" t="n">
        <x:v>3</x:v>
      </x:c>
      <x:c r="I3179" s="19" t="n">
        <x:v>0.1</x:v>
      </x:c>
      <x:c r="J3179" s="11" t="n">
        <x:v>0</x:v>
      </x:c>
      <x:c r="K3179" s="20" t="n">
        <x:v>78</x:v>
      </x:c>
      <x:c r="L3179" s="20" t="n">
        <x:v>7.8</x:v>
      </x:c>
      <x:c r="M3179" s="20" t="n">
        <x:v>36</x:v>
      </x:c>
      <x:c r="N3179" s="20" t="n">
        <x:f>IF(J3179=1,0,K3179-L3179)</x:f>
        <x:v>70.2</x:v>
      </x:c>
      <x:c r="O3179" s="20" t="n">
        <x:f>N3179-M3179</x:f>
        <x:v>34.2</x:v>
      </x:c>
    </x:row>
    <x:row r="3180" ht="22" customHeight="1">
      <x:c r="A3180" s="11" t="n">
        <x:v>3176</x:v>
      </x:c>
      <x:c r="B3180" s="11" t="n">
        <x:v>1610</x:v>
      </x:c>
      <x:c r="C3180" s="18" t="n">
        <x:v>46010</x:v>
      </x:c>
      <x:c r="D3180" s="11" t="str">
        <x:v>2025-12</x:v>
      </x:c>
      <x:c r="E3180" s="11" t="str">
        <x:v>West</x:v>
      </x:c>
      <x:c r="F3180" s="11" t="str">
        <x:v>Furniture</x:v>
      </x:c>
      <x:c r="G3180" s="11" t="str">
        <x:v>Chair</x:v>
      </x:c>
      <x:c r="H3180" s="11" t="n">
        <x:v>2</x:v>
      </x:c>
      <x:c r="I3180" s="19" t="n">
        <x:v>0</x:v>
      </x:c>
      <x:c r="J3180" s="11" t="n">
        <x:v>0</x:v>
      </x:c>
      <x:c r="K3180" s="20" t="n">
        <x:v>340</x:v>
      </x:c>
      <x:c r="L3180" s="20" t="n">
        <x:v>0</x:v>
      </x:c>
      <x:c r="M3180" s="20" t="n">
        <x:v>220</x:v>
      </x:c>
      <x:c r="N3180" s="20" t="n">
        <x:f>IF(J3180=1,0,K3180-L3180)</x:f>
        <x:v>340</x:v>
      </x:c>
      <x:c r="O3180" s="20" t="n">
        <x:f>N3180-M3180</x:f>
        <x:v>120</x:v>
      </x:c>
    </x:row>
    <x:row r="3181" ht="22" customHeight="1">
      <x:c r="A3181" s="11" t="n">
        <x:v>3177</x:v>
      </x:c>
      <x:c r="B3181" s="11" t="n">
        <x:v>1611</x:v>
      </x:c>
      <x:c r="C3181" s="18" t="n">
        <x:v>45448</x:v>
      </x:c>
      <x:c r="D3181" s="11" t="str">
        <x:v>2024-06</x:v>
      </x:c>
      <x:c r="E3181" s="11" t="str">
        <x:v>East</x:v>
      </x:c>
      <x:c r="F3181" s="11" t="str">
        <x:v>Technology</x:v>
      </x:c>
      <x:c r="G3181" s="11" t="str">
        <x:v>Keyboard</x:v>
      </x:c>
      <x:c r="H3181" s="11" t="n">
        <x:v>2</x:v>
      </x:c>
      <x:c r="I3181" s="19" t="n">
        <x:v>0</x:v>
      </x:c>
      <x:c r="J3181" s="11" t="n">
        <x:v>0</x:v>
      </x:c>
      <x:c r="K3181" s="20" t="n">
        <x:v>130</x:v>
      </x:c>
      <x:c r="L3181" s="20" t="n">
        <x:v>0</x:v>
      </x:c>
      <x:c r="M3181" s="20" t="n">
        <x:v>64</x:v>
      </x:c>
      <x:c r="N3181" s="20" t="n">
        <x:f>IF(J3181=1,0,K3181-L3181)</x:f>
        <x:v>130</x:v>
      </x:c>
      <x:c r="O3181" s="20" t="n">
        <x:f>N3181-M3181</x:f>
        <x:v>66</x:v>
      </x:c>
    </x:row>
    <x:row r="3182" ht="22" customHeight="1">
      <x:c r="A3182" s="11" t="n">
        <x:v>3178</x:v>
      </x:c>
      <x:c r="B3182" s="11" t="n">
        <x:v>1612</x:v>
      </x:c>
      <x:c r="C3182" s="18" t="n">
        <x:v>45656</x:v>
      </x:c>
      <x:c r="D3182" s="11" t="str">
        <x:v>2024-12</x:v>
      </x:c>
      <x:c r="E3182" s="11" t="str">
        <x:v>South</x:v>
      </x:c>
      <x:c r="F3182" s="11" t="str">
        <x:v>Technology</x:v>
      </x:c>
      <x:c r="G3182" s="11" t="str">
        <x:v>Keyboard</x:v>
      </x:c>
      <x:c r="H3182" s="11" t="n">
        <x:v>1</x:v>
      </x:c>
      <x:c r="I3182" s="19" t="n">
        <x:v>0.15</x:v>
      </x:c>
      <x:c r="J3182" s="11" t="n">
        <x:v>0</x:v>
      </x:c>
      <x:c r="K3182" s="20" t="n">
        <x:v>65</x:v>
      </x:c>
      <x:c r="L3182" s="20" t="n">
        <x:v>9.75</x:v>
      </x:c>
      <x:c r="M3182" s="20" t="n">
        <x:v>32</x:v>
      </x:c>
      <x:c r="N3182" s="20" t="n">
        <x:f>IF(J3182=1,0,K3182-L3182)</x:f>
        <x:v>55.25</x:v>
      </x:c>
      <x:c r="O3182" s="20" t="n">
        <x:f>N3182-M3182</x:f>
        <x:v>23.25</x:v>
      </x:c>
    </x:row>
    <x:row r="3183" ht="22" customHeight="1">
      <x:c r="A3183" s="11" t="n">
        <x:v>3179</x:v>
      </x:c>
      <x:c r="B3183" s="11" t="n">
        <x:v>1612</x:v>
      </x:c>
      <x:c r="C3183" s="18" t="n">
        <x:v>45656</x:v>
      </x:c>
      <x:c r="D3183" s="11" t="str">
        <x:v>2024-12</x:v>
      </x:c>
      <x:c r="E3183" s="11" t="str">
        <x:v>South</x:v>
      </x:c>
      <x:c r="F3183" s="11" t="str">
        <x:v>Technology</x:v>
      </x:c>
      <x:c r="G3183" s="11" t="str">
        <x:v>Monitor</x:v>
      </x:c>
      <x:c r="H3183" s="11" t="n">
        <x:v>2</x:v>
      </x:c>
      <x:c r="I3183" s="19" t="n">
        <x:v>0.05</x:v>
      </x:c>
      <x:c r="J3183" s="11" t="n">
        <x:v>0</x:v>
      </x:c>
      <x:c r="K3183" s="20" t="n">
        <x:v>480</x:v>
      </x:c>
      <x:c r="L3183" s="20" t="n">
        <x:v>24</x:v>
      </x:c>
      <x:c r="M3183" s="20" t="n">
        <x:v>320</x:v>
      </x:c>
      <x:c r="N3183" s="20" t="n">
        <x:f>IF(J3183=1,0,K3183-L3183)</x:f>
        <x:v>456</x:v>
      </x:c>
      <x:c r="O3183" s="20" t="n">
        <x:f>N3183-M3183</x:f>
        <x:v>136</x:v>
      </x:c>
    </x:row>
    <x:row r="3184" ht="22" customHeight="1">
      <x:c r="A3184" s="11" t="n">
        <x:v>3180</x:v>
      </x:c>
      <x:c r="B3184" s="11" t="n">
        <x:v>1612</x:v>
      </x:c>
      <x:c r="C3184" s="18" t="n">
        <x:v>45656</x:v>
      </x:c>
      <x:c r="D3184" s="11" t="str">
        <x:v>2024-12</x:v>
      </x:c>
      <x:c r="E3184" s="11" t="str">
        <x:v>South</x:v>
      </x:c>
      <x:c r="F3184" s="11" t="str">
        <x:v>Furniture</x:v>
      </x:c>
      <x:c r="G3184" s="11" t="str">
        <x:v>Chair</x:v>
      </x:c>
      <x:c r="H3184" s="11" t="n">
        <x:v>5</x:v>
      </x:c>
      <x:c r="I3184" s="19" t="n">
        <x:v>0.05</x:v>
      </x:c>
      <x:c r="J3184" s="11" t="n">
        <x:v>0</x:v>
      </x:c>
      <x:c r="K3184" s="20" t="n">
        <x:v>850</x:v>
      </x:c>
      <x:c r="L3184" s="20" t="n">
        <x:v>42.5</x:v>
      </x:c>
      <x:c r="M3184" s="20" t="n">
        <x:v>550</x:v>
      </x:c>
      <x:c r="N3184" s="20" t="n">
        <x:f>IF(J3184=1,0,K3184-L3184)</x:f>
        <x:v>807.5</x:v>
      </x:c>
      <x:c r="O3184" s="20" t="n">
        <x:f>N3184-M3184</x:f>
        <x:v>257.5</x:v>
      </x:c>
    </x:row>
    <x:row r="3185" ht="22" customHeight="1">
      <x:c r="A3185" s="11" t="n">
        <x:v>3181</x:v>
      </x:c>
      <x:c r="B3185" s="11" t="n">
        <x:v>1613</x:v>
      </x:c>
      <x:c r="C3185" s="18" t="n">
        <x:v>45738</x:v>
      </x:c>
      <x:c r="D3185" s="11" t="str">
        <x:v>2025-03</x:v>
      </x:c>
      <x:c r="E3185" s="11" t="str">
        <x:v>East</x:v>
      </x:c>
      <x:c r="F3185" s="11" t="str">
        <x:v>Technology</x:v>
      </x:c>
      <x:c r="G3185" s="11" t="str">
        <x:v>Keyboard</x:v>
      </x:c>
      <x:c r="H3185" s="11" t="n">
        <x:v>5</x:v>
      </x:c>
      <x:c r="I3185" s="19" t="n">
        <x:v>0.1</x:v>
      </x:c>
      <x:c r="J3185" s="11" t="n">
        <x:v>0</x:v>
      </x:c>
      <x:c r="K3185" s="20" t="n">
        <x:v>325</x:v>
      </x:c>
      <x:c r="L3185" s="20" t="n">
        <x:v>32.5</x:v>
      </x:c>
      <x:c r="M3185" s="20" t="n">
        <x:v>160</x:v>
      </x:c>
      <x:c r="N3185" s="20" t="n">
        <x:f>IF(J3185=1,0,K3185-L3185)</x:f>
        <x:v>292.5</x:v>
      </x:c>
      <x:c r="O3185" s="20" t="n">
        <x:f>N3185-M3185</x:f>
        <x:v>132.5</x:v>
      </x:c>
    </x:row>
    <x:row r="3186" ht="22" customHeight="1">
      <x:c r="A3186" s="11" t="n">
        <x:v>3182</x:v>
      </x:c>
      <x:c r="B3186" s="11" t="n">
        <x:v>1613</x:v>
      </x:c>
      <x:c r="C3186" s="18" t="n">
        <x:v>45738</x:v>
      </x:c>
      <x:c r="D3186" s="11" t="str">
        <x:v>2025-03</x:v>
      </x:c>
      <x:c r="E3186" s="11" t="str">
        <x:v>East</x:v>
      </x:c>
      <x:c r="F3186" s="11" t="str">
        <x:v>Furniture</x:v>
      </x:c>
      <x:c r="G3186" s="11" t="str">
        <x:v>Chair</x:v>
      </x:c>
      <x:c r="H3186" s="11" t="n">
        <x:v>1</x:v>
      </x:c>
      <x:c r="I3186" s="19" t="n">
        <x:v>0.25</x:v>
      </x:c>
      <x:c r="J3186" s="11" t="n">
        <x:v>1</x:v>
      </x:c>
      <x:c r="K3186" s="20" t="n">
        <x:v>170</x:v>
      </x:c>
      <x:c r="L3186" s="20" t="n">
        <x:v>42.5</x:v>
      </x:c>
      <x:c r="M3186" s="20" t="n">
        <x:v>0</x:v>
      </x:c>
      <x:c r="N3186" s="20" t="n">
        <x:f>IF(J3186=1,0,K3186-L3186)</x:f>
        <x:v>0</x:v>
      </x:c>
      <x:c r="O3186" s="20" t="n">
        <x:f>N3186-M3186</x:f>
        <x:v>0</x:v>
      </x:c>
    </x:row>
    <x:row r="3187" ht="22" customHeight="1">
      <x:c r="A3187" s="11" t="n">
        <x:v>3183</x:v>
      </x:c>
      <x:c r="B3187" s="11" t="n">
        <x:v>1614</x:v>
      </x:c>
      <x:c r="C3187" s="18" t="n">
        <x:v>45356</x:v>
      </x:c>
      <x:c r="D3187" s="11" t="str">
        <x:v>2024-03</x:v>
      </x:c>
      <x:c r="E3187" s="11" t="str">
        <x:v>East</x:v>
      </x:c>
      <x:c r="F3187" s="11" t="str">
        <x:v>Furniture</x:v>
      </x:c>
      <x:c r="G3187" s="11" t="str">
        <x:v>Chair</x:v>
      </x:c>
      <x:c r="H3187" s="11" t="n">
        <x:v>1</x:v>
      </x:c>
      <x:c r="I3187" s="19" t="n">
        <x:v>0.05</x:v>
      </x:c>
      <x:c r="J3187" s="11" t="n">
        <x:v>0</x:v>
      </x:c>
      <x:c r="K3187" s="20" t="n">
        <x:v>170</x:v>
      </x:c>
      <x:c r="L3187" s="20" t="n">
        <x:v>8.5</x:v>
      </x:c>
      <x:c r="M3187" s="20" t="n">
        <x:v>110</x:v>
      </x:c>
      <x:c r="N3187" s="20" t="n">
        <x:f>IF(J3187=1,0,K3187-L3187)</x:f>
        <x:v>161.5</x:v>
      </x:c>
      <x:c r="O3187" s="20" t="n">
        <x:f>N3187-M3187</x:f>
        <x:v>51.5</x:v>
      </x:c>
    </x:row>
    <x:row r="3188" ht="22" customHeight="1">
      <x:c r="A3188" s="11" t="n">
        <x:v>3184</x:v>
      </x:c>
      <x:c r="B3188" s="11" t="n">
        <x:v>1615</x:v>
      </x:c>
      <x:c r="C3188" s="18" t="n">
        <x:v>45906</x:v>
      </x:c>
      <x:c r="D3188" s="11" t="str">
        <x:v>2025-09</x:v>
      </x:c>
      <x:c r="E3188" s="11" t="str">
        <x:v>West</x:v>
      </x:c>
      <x:c r="F3188" s="11" t="str">
        <x:v>Office Supplies</x:v>
      </x:c>
      <x:c r="G3188" s="11" t="str">
        <x:v>Storage box</x:v>
      </x:c>
      <x:c r="H3188" s="11" t="n">
        <x:v>4</x:v>
      </x:c>
      <x:c r="I3188" s="19" t="n">
        <x:v>0</x:v>
      </x:c>
      <x:c r="J3188" s="11" t="n">
        <x:v>0</x:v>
      </x:c>
      <x:c r="K3188" s="20" t="n">
        <x:v>104</x:v>
      </x:c>
      <x:c r="L3188" s="20" t="n">
        <x:v>0</x:v>
      </x:c>
      <x:c r="M3188" s="20" t="n">
        <x:v>48</x:v>
      </x:c>
      <x:c r="N3188" s="20" t="n">
        <x:f>IF(J3188=1,0,K3188-L3188)</x:f>
        <x:v>104</x:v>
      </x:c>
      <x:c r="O3188" s="20" t="n">
        <x:f>N3188-M3188</x:f>
        <x:v>56</x:v>
      </x:c>
    </x:row>
    <x:row r="3189" ht="22" customHeight="1">
      <x:c r="A3189" s="11" t="n">
        <x:v>3185</x:v>
      </x:c>
      <x:c r="B3189" s="11" t="n">
        <x:v>1616</x:v>
      </x:c>
      <x:c r="C3189" s="18" t="n">
        <x:v>45778</x:v>
      </x:c>
      <x:c r="D3189" s="11" t="str">
        <x:v>2025-05</x:v>
      </x:c>
      <x:c r="E3189" s="11" t="str">
        <x:v>West</x:v>
      </x:c>
      <x:c r="F3189" s="11" t="str">
        <x:v>Technology</x:v>
      </x:c>
      <x:c r="G3189" s="11" t="str">
        <x:v>Monitor</x:v>
      </x:c>
      <x:c r="H3189" s="11" t="n">
        <x:v>2</x:v>
      </x:c>
      <x:c r="I3189" s="19" t="n">
        <x:v>0</x:v>
      </x:c>
      <x:c r="J3189" s="11" t="n">
        <x:v>1</x:v>
      </x:c>
      <x:c r="K3189" s="20" t="n">
        <x:v>480</x:v>
      </x:c>
      <x:c r="L3189" s="20" t="n">
        <x:v>0</x:v>
      </x:c>
      <x:c r="M3189" s="20" t="n">
        <x:v>0</x:v>
      </x:c>
      <x:c r="N3189" s="20" t="n">
        <x:f>IF(J3189=1,0,K3189-L3189)</x:f>
        <x:v>0</x:v>
      </x:c>
      <x:c r="O3189" s="20" t="n">
        <x:f>N3189-M3189</x:f>
        <x:v>0</x:v>
      </x:c>
    </x:row>
    <x:row r="3190" ht="22" customHeight="1">
      <x:c r="A3190" s="11" t="n">
        <x:v>3186</x:v>
      </x:c>
      <x:c r="B3190" s="11" t="n">
        <x:v>1617</x:v>
      </x:c>
      <x:c r="C3190" s="18" t="n">
        <x:v>45552</x:v>
      </x:c>
      <x:c r="D3190" s="11" t="str">
        <x:v>2024-09</x:v>
      </x:c>
      <x:c r="E3190" s="11" t="str">
        <x:v>West</x:v>
      </x:c>
      <x:c r="F3190" s="11" t="str">
        <x:v>Technology</x:v>
      </x:c>
      <x:c r="G3190" s="11" t="str">
        <x:v>Monitor</x:v>
      </x:c>
      <x:c r="H3190" s="11" t="n">
        <x:v>2</x:v>
      </x:c>
      <x:c r="I3190" s="19" t="n">
        <x:v>0.05</x:v>
      </x:c>
      <x:c r="J3190" s="11" t="n">
        <x:v>0</x:v>
      </x:c>
      <x:c r="K3190" s="20" t="n">
        <x:v>480</x:v>
      </x:c>
      <x:c r="L3190" s="20" t="n">
        <x:v>24</x:v>
      </x:c>
      <x:c r="M3190" s="20" t="n">
        <x:v>320</x:v>
      </x:c>
      <x:c r="N3190" s="20" t="n">
        <x:f>IF(J3190=1,0,K3190-L3190)</x:f>
        <x:v>456</x:v>
      </x:c>
      <x:c r="O3190" s="20" t="n">
        <x:f>N3190-M3190</x:f>
        <x:v>136</x:v>
      </x:c>
    </x:row>
    <x:row r="3191" ht="22" customHeight="1">
      <x:c r="A3191" s="11" t="n">
        <x:v>3187</x:v>
      </x:c>
      <x:c r="B3191" s="11" t="n">
        <x:v>1617</x:v>
      </x:c>
      <x:c r="C3191" s="18" t="n">
        <x:v>45552</x:v>
      </x:c>
      <x:c r="D3191" s="11" t="str">
        <x:v>2024-09</x:v>
      </x:c>
      <x:c r="E3191" s="11" t="str">
        <x:v>West</x:v>
      </x:c>
      <x:c r="F3191" s="11" t="str">
        <x:v>Furniture</x:v>
      </x:c>
      <x:c r="G3191" s="11" t="str">
        <x:v>Desk</x:v>
      </x:c>
      <x:c r="H3191" s="11" t="n">
        <x:v>3</x:v>
      </x:c>
      <x:c r="I3191" s="19" t="n">
        <x:v>0.1</x:v>
      </x:c>
      <x:c r="J3191" s="11" t="n">
        <x:v>0</x:v>
      </x:c>
      <x:c r="K3191" s="20" t="n">
        <x:v>840</x:v>
      </x:c>
      <x:c r="L3191" s="20" t="n">
        <x:v>84</x:v>
      </x:c>
      <x:c r="M3191" s="20" t="n">
        <x:v>570</x:v>
      </x:c>
      <x:c r="N3191" s="20" t="n">
        <x:f>IF(J3191=1,0,K3191-L3191)</x:f>
        <x:v>756</x:v>
      </x:c>
      <x:c r="O3191" s="20" t="n">
        <x:f>N3191-M3191</x:f>
        <x:v>186</x:v>
      </x:c>
    </x:row>
    <x:row r="3192" ht="22" customHeight="1">
      <x:c r="A3192" s="11" t="n">
        <x:v>3188</x:v>
      </x:c>
      <x:c r="B3192" s="11" t="n">
        <x:v>1618</x:v>
      </x:c>
      <x:c r="C3192" s="18" t="n">
        <x:v>45560</x:v>
      </x:c>
      <x:c r="D3192" s="11" t="str">
        <x:v>2024-09</x:v>
      </x:c>
      <x:c r="E3192" s="11" t="str">
        <x:v>West</x:v>
      </x:c>
      <x:c r="F3192" s="11" t="str">
        <x:v>Technology</x:v>
      </x:c>
      <x:c r="G3192" s="11" t="str">
        <x:v>Monitor</x:v>
      </x:c>
      <x:c r="H3192" s="11" t="n">
        <x:v>2</x:v>
      </x:c>
      <x:c r="I3192" s="19" t="n">
        <x:v>0.05</x:v>
      </x:c>
      <x:c r="J3192" s="11" t="n">
        <x:v>0</x:v>
      </x:c>
      <x:c r="K3192" s="20" t="n">
        <x:v>480</x:v>
      </x:c>
      <x:c r="L3192" s="20" t="n">
        <x:v>24</x:v>
      </x:c>
      <x:c r="M3192" s="20" t="n">
        <x:v>320</x:v>
      </x:c>
      <x:c r="N3192" s="20" t="n">
        <x:f>IF(J3192=1,0,K3192-L3192)</x:f>
        <x:v>456</x:v>
      </x:c>
      <x:c r="O3192" s="20" t="n">
        <x:f>N3192-M3192</x:f>
        <x:v>136</x:v>
      </x:c>
    </x:row>
    <x:row r="3193" ht="22" customHeight="1">
      <x:c r="A3193" s="11" t="n">
        <x:v>3189</x:v>
      </x:c>
      <x:c r="B3193" s="11" t="n">
        <x:v>1618</x:v>
      </x:c>
      <x:c r="C3193" s="18" t="n">
        <x:v>45560</x:v>
      </x:c>
      <x:c r="D3193" s="11" t="str">
        <x:v>2024-09</x:v>
      </x:c>
      <x:c r="E3193" s="11" t="str">
        <x:v>West</x:v>
      </x:c>
      <x:c r="F3193" s="11" t="str">
        <x:v>Furniture</x:v>
      </x:c>
      <x:c r="G3193" s="11" t="str">
        <x:v>Desk</x:v>
      </x:c>
      <x:c r="H3193" s="11" t="n">
        <x:v>5</x:v>
      </x:c>
      <x:c r="I3193" s="19" t="n">
        <x:v>0.25</x:v>
      </x:c>
      <x:c r="J3193" s="11" t="n">
        <x:v>0</x:v>
      </x:c>
      <x:c r="K3193" s="20" t="n">
        <x:v>1400</x:v>
      </x:c>
      <x:c r="L3193" s="20" t="n">
        <x:v>350</x:v>
      </x:c>
      <x:c r="M3193" s="20" t="n">
        <x:v>950</x:v>
      </x:c>
      <x:c r="N3193" s="20" t="n">
        <x:f>IF(J3193=1,0,K3193-L3193)</x:f>
        <x:v>1050</x:v>
      </x:c>
      <x:c r="O3193" s="20" t="n">
        <x:f>N3193-M3193</x:f>
        <x:v>100</x:v>
      </x:c>
    </x:row>
    <x:row r="3194" ht="22" customHeight="1">
      <x:c r="A3194" s="11" t="n">
        <x:v>3190</x:v>
      </x:c>
      <x:c r="B3194" s="11" t="n">
        <x:v>1619</x:v>
      </x:c>
      <x:c r="C3194" s="18" t="n">
        <x:v>45356</x:v>
      </x:c>
      <x:c r="D3194" s="11" t="str">
        <x:v>2024-03</x:v>
      </x:c>
      <x:c r="E3194" s="11" t="str">
        <x:v>East</x:v>
      </x:c>
      <x:c r="F3194" s="11" t="str">
        <x:v>Furniture</x:v>
      </x:c>
      <x:c r="G3194" s="11" t="str">
        <x:v>Desk</x:v>
      </x:c>
      <x:c r="H3194" s="11" t="n">
        <x:v>3</x:v>
      </x:c>
      <x:c r="I3194" s="19" t="n">
        <x:v>0</x:v>
      </x:c>
      <x:c r="J3194" s="11" t="n">
        <x:v>0</x:v>
      </x:c>
      <x:c r="K3194" s="20" t="n">
        <x:v>840</x:v>
      </x:c>
      <x:c r="L3194" s="20" t="n">
        <x:v>0</x:v>
      </x:c>
      <x:c r="M3194" s="20" t="n">
        <x:v>570</x:v>
      </x:c>
      <x:c r="N3194" s="20" t="n">
        <x:f>IF(J3194=1,0,K3194-L3194)</x:f>
        <x:v>840</x:v>
      </x:c>
      <x:c r="O3194" s="20" t="n">
        <x:f>N3194-M3194</x:f>
        <x:v>270</x:v>
      </x:c>
    </x:row>
    <x:row r="3195" ht="22" customHeight="1">
      <x:c r="A3195" s="11" t="n">
        <x:v>3191</x:v>
      </x:c>
      <x:c r="B3195" s="11" t="n">
        <x:v>1619</x:v>
      </x:c>
      <x:c r="C3195" s="18" t="n">
        <x:v>45356</x:v>
      </x:c>
      <x:c r="D3195" s="11" t="str">
        <x:v>2024-03</x:v>
      </x:c>
      <x:c r="E3195" s="11" t="str">
        <x:v>East</x:v>
      </x:c>
      <x:c r="F3195" s="11" t="str">
        <x:v>Office Supplies</x:v>
      </x:c>
      <x:c r="G3195" s="11" t="str">
        <x:v>Notebook pack</x:v>
      </x:c>
      <x:c r="H3195" s="11" t="n">
        <x:v>1</x:v>
      </x:c>
      <x:c r="I3195" s="19" t="n">
        <x:v>0.1</x:v>
      </x:c>
      <x:c r="J3195" s="11" t="n">
        <x:v>0</x:v>
      </x:c>
      <x:c r="K3195" s="20" t="n">
        <x:v>18</x:v>
      </x:c>
      <x:c r="L3195" s="20" t="n">
        <x:v>1.8</x:v>
      </x:c>
      <x:c r="M3195" s="20" t="n">
        <x:v>7</x:v>
      </x:c>
      <x:c r="N3195" s="20" t="n">
        <x:f>IF(J3195=1,0,K3195-L3195)</x:f>
        <x:v>16.2</x:v>
      </x:c>
      <x:c r="O3195" s="20" t="n">
        <x:f>N3195-M3195</x:f>
        <x:v>9.2</x:v>
      </x:c>
    </x:row>
    <x:row r="3196" ht="22" customHeight="1">
      <x:c r="A3196" s="11" t="n">
        <x:v>3192</x:v>
      </x:c>
      <x:c r="B3196" s="11" t="n">
        <x:v>1619</x:v>
      </x:c>
      <x:c r="C3196" s="18" t="n">
        <x:v>45356</x:v>
      </x:c>
      <x:c r="D3196" s="11" t="str">
        <x:v>2024-03</x:v>
      </x:c>
      <x:c r="E3196" s="11" t="str">
        <x:v>East</x:v>
      </x:c>
      <x:c r="F3196" s="11" t="str">
        <x:v>Furniture</x:v>
      </x:c>
      <x:c r="G3196" s="11" t="str">
        <x:v>Chair</x:v>
      </x:c>
      <x:c r="H3196" s="11" t="n">
        <x:v>5</x:v>
      </x:c>
      <x:c r="I3196" s="19" t="n">
        <x:v>0</x:v>
      </x:c>
      <x:c r="J3196" s="11" t="n">
        <x:v>0</x:v>
      </x:c>
      <x:c r="K3196" s="20" t="n">
        <x:v>850</x:v>
      </x:c>
      <x:c r="L3196" s="20" t="n">
        <x:v>0</x:v>
      </x:c>
      <x:c r="M3196" s="20" t="n">
        <x:v>550</x:v>
      </x:c>
      <x:c r="N3196" s="20" t="n">
        <x:f>IF(J3196=1,0,K3196-L3196)</x:f>
        <x:v>850</x:v>
      </x:c>
      <x:c r="O3196" s="20" t="n">
        <x:f>N3196-M3196</x:f>
        <x:v>300</x:v>
      </x:c>
    </x:row>
    <x:row r="3197" ht="22" customHeight="1">
      <x:c r="A3197" s="11" t="n">
        <x:v>3193</x:v>
      </x:c>
      <x:c r="B3197" s="11" t="n">
        <x:v>1620</x:v>
      </x:c>
      <x:c r="C3197" s="18" t="n">
        <x:v>45373</x:v>
      </x:c>
      <x:c r="D3197" s="11" t="str">
        <x:v>2024-03</x:v>
      </x:c>
      <x:c r="E3197" s="11" t="str">
        <x:v>Central</x:v>
      </x:c>
      <x:c r="F3197" s="11" t="str">
        <x:v>Office Supplies</x:v>
      </x:c>
      <x:c r="G3197" s="11" t="str">
        <x:v>Notebook pack</x:v>
      </x:c>
      <x:c r="H3197" s="11" t="n">
        <x:v>2</x:v>
      </x:c>
      <x:c r="I3197" s="19" t="n">
        <x:v>0.05</x:v>
      </x:c>
      <x:c r="J3197" s="11" t="n">
        <x:v>0</x:v>
      </x:c>
      <x:c r="K3197" s="20" t="n">
        <x:v>36</x:v>
      </x:c>
      <x:c r="L3197" s="20" t="n">
        <x:v>1.8</x:v>
      </x:c>
      <x:c r="M3197" s="20" t="n">
        <x:v>14</x:v>
      </x:c>
      <x:c r="N3197" s="20" t="n">
        <x:f>IF(J3197=1,0,K3197-L3197)</x:f>
        <x:v>34.2</x:v>
      </x:c>
      <x:c r="O3197" s="20" t="n">
        <x:f>N3197-M3197</x:f>
        <x:v>20.200000000000003</x:v>
      </x:c>
    </x:row>
    <x:row r="3198" ht="22" customHeight="1">
      <x:c r="A3198" s="11" t="n">
        <x:v>3194</x:v>
      </x:c>
      <x:c r="B3198" s="11" t="n">
        <x:v>1620</x:v>
      </x:c>
      <x:c r="C3198" s="18" t="n">
        <x:v>45373</x:v>
      </x:c>
      <x:c r="D3198" s="11" t="str">
        <x:v>2024-03</x:v>
      </x:c>
      <x:c r="E3198" s="11" t="str">
        <x:v>Central</x:v>
      </x:c>
      <x:c r="F3198" s="11" t="str">
        <x:v>Furniture</x:v>
      </x:c>
      <x:c r="G3198" s="11" t="str">
        <x:v>Desk</x:v>
      </x:c>
      <x:c r="H3198" s="11" t="n">
        <x:v>4</x:v>
      </x:c>
      <x:c r="I3198" s="19" t="n">
        <x:v>0.25</x:v>
      </x:c>
      <x:c r="J3198" s="11" t="n">
        <x:v>0</x:v>
      </x:c>
      <x:c r="K3198" s="20" t="n">
        <x:v>1120</x:v>
      </x:c>
      <x:c r="L3198" s="20" t="n">
        <x:v>280</x:v>
      </x:c>
      <x:c r="M3198" s="20" t="n">
        <x:v>760</x:v>
      </x:c>
      <x:c r="N3198" s="20" t="n">
        <x:f>IF(J3198=1,0,K3198-L3198)</x:f>
        <x:v>840</x:v>
      </x:c>
      <x:c r="O3198" s="20" t="n">
        <x:f>N3198-M3198</x:f>
        <x:v>80</x:v>
      </x:c>
    </x:row>
    <x:row r="3199" ht="22" customHeight="1">
      <x:c r="A3199" s="11" t="n">
        <x:v>3195</x:v>
      </x:c>
      <x:c r="B3199" s="11" t="n">
        <x:v>1621</x:v>
      </x:c>
      <x:c r="C3199" s="18" t="n">
        <x:v>45851</x:v>
      </x:c>
      <x:c r="D3199" s="11" t="str">
        <x:v>2025-07</x:v>
      </x:c>
      <x:c r="E3199" s="11" t="str">
        <x:v>South</x:v>
      </x:c>
      <x:c r="F3199" s="11" t="str">
        <x:v>Office Supplies</x:v>
      </x:c>
      <x:c r="G3199" s="11" t="str">
        <x:v>Notebook pack</x:v>
      </x:c>
      <x:c r="H3199" s="11" t="n">
        <x:v>3</x:v>
      </x:c>
      <x:c r="I3199" s="19" t="n">
        <x:v>0.15</x:v>
      </x:c>
      <x:c r="J3199" s="11" t="n">
        <x:v>0</x:v>
      </x:c>
      <x:c r="K3199" s="20" t="n">
        <x:v>54</x:v>
      </x:c>
      <x:c r="L3199" s="20" t="n">
        <x:v>8.1</x:v>
      </x:c>
      <x:c r="M3199" s="20" t="n">
        <x:v>21</x:v>
      </x:c>
      <x:c r="N3199" s="20" t="n">
        <x:f>IF(J3199=1,0,K3199-L3199)</x:f>
        <x:v>45.9</x:v>
      </x:c>
      <x:c r="O3199" s="20" t="n">
        <x:f>N3199-M3199</x:f>
        <x:v>24.9</x:v>
      </x:c>
    </x:row>
    <x:row r="3200" ht="22" customHeight="1">
      <x:c r="A3200" s="11" t="n">
        <x:v>3196</x:v>
      </x:c>
      <x:c r="B3200" s="11" t="n">
        <x:v>1621</x:v>
      </x:c>
      <x:c r="C3200" s="18" t="n">
        <x:v>45851</x:v>
      </x:c>
      <x:c r="D3200" s="11" t="str">
        <x:v>2025-07</x:v>
      </x:c>
      <x:c r="E3200" s="11" t="str">
        <x:v>South</x:v>
      </x:c>
      <x:c r="F3200" s="11" t="str">
        <x:v>Technology</x:v>
      </x:c>
      <x:c r="G3200" s="11" t="str">
        <x:v>Keyboard</x:v>
      </x:c>
      <x:c r="H3200" s="11" t="n">
        <x:v>3</x:v>
      </x:c>
      <x:c r="I3200" s="19" t="n">
        <x:v>0</x:v>
      </x:c>
      <x:c r="J3200" s="11" t="n">
        <x:v>0</x:v>
      </x:c>
      <x:c r="K3200" s="20" t="n">
        <x:v>195</x:v>
      </x:c>
      <x:c r="L3200" s="20" t="n">
        <x:v>0</x:v>
      </x:c>
      <x:c r="M3200" s="20" t="n">
        <x:v>96</x:v>
      </x:c>
      <x:c r="N3200" s="20" t="n">
        <x:f>IF(J3200=1,0,K3200-L3200)</x:f>
        <x:v>195</x:v>
      </x:c>
      <x:c r="O3200" s="20" t="n">
        <x:f>N3200-M3200</x:f>
        <x:v>99</x:v>
      </x:c>
    </x:row>
    <x:row r="3201" ht="22" customHeight="1">
      <x:c r="A3201" s="11" t="n">
        <x:v>3197</x:v>
      </x:c>
      <x:c r="B3201" s="11" t="n">
        <x:v>1621</x:v>
      </x:c>
      <x:c r="C3201" s="18" t="n">
        <x:v>45851</x:v>
      </x:c>
      <x:c r="D3201" s="11" t="str">
        <x:v>2025-07</x:v>
      </x:c>
      <x:c r="E3201" s="11" t="str">
        <x:v>South</x:v>
      </x:c>
      <x:c r="F3201" s="11" t="str">
        <x:v>Office Supplies</x:v>
      </x:c>
      <x:c r="G3201" s="11" t="str">
        <x:v>Storage box</x:v>
      </x:c>
      <x:c r="H3201" s="11" t="n">
        <x:v>5</x:v>
      </x:c>
      <x:c r="I3201" s="19" t="n">
        <x:v>0.05</x:v>
      </x:c>
      <x:c r="J3201" s="11" t="n">
        <x:v>0</x:v>
      </x:c>
      <x:c r="K3201" s="20" t="n">
        <x:v>130</x:v>
      </x:c>
      <x:c r="L3201" s="20" t="n">
        <x:v>6.5</x:v>
      </x:c>
      <x:c r="M3201" s="20" t="n">
        <x:v>60</x:v>
      </x:c>
      <x:c r="N3201" s="20" t="n">
        <x:f>IF(J3201=1,0,K3201-L3201)</x:f>
        <x:v>123.5</x:v>
      </x:c>
      <x:c r="O3201" s="20" t="n">
        <x:f>N3201-M3201</x:f>
        <x:v>63.5</x:v>
      </x:c>
    </x:row>
    <x:row r="3202" ht="22" customHeight="1">
      <x:c r="A3202" s="11" t="n">
        <x:v>3198</x:v>
      </x:c>
      <x:c r="B3202" s="11" t="n">
        <x:v>1622</x:v>
      </x:c>
      <x:c r="C3202" s="18" t="n">
        <x:v>45967</x:v>
      </x:c>
      <x:c r="D3202" s="11" t="str">
        <x:v>2025-11</x:v>
      </x:c>
      <x:c r="E3202" s="11" t="str">
        <x:v>Central</x:v>
      </x:c>
      <x:c r="F3202" s="11" t="str">
        <x:v>Office Supplies</x:v>
      </x:c>
      <x:c r="G3202" s="11" t="str">
        <x:v>Notebook pack</x:v>
      </x:c>
      <x:c r="H3202" s="11" t="n">
        <x:v>2</x:v>
      </x:c>
      <x:c r="I3202" s="19" t="n">
        <x:v>0.15</x:v>
      </x:c>
      <x:c r="J3202" s="11" t="n">
        <x:v>0</x:v>
      </x:c>
      <x:c r="K3202" s="20" t="n">
        <x:v>36</x:v>
      </x:c>
      <x:c r="L3202" s="20" t="n">
        <x:v>5.4</x:v>
      </x:c>
      <x:c r="M3202" s="20" t="n">
        <x:v>14</x:v>
      </x:c>
      <x:c r="N3202" s="20" t="n">
        <x:f>IF(J3202=1,0,K3202-L3202)</x:f>
        <x:v>30.6</x:v>
      </x:c>
      <x:c r="O3202" s="20" t="n">
        <x:f>N3202-M3202</x:f>
        <x:v>16.6</x:v>
      </x:c>
    </x:row>
    <x:row r="3203" ht="22" customHeight="1">
      <x:c r="A3203" s="11" t="n">
        <x:v>3199</x:v>
      </x:c>
      <x:c r="B3203" s="11" t="n">
        <x:v>1623</x:v>
      </x:c>
      <x:c r="C3203" s="18" t="n">
        <x:v>45351</x:v>
      </x:c>
      <x:c r="D3203" s="11" t="str">
        <x:v>2024-02</x:v>
      </x:c>
      <x:c r="E3203" s="11" t="str">
        <x:v>East</x:v>
      </x:c>
      <x:c r="F3203" s="11" t="str">
        <x:v>Furniture</x:v>
      </x:c>
      <x:c r="G3203" s="11" t="str">
        <x:v>Chair</x:v>
      </x:c>
      <x:c r="H3203" s="11" t="n">
        <x:v>1</x:v>
      </x:c>
      <x:c r="I3203" s="19" t="n">
        <x:v>0.15</x:v>
      </x:c>
      <x:c r="J3203" s="11" t="n">
        <x:v>0</x:v>
      </x:c>
      <x:c r="K3203" s="20" t="n">
        <x:v>170</x:v>
      </x:c>
      <x:c r="L3203" s="20" t="n">
        <x:v>25.5</x:v>
      </x:c>
      <x:c r="M3203" s="20" t="n">
        <x:v>110</x:v>
      </x:c>
      <x:c r="N3203" s="20" t="n">
        <x:f>IF(J3203=1,0,K3203-L3203)</x:f>
        <x:v>144.5</x:v>
      </x:c>
      <x:c r="O3203" s="20" t="n">
        <x:f>N3203-M3203</x:f>
        <x:v>34.5</x:v>
      </x:c>
    </x:row>
    <x:row r="3204" ht="22" customHeight="1">
      <x:c r="A3204" s="11" t="n">
        <x:v>3200</x:v>
      </x:c>
      <x:c r="B3204" s="11" t="n">
        <x:v>1623</x:v>
      </x:c>
      <x:c r="C3204" s="18" t="n">
        <x:v>45351</x:v>
      </x:c>
      <x:c r="D3204" s="11" t="str">
        <x:v>2024-02</x:v>
      </x:c>
      <x:c r="E3204" s="11" t="str">
        <x:v>East</x:v>
      </x:c>
      <x:c r="F3204" s="11" t="str">
        <x:v>Technology</x:v>
      </x:c>
      <x:c r="G3204" s="11" t="str">
        <x:v>Keyboard</x:v>
      </x:c>
      <x:c r="H3204" s="11" t="n">
        <x:v>4</x:v>
      </x:c>
      <x:c r="I3204" s="19" t="n">
        <x:v>0</x:v>
      </x:c>
      <x:c r="J3204" s="11" t="n">
        <x:v>0</x:v>
      </x:c>
      <x:c r="K3204" s="20" t="n">
        <x:v>260</x:v>
      </x:c>
      <x:c r="L3204" s="20" t="n">
        <x:v>0</x:v>
      </x:c>
      <x:c r="M3204" s="20" t="n">
        <x:v>128</x:v>
      </x:c>
      <x:c r="N3204" s="20" t="n">
        <x:f>IF(J3204=1,0,K3204-L3204)</x:f>
        <x:v>260</x:v>
      </x:c>
      <x:c r="O3204" s="20" t="n">
        <x:f>N3204-M3204</x:f>
        <x:v>132</x:v>
      </x:c>
    </x:row>
    <x:row r="3205" ht="22" customHeight="1">
      <x:c r="A3205" s="11" t="n">
        <x:v>3201</x:v>
      </x:c>
      <x:c r="B3205" s="11" t="n">
        <x:v>1624</x:v>
      </x:c>
      <x:c r="C3205" s="18" t="n">
        <x:v>45355</x:v>
      </x:c>
      <x:c r="D3205" s="11" t="str">
        <x:v>2024-03</x:v>
      </x:c>
      <x:c r="E3205" s="11" t="str">
        <x:v>Central</x:v>
      </x:c>
      <x:c r="F3205" s="11" t="str">
        <x:v>Technology</x:v>
      </x:c>
      <x:c r="G3205" s="11" t="str">
        <x:v>Keyboard</x:v>
      </x:c>
      <x:c r="H3205" s="11" t="n">
        <x:v>3</x:v>
      </x:c>
      <x:c r="I3205" s="19" t="n">
        <x:v>0</x:v>
      </x:c>
      <x:c r="J3205" s="11" t="n">
        <x:v>0</x:v>
      </x:c>
      <x:c r="K3205" s="20" t="n">
        <x:v>195</x:v>
      </x:c>
      <x:c r="L3205" s="20" t="n">
        <x:v>0</x:v>
      </x:c>
      <x:c r="M3205" s="20" t="n">
        <x:v>96</x:v>
      </x:c>
      <x:c r="N3205" s="20" t="n">
        <x:f>IF(J3205=1,0,K3205-L3205)</x:f>
        <x:v>195</x:v>
      </x:c>
      <x:c r="O3205" s="20" t="n">
        <x:f>N3205-M3205</x:f>
        <x:v>99</x:v>
      </x:c>
    </x:row>
    <x:row r="3206" ht="22" customHeight="1">
      <x:c r="A3206" s="11" t="n">
        <x:v>3202</x:v>
      </x:c>
      <x:c r="B3206" s="11" t="n">
        <x:v>1625</x:v>
      </x:c>
      <x:c r="C3206" s="18" t="n">
        <x:v>46018</x:v>
      </x:c>
      <x:c r="D3206" s="11" t="str">
        <x:v>2025-12</x:v>
      </x:c>
      <x:c r="E3206" s="11" t="str">
        <x:v>South</x:v>
      </x:c>
      <x:c r="F3206" s="11" t="str">
        <x:v>Office Supplies</x:v>
      </x:c>
      <x:c r="G3206" s="11" t="str">
        <x:v>Notebook pack</x:v>
      </x:c>
      <x:c r="H3206" s="11" t="n">
        <x:v>5</x:v>
      </x:c>
      <x:c r="I3206" s="19" t="n">
        <x:v>0.05</x:v>
      </x:c>
      <x:c r="J3206" s="11" t="n">
        <x:v>0</x:v>
      </x:c>
      <x:c r="K3206" s="20" t="n">
        <x:v>90</x:v>
      </x:c>
      <x:c r="L3206" s="20" t="n">
        <x:v>4.5</x:v>
      </x:c>
      <x:c r="M3206" s="20" t="n">
        <x:v>35</x:v>
      </x:c>
      <x:c r="N3206" s="20" t="n">
        <x:f>IF(J3206=1,0,K3206-L3206)</x:f>
        <x:v>85.5</x:v>
      </x:c>
      <x:c r="O3206" s="20" t="n">
        <x:f>N3206-M3206</x:f>
        <x:v>50.5</x:v>
      </x:c>
    </x:row>
    <x:row r="3207" ht="22" customHeight="1">
      <x:c r="A3207" s="11" t="n">
        <x:v>3203</x:v>
      </x:c>
      <x:c r="B3207" s="11" t="n">
        <x:v>1626</x:v>
      </x:c>
      <x:c r="C3207" s="18" t="n">
        <x:v>45905</x:v>
      </x:c>
      <x:c r="D3207" s="11" t="str">
        <x:v>2025-09</x:v>
      </x:c>
      <x:c r="E3207" s="11" t="str">
        <x:v>East</x:v>
      </x:c>
      <x:c r="F3207" s="11" t="str">
        <x:v>Furniture</x:v>
      </x:c>
      <x:c r="G3207" s="11" t="str">
        <x:v>Desk</x:v>
      </x:c>
      <x:c r="H3207" s="11" t="n">
        <x:v>1</x:v>
      </x:c>
      <x:c r="I3207" s="19" t="n">
        <x:v>0.1</x:v>
      </x:c>
      <x:c r="J3207" s="11" t="n">
        <x:v>0</x:v>
      </x:c>
      <x:c r="K3207" s="20" t="n">
        <x:v>280</x:v>
      </x:c>
      <x:c r="L3207" s="20" t="n">
        <x:v>28</x:v>
      </x:c>
      <x:c r="M3207" s="20" t="n">
        <x:v>190</x:v>
      </x:c>
      <x:c r="N3207" s="20" t="n">
        <x:f>IF(J3207=1,0,K3207-L3207)</x:f>
        <x:v>252</x:v>
      </x:c>
      <x:c r="O3207" s="20" t="n">
        <x:f>N3207-M3207</x:f>
        <x:v>62</x:v>
      </x:c>
    </x:row>
    <x:row r="3208" ht="22" customHeight="1">
      <x:c r="A3208" s="11" t="n">
        <x:v>3204</x:v>
      </x:c>
      <x:c r="B3208" s="11" t="n">
        <x:v>1626</x:v>
      </x:c>
      <x:c r="C3208" s="18" t="n">
        <x:v>45905</x:v>
      </x:c>
      <x:c r="D3208" s="11" t="str">
        <x:v>2025-09</x:v>
      </x:c>
      <x:c r="E3208" s="11" t="str">
        <x:v>East</x:v>
      </x:c>
      <x:c r="F3208" s="11" t="str">
        <x:v>Office Supplies</x:v>
      </x:c>
      <x:c r="G3208" s="11" t="str">
        <x:v>Storage box</x:v>
      </x:c>
      <x:c r="H3208" s="11" t="n">
        <x:v>3</x:v>
      </x:c>
      <x:c r="I3208" s="19" t="n">
        <x:v>0.15</x:v>
      </x:c>
      <x:c r="J3208" s="11" t="n">
        <x:v>0</x:v>
      </x:c>
      <x:c r="K3208" s="20" t="n">
        <x:v>78</x:v>
      </x:c>
      <x:c r="L3208" s="20" t="n">
        <x:v>11.7</x:v>
      </x:c>
      <x:c r="M3208" s="20" t="n">
        <x:v>36</x:v>
      </x:c>
      <x:c r="N3208" s="20" t="n">
        <x:f>IF(J3208=1,0,K3208-L3208)</x:f>
        <x:v>66.3</x:v>
      </x:c>
      <x:c r="O3208" s="20" t="n">
        <x:f>N3208-M3208</x:f>
        <x:v>30.299999999999997</x:v>
      </x:c>
    </x:row>
    <x:row r="3209" ht="22" customHeight="1">
      <x:c r="A3209" s="11" t="n">
        <x:v>3205</x:v>
      </x:c>
      <x:c r="B3209" s="11" t="n">
        <x:v>1627</x:v>
      </x:c>
      <x:c r="C3209" s="18" t="n">
        <x:v>45548</x:v>
      </x:c>
      <x:c r="D3209" s="11" t="str">
        <x:v>2024-09</x:v>
      </x:c>
      <x:c r="E3209" s="11" t="str">
        <x:v>West</x:v>
      </x:c>
      <x:c r="F3209" s="11" t="str">
        <x:v>Technology</x:v>
      </x:c>
      <x:c r="G3209" s="11" t="str">
        <x:v>Keyboard</x:v>
      </x:c>
      <x:c r="H3209" s="11" t="n">
        <x:v>3</x:v>
      </x:c>
      <x:c r="I3209" s="19" t="n">
        <x:v>0.15</x:v>
      </x:c>
      <x:c r="J3209" s="11" t="n">
        <x:v>0</x:v>
      </x:c>
      <x:c r="K3209" s="20" t="n">
        <x:v>195</x:v>
      </x:c>
      <x:c r="L3209" s="20" t="n">
        <x:v>29.25</x:v>
      </x:c>
      <x:c r="M3209" s="20" t="n">
        <x:v>96</x:v>
      </x:c>
      <x:c r="N3209" s="20" t="n">
        <x:f>IF(J3209=1,0,K3209-L3209)</x:f>
        <x:v>165.75</x:v>
      </x:c>
      <x:c r="O3209" s="20" t="n">
        <x:f>N3209-M3209</x:f>
        <x:v>69.75</x:v>
      </x:c>
    </x:row>
    <x:row r="3210" ht="22" customHeight="1">
      <x:c r="A3210" s="11" t="n">
        <x:v>3206</x:v>
      </x:c>
      <x:c r="B3210" s="11" t="n">
        <x:v>1627</x:v>
      </x:c>
      <x:c r="C3210" s="18" t="n">
        <x:v>45548</x:v>
      </x:c>
      <x:c r="D3210" s="11" t="str">
        <x:v>2024-09</x:v>
      </x:c>
      <x:c r="E3210" s="11" t="str">
        <x:v>West</x:v>
      </x:c>
      <x:c r="F3210" s="11" t="str">
        <x:v>Office Supplies</x:v>
      </x:c>
      <x:c r="G3210" s="11" t="str">
        <x:v>Storage box</x:v>
      </x:c>
      <x:c r="H3210" s="11" t="n">
        <x:v>4</x:v>
      </x:c>
      <x:c r="I3210" s="19" t="n">
        <x:v>0.1</x:v>
      </x:c>
      <x:c r="J3210" s="11" t="n">
        <x:v>0</x:v>
      </x:c>
      <x:c r="K3210" s="20" t="n">
        <x:v>104</x:v>
      </x:c>
      <x:c r="L3210" s="20" t="n">
        <x:v>10.4</x:v>
      </x:c>
      <x:c r="M3210" s="20" t="n">
        <x:v>48</x:v>
      </x:c>
      <x:c r="N3210" s="20" t="n">
        <x:f>IF(J3210=1,0,K3210-L3210)</x:f>
        <x:v>93.6</x:v>
      </x:c>
      <x:c r="O3210" s="20" t="n">
        <x:f>N3210-M3210</x:f>
        <x:v>45.599999999999994</x:v>
      </x:c>
    </x:row>
    <x:row r="3211" ht="22" customHeight="1">
      <x:c r="A3211" s="11" t="n">
        <x:v>3207</x:v>
      </x:c>
      <x:c r="B3211" s="11" t="n">
        <x:v>1628</x:v>
      </x:c>
      <x:c r="C3211" s="18" t="n">
        <x:v>45626</x:v>
      </x:c>
      <x:c r="D3211" s="11" t="str">
        <x:v>2024-11</x:v>
      </x:c>
      <x:c r="E3211" s="11" t="str">
        <x:v>Central</x:v>
      </x:c>
      <x:c r="F3211" s="11" t="str">
        <x:v>Furniture</x:v>
      </x:c>
      <x:c r="G3211" s="11" t="str">
        <x:v>Desk</x:v>
      </x:c>
      <x:c r="H3211" s="11" t="n">
        <x:v>3</x:v>
      </x:c>
      <x:c r="I3211" s="19" t="n">
        <x:v>0.15</x:v>
      </x:c>
      <x:c r="J3211" s="11" t="n">
        <x:v>0</x:v>
      </x:c>
      <x:c r="K3211" s="20" t="n">
        <x:v>840</x:v>
      </x:c>
      <x:c r="L3211" s="20" t="n">
        <x:v>126</x:v>
      </x:c>
      <x:c r="M3211" s="20" t="n">
        <x:v>570</x:v>
      </x:c>
      <x:c r="N3211" s="20" t="n">
        <x:f>IF(J3211=1,0,K3211-L3211)</x:f>
        <x:v>714</x:v>
      </x:c>
      <x:c r="O3211" s="20" t="n">
        <x:f>N3211-M3211</x:f>
        <x:v>144</x:v>
      </x:c>
    </x:row>
    <x:row r="3212" ht="22" customHeight="1">
      <x:c r="A3212" s="11" t="n">
        <x:v>3208</x:v>
      </x:c>
      <x:c r="B3212" s="11" t="n">
        <x:v>1629</x:v>
      </x:c>
      <x:c r="C3212" s="18" t="n">
        <x:v>45664</x:v>
      </x:c>
      <x:c r="D3212" s="11" t="str">
        <x:v>2025-01</x:v>
      </x:c>
      <x:c r="E3212" s="11" t="str">
        <x:v>West</x:v>
      </x:c>
      <x:c r="F3212" s="11" t="str">
        <x:v>Office Supplies</x:v>
      </x:c>
      <x:c r="G3212" s="11" t="str">
        <x:v>Notebook pack</x:v>
      </x:c>
      <x:c r="H3212" s="11" t="n">
        <x:v>5</x:v>
      </x:c>
      <x:c r="I3212" s="19" t="n">
        <x:v>0.1</x:v>
      </x:c>
      <x:c r="J3212" s="11" t="n">
        <x:v>0</x:v>
      </x:c>
      <x:c r="K3212" s="20" t="n">
        <x:v>90</x:v>
      </x:c>
      <x:c r="L3212" s="20" t="n">
        <x:v>9</x:v>
      </x:c>
      <x:c r="M3212" s="20" t="n">
        <x:v>35</x:v>
      </x:c>
      <x:c r="N3212" s="20" t="n">
        <x:f>IF(J3212=1,0,K3212-L3212)</x:f>
        <x:v>81</x:v>
      </x:c>
      <x:c r="O3212" s="20" t="n">
        <x:f>N3212-M3212</x:f>
        <x:v>46</x:v>
      </x:c>
    </x:row>
    <x:row r="3213" ht="22" customHeight="1">
      <x:c r="A3213" s="11" t="n">
        <x:v>3209</x:v>
      </x:c>
      <x:c r="B3213" s="11" t="n">
        <x:v>1629</x:v>
      </x:c>
      <x:c r="C3213" s="18" t="n">
        <x:v>45664</x:v>
      </x:c>
      <x:c r="D3213" s="11" t="str">
        <x:v>2025-01</x:v>
      </x:c>
      <x:c r="E3213" s="11" t="str">
        <x:v>West</x:v>
      </x:c>
      <x:c r="F3213" s="11" t="str">
        <x:v>Furniture</x:v>
      </x:c>
      <x:c r="G3213" s="11" t="str">
        <x:v>Desk</x:v>
      </x:c>
      <x:c r="H3213" s="11" t="n">
        <x:v>3</x:v>
      </x:c>
      <x:c r="I3213" s="19" t="n">
        <x:v>0.15</x:v>
      </x:c>
      <x:c r="J3213" s="11" t="n">
        <x:v>0</x:v>
      </x:c>
      <x:c r="K3213" s="20" t="n">
        <x:v>840</x:v>
      </x:c>
      <x:c r="L3213" s="20" t="n">
        <x:v>126</x:v>
      </x:c>
      <x:c r="M3213" s="20" t="n">
        <x:v>570</x:v>
      </x:c>
      <x:c r="N3213" s="20" t="n">
        <x:f>IF(J3213=1,0,K3213-L3213)</x:f>
        <x:v>714</x:v>
      </x:c>
      <x:c r="O3213" s="20" t="n">
        <x:f>N3213-M3213</x:f>
        <x:v>144</x:v>
      </x:c>
    </x:row>
    <x:row r="3214" ht="22" customHeight="1">
      <x:c r="A3214" s="11" t="n">
        <x:v>3210</x:v>
      </x:c>
      <x:c r="B3214" s="11" t="n">
        <x:v>1630</x:v>
      </x:c>
      <x:c r="C3214" s="18" t="n">
        <x:v>45488</x:v>
      </x:c>
      <x:c r="D3214" s="11" t="str">
        <x:v>2024-07</x:v>
      </x:c>
      <x:c r="E3214" s="11" t="str">
        <x:v>East</x:v>
      </x:c>
      <x:c r="F3214" s="11" t="str">
        <x:v>Furniture</x:v>
      </x:c>
      <x:c r="G3214" s="11" t="str">
        <x:v>Chair</x:v>
      </x:c>
      <x:c r="H3214" s="11" t="n">
        <x:v>3</x:v>
      </x:c>
      <x:c r="I3214" s="19" t="n">
        <x:v>0.1</x:v>
      </x:c>
      <x:c r="J3214" s="11" t="n">
        <x:v>0</x:v>
      </x:c>
      <x:c r="K3214" s="20" t="n">
        <x:v>510</x:v>
      </x:c>
      <x:c r="L3214" s="20" t="n">
        <x:v>51</x:v>
      </x:c>
      <x:c r="M3214" s="20" t="n">
        <x:v>330</x:v>
      </x:c>
      <x:c r="N3214" s="20" t="n">
        <x:f>IF(J3214=1,0,K3214-L3214)</x:f>
        <x:v>459</x:v>
      </x:c>
      <x:c r="O3214" s="20" t="n">
        <x:f>N3214-M3214</x:f>
        <x:v>129</x:v>
      </x:c>
    </x:row>
    <x:row r="3215" ht="22" customHeight="1">
      <x:c r="A3215" s="11" t="n">
        <x:v>3211</x:v>
      </x:c>
      <x:c r="B3215" s="11" t="n">
        <x:v>1630</x:v>
      </x:c>
      <x:c r="C3215" s="18" t="n">
        <x:v>45488</x:v>
      </x:c>
      <x:c r="D3215" s="11" t="str">
        <x:v>2024-07</x:v>
      </x:c>
      <x:c r="E3215" s="11" t="str">
        <x:v>East</x:v>
      </x:c>
      <x:c r="F3215" s="11" t="str">
        <x:v>Office Supplies</x:v>
      </x:c>
      <x:c r="G3215" s="11" t="str">
        <x:v>Storage box</x:v>
      </x:c>
      <x:c r="H3215" s="11" t="n">
        <x:v>4</x:v>
      </x:c>
      <x:c r="I3215" s="19" t="n">
        <x:v>0</x:v>
      </x:c>
      <x:c r="J3215" s="11" t="n">
        <x:v>0</x:v>
      </x:c>
      <x:c r="K3215" s="20" t="n">
        <x:v>104</x:v>
      </x:c>
      <x:c r="L3215" s="20" t="n">
        <x:v>0</x:v>
      </x:c>
      <x:c r="M3215" s="20" t="n">
        <x:v>48</x:v>
      </x:c>
      <x:c r="N3215" s="20" t="n">
        <x:f>IF(J3215=1,0,K3215-L3215)</x:f>
        <x:v>104</x:v>
      </x:c>
      <x:c r="O3215" s="20" t="n">
        <x:f>N3215-M3215</x:f>
        <x:v>56</x:v>
      </x:c>
    </x:row>
    <x:row r="3216" ht="22" customHeight="1">
      <x:c r="A3216" s="11" t="n">
        <x:v>3212</x:v>
      </x:c>
      <x:c r="B3216" s="11" t="n">
        <x:v>1631</x:v>
      </x:c>
      <x:c r="C3216" s="18" t="n">
        <x:v>45480</x:v>
      </x:c>
      <x:c r="D3216" s="11" t="str">
        <x:v>2024-07</x:v>
      </x:c>
      <x:c r="E3216" s="11" t="str">
        <x:v>South</x:v>
      </x:c>
      <x:c r="F3216" s="11" t="str">
        <x:v>Office Supplies</x:v>
      </x:c>
      <x:c r="G3216" s="11" t="str">
        <x:v>Storage box</x:v>
      </x:c>
      <x:c r="H3216" s="11" t="n">
        <x:v>1</x:v>
      </x:c>
      <x:c r="I3216" s="19" t="n">
        <x:v>0</x:v>
      </x:c>
      <x:c r="J3216" s="11" t="n">
        <x:v>0</x:v>
      </x:c>
      <x:c r="K3216" s="20" t="n">
        <x:v>26</x:v>
      </x:c>
      <x:c r="L3216" s="20" t="n">
        <x:v>0</x:v>
      </x:c>
      <x:c r="M3216" s="20" t="n">
        <x:v>12</x:v>
      </x:c>
      <x:c r="N3216" s="20" t="n">
        <x:f>IF(J3216=1,0,K3216-L3216)</x:f>
        <x:v>26</x:v>
      </x:c>
      <x:c r="O3216" s="20" t="n">
        <x:f>N3216-M3216</x:f>
        <x:v>14</x:v>
      </x:c>
    </x:row>
    <x:row r="3217" ht="22" customHeight="1">
      <x:c r="A3217" s="11" t="n">
        <x:v>3213</x:v>
      </x:c>
      <x:c r="B3217" s="11" t="n">
        <x:v>1631</x:v>
      </x:c>
      <x:c r="C3217" s="18" t="n">
        <x:v>45480</x:v>
      </x:c>
      <x:c r="D3217" s="11" t="str">
        <x:v>2024-07</x:v>
      </x:c>
      <x:c r="E3217" s="11" t="str">
        <x:v>South</x:v>
      </x:c>
      <x:c r="F3217" s="11" t="str">
        <x:v>Technology</x:v>
      </x:c>
      <x:c r="G3217" s="11" t="str">
        <x:v>Monitor</x:v>
      </x:c>
      <x:c r="H3217" s="11" t="n">
        <x:v>3</x:v>
      </x:c>
      <x:c r="I3217" s="19" t="n">
        <x:v>0.15</x:v>
      </x:c>
      <x:c r="J3217" s="11" t="n">
        <x:v>0</x:v>
      </x:c>
      <x:c r="K3217" s="20" t="n">
        <x:v>720</x:v>
      </x:c>
      <x:c r="L3217" s="20" t="n">
        <x:v>108</x:v>
      </x:c>
      <x:c r="M3217" s="20" t="n">
        <x:v>480</x:v>
      </x:c>
      <x:c r="N3217" s="20" t="n">
        <x:f>IF(J3217=1,0,K3217-L3217)</x:f>
        <x:v>612</x:v>
      </x:c>
      <x:c r="O3217" s="20" t="n">
        <x:f>N3217-M3217</x:f>
        <x:v>132</x:v>
      </x:c>
    </x:row>
    <x:row r="3218" ht="22" customHeight="1">
      <x:c r="A3218" s="11" t="n">
        <x:v>3214</x:v>
      </x:c>
      <x:c r="B3218" s="11" t="n">
        <x:v>1632</x:v>
      </x:c>
      <x:c r="C3218" s="18" t="n">
        <x:v>45526</x:v>
      </x:c>
      <x:c r="D3218" s="11" t="str">
        <x:v>2024-08</x:v>
      </x:c>
      <x:c r="E3218" s="11" t="str">
        <x:v>West</x:v>
      </x:c>
      <x:c r="F3218" s="11" t="str">
        <x:v>Office Supplies</x:v>
      </x:c>
      <x:c r="G3218" s="11" t="str">
        <x:v>Storage box</x:v>
      </x:c>
      <x:c r="H3218" s="11" t="n">
        <x:v>2</x:v>
      </x:c>
      <x:c r="I3218" s="19" t="n">
        <x:v>0</x:v>
      </x:c>
      <x:c r="J3218" s="11" t="n">
        <x:v>0</x:v>
      </x:c>
      <x:c r="K3218" s="20" t="n">
        <x:v>52</x:v>
      </x:c>
      <x:c r="L3218" s="20" t="n">
        <x:v>0</x:v>
      </x:c>
      <x:c r="M3218" s="20" t="n">
        <x:v>24</x:v>
      </x:c>
      <x:c r="N3218" s="20" t="n">
        <x:f>IF(J3218=1,0,K3218-L3218)</x:f>
        <x:v>52</x:v>
      </x:c>
      <x:c r="O3218" s="20" t="n">
        <x:f>N3218-M3218</x:f>
        <x:v>28</x:v>
      </x:c>
    </x:row>
    <x:row r="3219" ht="22" customHeight="1">
      <x:c r="A3219" s="11" t="n">
        <x:v>3215</x:v>
      </x:c>
      <x:c r="B3219" s="11" t="n">
        <x:v>1632</x:v>
      </x:c>
      <x:c r="C3219" s="18" t="n">
        <x:v>45526</x:v>
      </x:c>
      <x:c r="D3219" s="11" t="str">
        <x:v>2024-08</x:v>
      </x:c>
      <x:c r="E3219" s="11" t="str">
        <x:v>West</x:v>
      </x:c>
      <x:c r="F3219" s="11" t="str">
        <x:v>Technology</x:v>
      </x:c>
      <x:c r="G3219" s="11" t="str">
        <x:v>Keyboard</x:v>
      </x:c>
      <x:c r="H3219" s="11" t="n">
        <x:v>3</x:v>
      </x:c>
      <x:c r="I3219" s="19" t="n">
        <x:v>0</x:v>
      </x:c>
      <x:c r="J3219" s="11" t="n">
        <x:v>0</x:v>
      </x:c>
      <x:c r="K3219" s="20" t="n">
        <x:v>195</x:v>
      </x:c>
      <x:c r="L3219" s="20" t="n">
        <x:v>0</x:v>
      </x:c>
      <x:c r="M3219" s="20" t="n">
        <x:v>96</x:v>
      </x:c>
      <x:c r="N3219" s="20" t="n">
        <x:f>IF(J3219=1,0,K3219-L3219)</x:f>
        <x:v>195</x:v>
      </x:c>
      <x:c r="O3219" s="20" t="n">
        <x:f>N3219-M3219</x:f>
        <x:v>99</x:v>
      </x:c>
    </x:row>
    <x:row r="3220" ht="22" customHeight="1">
      <x:c r="A3220" s="11" t="n">
        <x:v>3216</x:v>
      </x:c>
      <x:c r="B3220" s="11" t="n">
        <x:v>1632</x:v>
      </x:c>
      <x:c r="C3220" s="18" t="n">
        <x:v>45526</x:v>
      </x:c>
      <x:c r="D3220" s="11" t="str">
        <x:v>2024-08</x:v>
      </x:c>
      <x:c r="E3220" s="11" t="str">
        <x:v>West</x:v>
      </x:c>
      <x:c r="F3220" s="11" t="str">
        <x:v>Furniture</x:v>
      </x:c>
      <x:c r="G3220" s="11" t="str">
        <x:v>Chair</x:v>
      </x:c>
      <x:c r="H3220" s="11" t="n">
        <x:v>4</x:v>
      </x:c>
      <x:c r="I3220" s="19" t="n">
        <x:v>0.25</x:v>
      </x:c>
      <x:c r="J3220" s="11" t="n">
        <x:v>0</x:v>
      </x:c>
      <x:c r="K3220" s="20" t="n">
        <x:v>680</x:v>
      </x:c>
      <x:c r="L3220" s="20" t="n">
        <x:v>170</x:v>
      </x:c>
      <x:c r="M3220" s="20" t="n">
        <x:v>440</x:v>
      </x:c>
      <x:c r="N3220" s="20" t="n">
        <x:f>IF(J3220=1,0,K3220-L3220)</x:f>
        <x:v>510</x:v>
      </x:c>
      <x:c r="O3220" s="20" t="n">
        <x:f>N3220-M3220</x:f>
        <x:v>70</x:v>
      </x:c>
    </x:row>
    <x:row r="3221" ht="22" customHeight="1">
      <x:c r="A3221" s="11" t="n">
        <x:v>3217</x:v>
      </x:c>
      <x:c r="B3221" s="11" t="n">
        <x:v>1633</x:v>
      </x:c>
      <x:c r="C3221" s="18" t="n">
        <x:v>45781</x:v>
      </x:c>
      <x:c r="D3221" s="11" t="str">
        <x:v>2025-05</x:v>
      </x:c>
      <x:c r="E3221" s="11" t="str">
        <x:v>Central</x:v>
      </x:c>
      <x:c r="F3221" s="11" t="str">
        <x:v>Technology</x:v>
      </x:c>
      <x:c r="G3221" s="11" t="str">
        <x:v>Keyboard</x:v>
      </x:c>
      <x:c r="H3221" s="11" t="n">
        <x:v>3</x:v>
      </x:c>
      <x:c r="I3221" s="19" t="n">
        <x:v>0.15</x:v>
      </x:c>
      <x:c r="J3221" s="11" t="n">
        <x:v>0</x:v>
      </x:c>
      <x:c r="K3221" s="20" t="n">
        <x:v>195</x:v>
      </x:c>
      <x:c r="L3221" s="20" t="n">
        <x:v>29.25</x:v>
      </x:c>
      <x:c r="M3221" s="20" t="n">
        <x:v>96</x:v>
      </x:c>
      <x:c r="N3221" s="20" t="n">
        <x:f>IF(J3221=1,0,K3221-L3221)</x:f>
        <x:v>165.75</x:v>
      </x:c>
      <x:c r="O3221" s="20" t="n">
        <x:f>N3221-M3221</x:f>
        <x:v>69.75</x:v>
      </x:c>
    </x:row>
    <x:row r="3222" ht="22" customHeight="1">
      <x:c r="A3222" s="11" t="n">
        <x:v>3218</x:v>
      </x:c>
      <x:c r="B3222" s="11" t="n">
        <x:v>1633</x:v>
      </x:c>
      <x:c r="C3222" s="18" t="n">
        <x:v>45781</x:v>
      </x:c>
      <x:c r="D3222" s="11" t="str">
        <x:v>2025-05</x:v>
      </x:c>
      <x:c r="E3222" s="11" t="str">
        <x:v>Central</x:v>
      </x:c>
      <x:c r="F3222" s="11" t="str">
        <x:v>Furniture</x:v>
      </x:c>
      <x:c r="G3222" s="11" t="str">
        <x:v>Chair</x:v>
      </x:c>
      <x:c r="H3222" s="11" t="n">
        <x:v>1</x:v>
      </x:c>
      <x:c r="I3222" s="19" t="n">
        <x:v>0</x:v>
      </x:c>
      <x:c r="J3222" s="11" t="n">
        <x:v>0</x:v>
      </x:c>
      <x:c r="K3222" s="20" t="n">
        <x:v>170</x:v>
      </x:c>
      <x:c r="L3222" s="20" t="n">
        <x:v>0</x:v>
      </x:c>
      <x:c r="M3222" s="20" t="n">
        <x:v>110</x:v>
      </x:c>
      <x:c r="N3222" s="20" t="n">
        <x:f>IF(J3222=1,0,K3222-L3222)</x:f>
        <x:v>170</x:v>
      </x:c>
      <x:c r="O3222" s="20" t="n">
        <x:f>N3222-M3222</x:f>
        <x:v>60</x:v>
      </x:c>
    </x:row>
    <x:row r="3223" ht="22" customHeight="1">
      <x:c r="A3223" s="11" t="n">
        <x:v>3219</x:v>
      </x:c>
      <x:c r="B3223" s="11" t="n">
        <x:v>1634</x:v>
      </x:c>
      <x:c r="C3223" s="18" t="n">
        <x:v>45579</x:v>
      </x:c>
      <x:c r="D3223" s="11" t="str">
        <x:v>2024-10</x:v>
      </x:c>
      <x:c r="E3223" s="11" t="str">
        <x:v>South</x:v>
      </x:c>
      <x:c r="F3223" s="11" t="str">
        <x:v>Technology</x:v>
      </x:c>
      <x:c r="G3223" s="11" t="str">
        <x:v>Monitor</x:v>
      </x:c>
      <x:c r="H3223" s="11" t="n">
        <x:v>5</x:v>
      </x:c>
      <x:c r="I3223" s="19" t="n">
        <x:v>0.05</x:v>
      </x:c>
      <x:c r="J3223" s="11" t="n">
        <x:v>0</x:v>
      </x:c>
      <x:c r="K3223" s="20" t="n">
        <x:v>1200</x:v>
      </x:c>
      <x:c r="L3223" s="20" t="n">
        <x:v>60</x:v>
      </x:c>
      <x:c r="M3223" s="20" t="n">
        <x:v>800</x:v>
      </x:c>
      <x:c r="N3223" s="20" t="n">
        <x:f>IF(J3223=1,0,K3223-L3223)</x:f>
        <x:v>1140</x:v>
      </x:c>
      <x:c r="O3223" s="20" t="n">
        <x:f>N3223-M3223</x:f>
        <x:v>340</x:v>
      </x:c>
    </x:row>
    <x:row r="3224" ht="22" customHeight="1">
      <x:c r="A3224" s="11" t="n">
        <x:v>3220</x:v>
      </x:c>
      <x:c r="B3224" s="11" t="n">
        <x:v>1635</x:v>
      </x:c>
      <x:c r="C3224" s="18" t="n">
        <x:v>45821</x:v>
      </x:c>
      <x:c r="D3224" s="11" t="str">
        <x:v>2025-06</x:v>
      </x:c>
      <x:c r="E3224" s="11" t="str">
        <x:v>West</x:v>
      </x:c>
      <x:c r="F3224" s="11" t="str">
        <x:v>Furniture</x:v>
      </x:c>
      <x:c r="G3224" s="11" t="str">
        <x:v>Desk</x:v>
      </x:c>
      <x:c r="H3224" s="11" t="n">
        <x:v>5</x:v>
      </x:c>
      <x:c r="I3224" s="19" t="n">
        <x:v>0</x:v>
      </x:c>
      <x:c r="J3224" s="11" t="n">
        <x:v>0</x:v>
      </x:c>
      <x:c r="K3224" s="20" t="n">
        <x:v>1400</x:v>
      </x:c>
      <x:c r="L3224" s="20" t="n">
        <x:v>0</x:v>
      </x:c>
      <x:c r="M3224" s="20" t="n">
        <x:v>950</x:v>
      </x:c>
      <x:c r="N3224" s="20" t="n">
        <x:f>IF(J3224=1,0,K3224-L3224)</x:f>
        <x:v>1400</x:v>
      </x:c>
      <x:c r="O3224" s="20" t="n">
        <x:f>N3224-M3224</x:f>
        <x:v>450</x:v>
      </x:c>
    </x:row>
    <x:row r="3225" ht="22" customHeight="1">
      <x:c r="A3225" s="11" t="n">
        <x:v>3221</x:v>
      </x:c>
      <x:c r="B3225" s="11" t="n">
        <x:v>1636</x:v>
      </x:c>
      <x:c r="C3225" s="18" t="n">
        <x:v>45894</x:v>
      </x:c>
      <x:c r="D3225" s="11" t="str">
        <x:v>2025-08</x:v>
      </x:c>
      <x:c r="E3225" s="11" t="str">
        <x:v>West</x:v>
      </x:c>
      <x:c r="F3225" s="11" t="str">
        <x:v>Office Supplies</x:v>
      </x:c>
      <x:c r="G3225" s="11" t="str">
        <x:v>Storage box</x:v>
      </x:c>
      <x:c r="H3225" s="11" t="n">
        <x:v>5</x:v>
      </x:c>
      <x:c r="I3225" s="19" t="n">
        <x:v>0</x:v>
      </x:c>
      <x:c r="J3225" s="11" t="n">
        <x:v>0</x:v>
      </x:c>
      <x:c r="K3225" s="20" t="n">
        <x:v>130</x:v>
      </x:c>
      <x:c r="L3225" s="20" t="n">
        <x:v>0</x:v>
      </x:c>
      <x:c r="M3225" s="20" t="n">
        <x:v>60</x:v>
      </x:c>
      <x:c r="N3225" s="20" t="n">
        <x:f>IF(J3225=1,0,K3225-L3225)</x:f>
        <x:v>130</x:v>
      </x:c>
      <x:c r="O3225" s="20" t="n">
        <x:f>N3225-M3225</x:f>
        <x:v>70</x:v>
      </x:c>
    </x:row>
    <x:row r="3226" ht="22" customHeight="1">
      <x:c r="A3226" s="11" t="n">
        <x:v>3222</x:v>
      </x:c>
      <x:c r="B3226" s="11" t="n">
        <x:v>1636</x:v>
      </x:c>
      <x:c r="C3226" s="18" t="n">
        <x:v>45894</x:v>
      </x:c>
      <x:c r="D3226" s="11" t="str">
        <x:v>2025-08</x:v>
      </x:c>
      <x:c r="E3226" s="11" t="str">
        <x:v>West</x:v>
      </x:c>
      <x:c r="F3226" s="11" t="str">
        <x:v>Technology</x:v>
      </x:c>
      <x:c r="G3226" s="11" t="str">
        <x:v>Keyboard</x:v>
      </x:c>
      <x:c r="H3226" s="11" t="n">
        <x:v>1</x:v>
      </x:c>
      <x:c r="I3226" s="19" t="n">
        <x:v>0</x:v>
      </x:c>
      <x:c r="J3226" s="11" t="n">
        <x:v>0</x:v>
      </x:c>
      <x:c r="K3226" s="20" t="n">
        <x:v>65</x:v>
      </x:c>
      <x:c r="L3226" s="20" t="n">
        <x:v>0</x:v>
      </x:c>
      <x:c r="M3226" s="20" t="n">
        <x:v>32</x:v>
      </x:c>
      <x:c r="N3226" s="20" t="n">
        <x:f>IF(J3226=1,0,K3226-L3226)</x:f>
        <x:v>65</x:v>
      </x:c>
      <x:c r="O3226" s="20" t="n">
        <x:f>N3226-M3226</x:f>
        <x:v>33</x:v>
      </x:c>
    </x:row>
    <x:row r="3227" ht="22" customHeight="1">
      <x:c r="A3227" s="11" t="n">
        <x:v>3223</x:v>
      </x:c>
      <x:c r="B3227" s="11" t="n">
        <x:v>1637</x:v>
      </x:c>
      <x:c r="C3227" s="18" t="n">
        <x:v>45658</x:v>
      </x:c>
      <x:c r="D3227" s="11" t="str">
        <x:v>2025-01</x:v>
      </x:c>
      <x:c r="E3227" s="11" t="str">
        <x:v>Central</x:v>
      </x:c>
      <x:c r="F3227" s="11" t="str">
        <x:v>Technology</x:v>
      </x:c>
      <x:c r="G3227" s="11" t="str">
        <x:v>Keyboard</x:v>
      </x:c>
      <x:c r="H3227" s="11" t="n">
        <x:v>4</x:v>
      </x:c>
      <x:c r="I3227" s="19" t="n">
        <x:v>0.05</x:v>
      </x:c>
      <x:c r="J3227" s="11" t="n">
        <x:v>0</x:v>
      </x:c>
      <x:c r="K3227" s="20" t="n">
        <x:v>260</x:v>
      </x:c>
      <x:c r="L3227" s="20" t="n">
        <x:v>13</x:v>
      </x:c>
      <x:c r="M3227" s="20" t="n">
        <x:v>128</x:v>
      </x:c>
      <x:c r="N3227" s="20" t="n">
        <x:f>IF(J3227=1,0,K3227-L3227)</x:f>
        <x:v>247</x:v>
      </x:c>
      <x:c r="O3227" s="20" t="n">
        <x:f>N3227-M3227</x:f>
        <x:v>119</x:v>
      </x:c>
    </x:row>
    <x:row r="3228" ht="22" customHeight="1">
      <x:c r="A3228" s="11" t="n">
        <x:v>3224</x:v>
      </x:c>
      <x:c r="B3228" s="11" t="n">
        <x:v>1637</x:v>
      </x:c>
      <x:c r="C3228" s="18" t="n">
        <x:v>45658</x:v>
      </x:c>
      <x:c r="D3228" s="11" t="str">
        <x:v>2025-01</x:v>
      </x:c>
      <x:c r="E3228" s="11" t="str">
        <x:v>Central</x:v>
      </x:c>
      <x:c r="F3228" s="11" t="str">
        <x:v>Furniture</x:v>
      </x:c>
      <x:c r="G3228" s="11" t="str">
        <x:v>Chair</x:v>
      </x:c>
      <x:c r="H3228" s="11" t="n">
        <x:v>4</x:v>
      </x:c>
      <x:c r="I3228" s="19" t="n">
        <x:v>0</x:v>
      </x:c>
      <x:c r="J3228" s="11" t="n">
        <x:v>0</x:v>
      </x:c>
      <x:c r="K3228" s="20" t="n">
        <x:v>680</x:v>
      </x:c>
      <x:c r="L3228" s="20" t="n">
        <x:v>0</x:v>
      </x:c>
      <x:c r="M3228" s="20" t="n">
        <x:v>440</x:v>
      </x:c>
      <x:c r="N3228" s="20" t="n">
        <x:f>IF(J3228=1,0,K3228-L3228)</x:f>
        <x:v>680</x:v>
      </x:c>
      <x:c r="O3228" s="20" t="n">
        <x:f>N3228-M3228</x:f>
        <x:v>240</x:v>
      </x:c>
    </x:row>
    <x:row r="3229" ht="22" customHeight="1">
      <x:c r="A3229" s="11" t="n">
        <x:v>3225</x:v>
      </x:c>
      <x:c r="B3229" s="11" t="n">
        <x:v>1638</x:v>
      </x:c>
      <x:c r="C3229" s="18" t="n">
        <x:v>45405</x:v>
      </x:c>
      <x:c r="D3229" s="11" t="str">
        <x:v>2024-04</x:v>
      </x:c>
      <x:c r="E3229" s="11" t="str">
        <x:v>West</x:v>
      </x:c>
      <x:c r="F3229" s="11" t="str">
        <x:v>Office Supplies</x:v>
      </x:c>
      <x:c r="G3229" s="11" t="str">
        <x:v>Notebook pack</x:v>
      </x:c>
      <x:c r="H3229" s="11" t="n">
        <x:v>3</x:v>
      </x:c>
      <x:c r="I3229" s="19" t="n">
        <x:v>0</x:v>
      </x:c>
      <x:c r="J3229" s="11" t="n">
        <x:v>0</x:v>
      </x:c>
      <x:c r="K3229" s="20" t="n">
        <x:v>54</x:v>
      </x:c>
      <x:c r="L3229" s="20" t="n">
        <x:v>0</x:v>
      </x:c>
      <x:c r="M3229" s="20" t="n">
        <x:v>21</x:v>
      </x:c>
      <x:c r="N3229" s="20" t="n">
        <x:f>IF(J3229=1,0,K3229-L3229)</x:f>
        <x:v>54</x:v>
      </x:c>
      <x:c r="O3229" s="20" t="n">
        <x:f>N3229-M3229</x:f>
        <x:v>33</x:v>
      </x:c>
    </x:row>
    <x:row r="3230" ht="22" customHeight="1">
      <x:c r="A3230" s="11" t="n">
        <x:v>3226</x:v>
      </x:c>
      <x:c r="B3230" s="11" t="n">
        <x:v>1639</x:v>
      </x:c>
      <x:c r="C3230" s="18" t="n">
        <x:v>45782</x:v>
      </x:c>
      <x:c r="D3230" s="11" t="str">
        <x:v>2025-05</x:v>
      </x:c>
      <x:c r="E3230" s="11" t="str">
        <x:v>East</x:v>
      </x:c>
      <x:c r="F3230" s="11" t="str">
        <x:v>Technology</x:v>
      </x:c>
      <x:c r="G3230" s="11" t="str">
        <x:v>Monitor</x:v>
      </x:c>
      <x:c r="H3230" s="11" t="n">
        <x:v>4</x:v>
      </x:c>
      <x:c r="I3230" s="19" t="n">
        <x:v>0.15</x:v>
      </x:c>
      <x:c r="J3230" s="11" t="n">
        <x:v>1</x:v>
      </x:c>
      <x:c r="K3230" s="20" t="n">
        <x:v>960</x:v>
      </x:c>
      <x:c r="L3230" s="20" t="n">
        <x:v>144</x:v>
      </x:c>
      <x:c r="M3230" s="20" t="n">
        <x:v>0</x:v>
      </x:c>
      <x:c r="N3230" s="20" t="n">
        <x:f>IF(J3230=1,0,K3230-L3230)</x:f>
        <x:v>0</x:v>
      </x:c>
      <x:c r="O3230" s="20" t="n">
        <x:f>N3230-M3230</x:f>
        <x:v>0</x:v>
      </x:c>
    </x:row>
    <x:row r="3231" ht="22" customHeight="1">
      <x:c r="A3231" s="11" t="n">
        <x:v>3227</x:v>
      </x:c>
      <x:c r="B3231" s="11" t="n">
        <x:v>1639</x:v>
      </x:c>
      <x:c r="C3231" s="18" t="n">
        <x:v>45782</x:v>
      </x:c>
      <x:c r="D3231" s="11" t="str">
        <x:v>2025-05</x:v>
      </x:c>
      <x:c r="E3231" s="11" t="str">
        <x:v>East</x:v>
      </x:c>
      <x:c r="F3231" s="11" t="str">
        <x:v>Office Supplies</x:v>
      </x:c>
      <x:c r="G3231" s="11" t="str">
        <x:v>Notebook pack</x:v>
      </x:c>
      <x:c r="H3231" s="11" t="n">
        <x:v>5</x:v>
      </x:c>
      <x:c r="I3231" s="19" t="n">
        <x:v>0.05</x:v>
      </x:c>
      <x:c r="J3231" s="11" t="n">
        <x:v>0</x:v>
      </x:c>
      <x:c r="K3231" s="20" t="n">
        <x:v>90</x:v>
      </x:c>
      <x:c r="L3231" s="20" t="n">
        <x:v>4.5</x:v>
      </x:c>
      <x:c r="M3231" s="20" t="n">
        <x:v>35</x:v>
      </x:c>
      <x:c r="N3231" s="20" t="n">
        <x:f>IF(J3231=1,0,K3231-L3231)</x:f>
        <x:v>85.5</x:v>
      </x:c>
      <x:c r="O3231" s="20" t="n">
        <x:f>N3231-M3231</x:f>
        <x:v>50.5</x:v>
      </x:c>
    </x:row>
    <x:row r="3232" ht="22" customHeight="1">
      <x:c r="A3232" s="11" t="n">
        <x:v>3228</x:v>
      </x:c>
      <x:c r="B3232" s="11" t="n">
        <x:v>1640</x:v>
      </x:c>
      <x:c r="C3232" s="18" t="n">
        <x:v>45942</x:v>
      </x:c>
      <x:c r="D3232" s="11" t="str">
        <x:v>2025-10</x:v>
      </x:c>
      <x:c r="E3232" s="11" t="str">
        <x:v>South</x:v>
      </x:c>
      <x:c r="F3232" s="11" t="str">
        <x:v>Office Supplies</x:v>
      </x:c>
      <x:c r="G3232" s="11" t="str">
        <x:v>Notebook pack</x:v>
      </x:c>
      <x:c r="H3232" s="11" t="n">
        <x:v>3</x:v>
      </x:c>
      <x:c r="I3232" s="19" t="n">
        <x:v>0</x:v>
      </x:c>
      <x:c r="J3232" s="11" t="n">
        <x:v>0</x:v>
      </x:c>
      <x:c r="K3232" s="20" t="n">
        <x:v>54</x:v>
      </x:c>
      <x:c r="L3232" s="20" t="n">
        <x:v>0</x:v>
      </x:c>
      <x:c r="M3232" s="20" t="n">
        <x:v>21</x:v>
      </x:c>
      <x:c r="N3232" s="20" t="n">
        <x:f>IF(J3232=1,0,K3232-L3232)</x:f>
        <x:v>54</x:v>
      </x:c>
      <x:c r="O3232" s="20" t="n">
        <x:f>N3232-M3232</x:f>
        <x:v>33</x:v>
      </x:c>
    </x:row>
    <x:row r="3233" ht="22" customHeight="1">
      <x:c r="A3233" s="11" t="n">
        <x:v>3229</x:v>
      </x:c>
      <x:c r="B3233" s="11" t="n">
        <x:v>1640</x:v>
      </x:c>
      <x:c r="C3233" s="18" t="n">
        <x:v>45942</x:v>
      </x:c>
      <x:c r="D3233" s="11" t="str">
        <x:v>2025-10</x:v>
      </x:c>
      <x:c r="E3233" s="11" t="str">
        <x:v>South</x:v>
      </x:c>
      <x:c r="F3233" s="11" t="str">
        <x:v>Furniture</x:v>
      </x:c>
      <x:c r="G3233" s="11" t="str">
        <x:v>Chair</x:v>
      </x:c>
      <x:c r="H3233" s="11" t="n">
        <x:v>5</x:v>
      </x:c>
      <x:c r="I3233" s="19" t="n">
        <x:v>0.05</x:v>
      </x:c>
      <x:c r="J3233" s="11" t="n">
        <x:v>0</x:v>
      </x:c>
      <x:c r="K3233" s="20" t="n">
        <x:v>850</x:v>
      </x:c>
      <x:c r="L3233" s="20" t="n">
        <x:v>42.5</x:v>
      </x:c>
      <x:c r="M3233" s="20" t="n">
        <x:v>550</x:v>
      </x:c>
      <x:c r="N3233" s="20" t="n">
        <x:f>IF(J3233=1,0,K3233-L3233)</x:f>
        <x:v>807.5</x:v>
      </x:c>
      <x:c r="O3233" s="20" t="n">
        <x:f>N3233-M3233</x:f>
        <x:v>257.5</x:v>
      </x:c>
    </x:row>
    <x:row r="3234" ht="22" customHeight="1">
      <x:c r="A3234" s="11" t="n">
        <x:v>3230</x:v>
      </x:c>
      <x:c r="B3234" s="11" t="n">
        <x:v>1641</x:v>
      </x:c>
      <x:c r="C3234" s="18" t="n">
        <x:v>45551</x:v>
      </x:c>
      <x:c r="D3234" s="11" t="str">
        <x:v>2024-09</x:v>
      </x:c>
      <x:c r="E3234" s="11" t="str">
        <x:v>South</x:v>
      </x:c>
      <x:c r="F3234" s="11" t="str">
        <x:v>Furniture</x:v>
      </x:c>
      <x:c r="G3234" s="11" t="str">
        <x:v>Desk</x:v>
      </x:c>
      <x:c r="H3234" s="11" t="n">
        <x:v>4</x:v>
      </x:c>
      <x:c r="I3234" s="19" t="n">
        <x:v>0.1</x:v>
      </x:c>
      <x:c r="J3234" s="11" t="n">
        <x:v>0</x:v>
      </x:c>
      <x:c r="K3234" s="20" t="n">
        <x:v>1120</x:v>
      </x:c>
      <x:c r="L3234" s="20" t="n">
        <x:v>112</x:v>
      </x:c>
      <x:c r="M3234" s="20" t="n">
        <x:v>760</x:v>
      </x:c>
      <x:c r="N3234" s="20" t="n">
        <x:f>IF(J3234=1,0,K3234-L3234)</x:f>
        <x:v>1008</x:v>
      </x:c>
      <x:c r="O3234" s="20" t="n">
        <x:f>N3234-M3234</x:f>
        <x:v>248</x:v>
      </x:c>
    </x:row>
    <x:row r="3235" ht="22" customHeight="1">
      <x:c r="A3235" s="11" t="n">
        <x:v>3231</x:v>
      </x:c>
      <x:c r="B3235" s="11" t="n">
        <x:v>1642</x:v>
      </x:c>
      <x:c r="C3235" s="18" t="n">
        <x:v>45668</x:v>
      </x:c>
      <x:c r="D3235" s="11" t="str">
        <x:v>2025-01</x:v>
      </x:c>
      <x:c r="E3235" s="11" t="str">
        <x:v>South</x:v>
      </x:c>
      <x:c r="F3235" s="11" t="str">
        <x:v>Office Supplies</x:v>
      </x:c>
      <x:c r="G3235" s="11" t="str">
        <x:v>Storage box</x:v>
      </x:c>
      <x:c r="H3235" s="11" t="n">
        <x:v>2</x:v>
      </x:c>
      <x:c r="I3235" s="19" t="n">
        <x:v>0</x:v>
      </x:c>
      <x:c r="J3235" s="11" t="n">
        <x:v>0</x:v>
      </x:c>
      <x:c r="K3235" s="20" t="n">
        <x:v>52</x:v>
      </x:c>
      <x:c r="L3235" s="20" t="n">
        <x:v>0</x:v>
      </x:c>
      <x:c r="M3235" s="20" t="n">
        <x:v>24</x:v>
      </x:c>
      <x:c r="N3235" s="20" t="n">
        <x:f>IF(J3235=1,0,K3235-L3235)</x:f>
        <x:v>52</x:v>
      </x:c>
      <x:c r="O3235" s="20" t="n">
        <x:f>N3235-M3235</x:f>
        <x:v>28</x:v>
      </x:c>
    </x:row>
    <x:row r="3236" ht="22" customHeight="1">
      <x:c r="A3236" s="11" t="n">
        <x:v>3232</x:v>
      </x:c>
      <x:c r="B3236" s="11" t="n">
        <x:v>1642</x:v>
      </x:c>
      <x:c r="C3236" s="18" t="n">
        <x:v>45668</x:v>
      </x:c>
      <x:c r="D3236" s="11" t="str">
        <x:v>2025-01</x:v>
      </x:c>
      <x:c r="E3236" s="11" t="str">
        <x:v>South</x:v>
      </x:c>
      <x:c r="F3236" s="11" t="str">
        <x:v>Furniture</x:v>
      </x:c>
      <x:c r="G3236" s="11" t="str">
        <x:v>Chair</x:v>
      </x:c>
      <x:c r="H3236" s="11" t="n">
        <x:v>2</x:v>
      </x:c>
      <x:c r="I3236" s="19" t="n">
        <x:v>0</x:v>
      </x:c>
      <x:c r="J3236" s="11" t="n">
        <x:v>0</x:v>
      </x:c>
      <x:c r="K3236" s="20" t="n">
        <x:v>340</x:v>
      </x:c>
      <x:c r="L3236" s="20" t="n">
        <x:v>0</x:v>
      </x:c>
      <x:c r="M3236" s="20" t="n">
        <x:v>220</x:v>
      </x:c>
      <x:c r="N3236" s="20" t="n">
        <x:f>IF(J3236=1,0,K3236-L3236)</x:f>
        <x:v>340</x:v>
      </x:c>
      <x:c r="O3236" s="20" t="n">
        <x:f>N3236-M3236</x:f>
        <x:v>120</x:v>
      </x:c>
    </x:row>
    <x:row r="3237" ht="22" customHeight="1">
      <x:c r="A3237" s="11" t="n">
        <x:v>3233</x:v>
      </x:c>
      <x:c r="B3237" s="11" t="n">
        <x:v>1643</x:v>
      </x:c>
      <x:c r="C3237" s="18" t="n">
        <x:v>45750</x:v>
      </x:c>
      <x:c r="D3237" s="11" t="str">
        <x:v>2025-04</x:v>
      </x:c>
      <x:c r="E3237" s="11" t="str">
        <x:v>South</x:v>
      </x:c>
      <x:c r="F3237" s="11" t="str">
        <x:v>Office Supplies</x:v>
      </x:c>
      <x:c r="G3237" s="11" t="str">
        <x:v>Notebook pack</x:v>
      </x:c>
      <x:c r="H3237" s="11" t="n">
        <x:v>4</x:v>
      </x:c>
      <x:c r="I3237" s="19" t="n">
        <x:v>0.1</x:v>
      </x:c>
      <x:c r="J3237" s="11" t="n">
        <x:v>0</x:v>
      </x:c>
      <x:c r="K3237" s="20" t="n">
        <x:v>72</x:v>
      </x:c>
      <x:c r="L3237" s="20" t="n">
        <x:v>7.2</x:v>
      </x:c>
      <x:c r="M3237" s="20" t="n">
        <x:v>28</x:v>
      </x:c>
      <x:c r="N3237" s="20" t="n">
        <x:f>IF(J3237=1,0,K3237-L3237)</x:f>
        <x:v>64.8</x:v>
      </x:c>
      <x:c r="O3237" s="20" t="n">
        <x:f>N3237-M3237</x:f>
        <x:v>36.8</x:v>
      </x:c>
    </x:row>
    <x:row r="3238" ht="22" customHeight="1">
      <x:c r="A3238" s="11" t="n">
        <x:v>3234</x:v>
      </x:c>
      <x:c r="B3238" s="11" t="n">
        <x:v>1643</x:v>
      </x:c>
      <x:c r="C3238" s="18" t="n">
        <x:v>45750</x:v>
      </x:c>
      <x:c r="D3238" s="11" t="str">
        <x:v>2025-04</x:v>
      </x:c>
      <x:c r="E3238" s="11" t="str">
        <x:v>South</x:v>
      </x:c>
      <x:c r="F3238" s="11" t="str">
        <x:v>Furniture</x:v>
      </x:c>
      <x:c r="G3238" s="11" t="str">
        <x:v>Desk</x:v>
      </x:c>
      <x:c r="H3238" s="11" t="n">
        <x:v>2</x:v>
      </x:c>
      <x:c r="I3238" s="19" t="n">
        <x:v>0.1</x:v>
      </x:c>
      <x:c r="J3238" s="11" t="n">
        <x:v>0</x:v>
      </x:c>
      <x:c r="K3238" s="20" t="n">
        <x:v>560</x:v>
      </x:c>
      <x:c r="L3238" s="20" t="n">
        <x:v>56</x:v>
      </x:c>
      <x:c r="M3238" s="20" t="n">
        <x:v>380</x:v>
      </x:c>
      <x:c r="N3238" s="20" t="n">
        <x:f>IF(J3238=1,0,K3238-L3238)</x:f>
        <x:v>504</x:v>
      </x:c>
      <x:c r="O3238" s="20" t="n">
        <x:f>N3238-M3238</x:f>
        <x:v>124</x:v>
      </x:c>
    </x:row>
    <x:row r="3239" ht="22" customHeight="1">
      <x:c r="A3239" s="11" t="n">
        <x:v>3235</x:v>
      </x:c>
      <x:c r="B3239" s="11" t="n">
        <x:v>1643</x:v>
      </x:c>
      <x:c r="C3239" s="18" t="n">
        <x:v>45750</x:v>
      </x:c>
      <x:c r="D3239" s="11" t="str">
        <x:v>2025-04</x:v>
      </x:c>
      <x:c r="E3239" s="11" t="str">
        <x:v>South</x:v>
      </x:c>
      <x:c r="F3239" s="11" t="str">
        <x:v>Technology</x:v>
      </x:c>
      <x:c r="G3239" s="11" t="str">
        <x:v>Keyboard</x:v>
      </x:c>
      <x:c r="H3239" s="11" t="n">
        <x:v>2</x:v>
      </x:c>
      <x:c r="I3239" s="19" t="n">
        <x:v>0.1</x:v>
      </x:c>
      <x:c r="J3239" s="11" t="n">
        <x:v>0</x:v>
      </x:c>
      <x:c r="K3239" s="20" t="n">
        <x:v>130</x:v>
      </x:c>
      <x:c r="L3239" s="20" t="n">
        <x:v>13</x:v>
      </x:c>
      <x:c r="M3239" s="20" t="n">
        <x:v>64</x:v>
      </x:c>
      <x:c r="N3239" s="20" t="n">
        <x:f>IF(J3239=1,0,K3239-L3239)</x:f>
        <x:v>117</x:v>
      </x:c>
      <x:c r="O3239" s="20" t="n">
        <x:f>N3239-M3239</x:f>
        <x:v>53</x:v>
      </x:c>
    </x:row>
    <x:row r="3240" ht="22" customHeight="1">
      <x:c r="A3240" s="11" t="n">
        <x:v>3236</x:v>
      </x:c>
      <x:c r="B3240" s="11" t="n">
        <x:v>1644</x:v>
      </x:c>
      <x:c r="C3240" s="18" t="n">
        <x:v>45488</x:v>
      </x:c>
      <x:c r="D3240" s="11" t="str">
        <x:v>2024-07</x:v>
      </x:c>
      <x:c r="E3240" s="11" t="str">
        <x:v>South</x:v>
      </x:c>
      <x:c r="F3240" s="11" t="str">
        <x:v>Furniture</x:v>
      </x:c>
      <x:c r="G3240" s="11" t="str">
        <x:v>Chair</x:v>
      </x:c>
      <x:c r="H3240" s="11" t="n">
        <x:v>3</x:v>
      </x:c>
      <x:c r="I3240" s="19" t="n">
        <x:v>0</x:v>
      </x:c>
      <x:c r="J3240" s="11" t="n">
        <x:v>0</x:v>
      </x:c>
      <x:c r="K3240" s="20" t="n">
        <x:v>510</x:v>
      </x:c>
      <x:c r="L3240" s="20" t="n">
        <x:v>0</x:v>
      </x:c>
      <x:c r="M3240" s="20" t="n">
        <x:v>330</x:v>
      </x:c>
      <x:c r="N3240" s="20" t="n">
        <x:f>IF(J3240=1,0,K3240-L3240)</x:f>
        <x:v>510</x:v>
      </x:c>
      <x:c r="O3240" s="20" t="n">
        <x:f>N3240-M3240</x:f>
        <x:v>180</x:v>
      </x:c>
    </x:row>
    <x:row r="3241" ht="22" customHeight="1">
      <x:c r="A3241" s="11" t="n">
        <x:v>3237</x:v>
      </x:c>
      <x:c r="B3241" s="11" t="n">
        <x:v>1644</x:v>
      </x:c>
      <x:c r="C3241" s="18" t="n">
        <x:v>45488</x:v>
      </x:c>
      <x:c r="D3241" s="11" t="str">
        <x:v>2024-07</x:v>
      </x:c>
      <x:c r="E3241" s="11" t="str">
        <x:v>South</x:v>
      </x:c>
      <x:c r="F3241" s="11" t="str">
        <x:v>Furniture</x:v>
      </x:c>
      <x:c r="G3241" s="11" t="str">
        <x:v>Desk</x:v>
      </x:c>
      <x:c r="H3241" s="11" t="n">
        <x:v>1</x:v>
      </x:c>
      <x:c r="I3241" s="19" t="n">
        <x:v>0</x:v>
      </x:c>
      <x:c r="J3241" s="11" t="n">
        <x:v>0</x:v>
      </x:c>
      <x:c r="K3241" s="20" t="n">
        <x:v>280</x:v>
      </x:c>
      <x:c r="L3241" s="20" t="n">
        <x:v>0</x:v>
      </x:c>
      <x:c r="M3241" s="20" t="n">
        <x:v>190</x:v>
      </x:c>
      <x:c r="N3241" s="20" t="n">
        <x:f>IF(J3241=1,0,K3241-L3241)</x:f>
        <x:v>280</x:v>
      </x:c>
      <x:c r="O3241" s="20" t="n">
        <x:f>N3241-M3241</x:f>
        <x:v>90</x:v>
      </x:c>
    </x:row>
    <x:row r="3242" ht="22" customHeight="1">
      <x:c r="A3242" s="11" t="n">
        <x:v>3238</x:v>
      </x:c>
      <x:c r="B3242" s="11" t="n">
        <x:v>1644</x:v>
      </x:c>
      <x:c r="C3242" s="18" t="n">
        <x:v>45488</x:v>
      </x:c>
      <x:c r="D3242" s="11" t="str">
        <x:v>2024-07</x:v>
      </x:c>
      <x:c r="E3242" s="11" t="str">
        <x:v>South</x:v>
      </x:c>
      <x:c r="F3242" s="11" t="str">
        <x:v>Technology</x:v>
      </x:c>
      <x:c r="G3242" s="11" t="str">
        <x:v>Keyboard</x:v>
      </x:c>
      <x:c r="H3242" s="11" t="n">
        <x:v>4</x:v>
      </x:c>
      <x:c r="I3242" s="19" t="n">
        <x:v>0</x:v>
      </x:c>
      <x:c r="J3242" s="11" t="n">
        <x:v>0</x:v>
      </x:c>
      <x:c r="K3242" s="20" t="n">
        <x:v>260</x:v>
      </x:c>
      <x:c r="L3242" s="20" t="n">
        <x:v>0</x:v>
      </x:c>
      <x:c r="M3242" s="20" t="n">
        <x:v>128</x:v>
      </x:c>
      <x:c r="N3242" s="20" t="n">
        <x:f>IF(J3242=1,0,K3242-L3242)</x:f>
        <x:v>260</x:v>
      </x:c>
      <x:c r="O3242" s="20" t="n">
        <x:f>N3242-M3242</x:f>
        <x:v>132</x:v>
      </x:c>
    </x:row>
    <x:row r="3243" ht="22" customHeight="1">
      <x:c r="A3243" s="11" t="n">
        <x:v>3239</x:v>
      </x:c>
      <x:c r="B3243" s="11" t="n">
        <x:v>1645</x:v>
      </x:c>
      <x:c r="C3243" s="18" t="n">
        <x:v>45553</x:v>
      </x:c>
      <x:c r="D3243" s="11" t="str">
        <x:v>2024-09</x:v>
      </x:c>
      <x:c r="E3243" s="11" t="str">
        <x:v>West</x:v>
      </x:c>
      <x:c r="F3243" s="11" t="str">
        <x:v>Technology</x:v>
      </x:c>
      <x:c r="G3243" s="11" t="str">
        <x:v>Keyboard</x:v>
      </x:c>
      <x:c r="H3243" s="11" t="n">
        <x:v>5</x:v>
      </x:c>
      <x:c r="I3243" s="19" t="n">
        <x:v>0</x:v>
      </x:c>
      <x:c r="J3243" s="11" t="n">
        <x:v>0</x:v>
      </x:c>
      <x:c r="K3243" s="20" t="n">
        <x:v>325</x:v>
      </x:c>
      <x:c r="L3243" s="20" t="n">
        <x:v>0</x:v>
      </x:c>
      <x:c r="M3243" s="20" t="n">
        <x:v>160</x:v>
      </x:c>
      <x:c r="N3243" s="20" t="n">
        <x:f>IF(J3243=1,0,K3243-L3243)</x:f>
        <x:v>325</x:v>
      </x:c>
      <x:c r="O3243" s="20" t="n">
        <x:f>N3243-M3243</x:f>
        <x:v>165</x:v>
      </x:c>
    </x:row>
    <x:row r="3244" ht="22" customHeight="1">
      <x:c r="A3244" s="11" t="n">
        <x:v>3240</x:v>
      </x:c>
      <x:c r="B3244" s="11" t="n">
        <x:v>1646</x:v>
      </x:c>
      <x:c r="C3244" s="18" t="n">
        <x:v>45850</x:v>
      </x:c>
      <x:c r="D3244" s="11" t="str">
        <x:v>2025-07</x:v>
      </x:c>
      <x:c r="E3244" s="11" t="str">
        <x:v>South</x:v>
      </x:c>
      <x:c r="F3244" s="11" t="str">
        <x:v>Office Supplies</x:v>
      </x:c>
      <x:c r="G3244" s="11" t="str">
        <x:v>Notebook pack</x:v>
      </x:c>
      <x:c r="H3244" s="11" t="n">
        <x:v>3</x:v>
      </x:c>
      <x:c r="I3244" s="19" t="n">
        <x:v>0</x:v>
      </x:c>
      <x:c r="J3244" s="11" t="n">
        <x:v>0</x:v>
      </x:c>
      <x:c r="K3244" s="20" t="n">
        <x:v>54</x:v>
      </x:c>
      <x:c r="L3244" s="20" t="n">
        <x:v>0</x:v>
      </x:c>
      <x:c r="M3244" s="20" t="n">
        <x:v>21</x:v>
      </x:c>
      <x:c r="N3244" s="20" t="n">
        <x:f>IF(J3244=1,0,K3244-L3244)</x:f>
        <x:v>54</x:v>
      </x:c>
      <x:c r="O3244" s="20" t="n">
        <x:f>N3244-M3244</x:f>
        <x:v>33</x:v>
      </x:c>
    </x:row>
    <x:row r="3245" ht="22" customHeight="1">
      <x:c r="A3245" s="11" t="n">
        <x:v>3241</x:v>
      </x:c>
      <x:c r="B3245" s="11" t="n">
        <x:v>1646</x:v>
      </x:c>
      <x:c r="C3245" s="18" t="n">
        <x:v>45850</x:v>
      </x:c>
      <x:c r="D3245" s="11" t="str">
        <x:v>2025-07</x:v>
      </x:c>
      <x:c r="E3245" s="11" t="str">
        <x:v>South</x:v>
      </x:c>
      <x:c r="F3245" s="11" t="str">
        <x:v>Furniture</x:v>
      </x:c>
      <x:c r="G3245" s="11" t="str">
        <x:v>Chair</x:v>
      </x:c>
      <x:c r="H3245" s="11" t="n">
        <x:v>1</x:v>
      </x:c>
      <x:c r="I3245" s="19" t="n">
        <x:v>0</x:v>
      </x:c>
      <x:c r="J3245" s="11" t="n">
        <x:v>0</x:v>
      </x:c>
      <x:c r="K3245" s="20" t="n">
        <x:v>170</x:v>
      </x:c>
      <x:c r="L3245" s="20" t="n">
        <x:v>0</x:v>
      </x:c>
      <x:c r="M3245" s="20" t="n">
        <x:v>110</x:v>
      </x:c>
      <x:c r="N3245" s="20" t="n">
        <x:f>IF(J3245=1,0,K3245-L3245)</x:f>
        <x:v>170</x:v>
      </x:c>
      <x:c r="O3245" s="20" t="n">
        <x:f>N3245-M3245</x:f>
        <x:v>60</x:v>
      </x:c>
    </x:row>
    <x:row r="3246" ht="22" customHeight="1">
      <x:c r="A3246" s="11" t="n">
        <x:v>3242</x:v>
      </x:c>
      <x:c r="B3246" s="11" t="n">
        <x:v>1647</x:v>
      </x:c>
      <x:c r="C3246" s="18" t="n">
        <x:v>46008</x:v>
      </x:c>
      <x:c r="D3246" s="11" t="str">
        <x:v>2025-12</x:v>
      </x:c>
      <x:c r="E3246" s="11" t="str">
        <x:v>Central</x:v>
      </x:c>
      <x:c r="F3246" s="11" t="str">
        <x:v>Furniture</x:v>
      </x:c>
      <x:c r="G3246" s="11" t="str">
        <x:v>Desk</x:v>
      </x:c>
      <x:c r="H3246" s="11" t="n">
        <x:v>4</x:v>
      </x:c>
      <x:c r="I3246" s="19" t="n">
        <x:v>0.1</x:v>
      </x:c>
      <x:c r="J3246" s="11" t="n">
        <x:v>0</x:v>
      </x:c>
      <x:c r="K3246" s="20" t="n">
        <x:v>1120</x:v>
      </x:c>
      <x:c r="L3246" s="20" t="n">
        <x:v>112</x:v>
      </x:c>
      <x:c r="M3246" s="20" t="n">
        <x:v>760</x:v>
      </x:c>
      <x:c r="N3246" s="20" t="n">
        <x:f>IF(J3246=1,0,K3246-L3246)</x:f>
        <x:v>1008</x:v>
      </x:c>
      <x:c r="O3246" s="20" t="n">
        <x:f>N3246-M3246</x:f>
        <x:v>248</x:v>
      </x:c>
    </x:row>
    <x:row r="3247" ht="22" customHeight="1">
      <x:c r="A3247" s="11" t="n">
        <x:v>3243</x:v>
      </x:c>
      <x:c r="B3247" s="11" t="n">
        <x:v>1647</x:v>
      </x:c>
      <x:c r="C3247" s="18" t="n">
        <x:v>46008</x:v>
      </x:c>
      <x:c r="D3247" s="11" t="str">
        <x:v>2025-12</x:v>
      </x:c>
      <x:c r="E3247" s="11" t="str">
        <x:v>Central</x:v>
      </x:c>
      <x:c r="F3247" s="11" t="str">
        <x:v>Technology</x:v>
      </x:c>
      <x:c r="G3247" s="11" t="str">
        <x:v>Keyboard</x:v>
      </x:c>
      <x:c r="H3247" s="11" t="n">
        <x:v>1</x:v>
      </x:c>
      <x:c r="I3247" s="19" t="n">
        <x:v>0.1</x:v>
      </x:c>
      <x:c r="J3247" s="11" t="n">
        <x:v>0</x:v>
      </x:c>
      <x:c r="K3247" s="20" t="n">
        <x:v>65</x:v>
      </x:c>
      <x:c r="L3247" s="20" t="n">
        <x:v>6.5</x:v>
      </x:c>
      <x:c r="M3247" s="20" t="n">
        <x:v>32</x:v>
      </x:c>
      <x:c r="N3247" s="20" t="n">
        <x:f>IF(J3247=1,0,K3247-L3247)</x:f>
        <x:v>58.5</x:v>
      </x:c>
      <x:c r="O3247" s="20" t="n">
        <x:f>N3247-M3247</x:f>
        <x:v>26.5</x:v>
      </x:c>
    </x:row>
    <x:row r="3248" ht="22" customHeight="1">
      <x:c r="A3248" s="11" t="n">
        <x:v>3244</x:v>
      </x:c>
      <x:c r="B3248" s="11" t="n">
        <x:v>1647</x:v>
      </x:c>
      <x:c r="C3248" s="18" t="n">
        <x:v>46008</x:v>
      </x:c>
      <x:c r="D3248" s="11" t="str">
        <x:v>2025-12</x:v>
      </x:c>
      <x:c r="E3248" s="11" t="str">
        <x:v>Central</x:v>
      </x:c>
      <x:c r="F3248" s="11" t="str">
        <x:v>Office Supplies</x:v>
      </x:c>
      <x:c r="G3248" s="11" t="str">
        <x:v>Notebook pack</x:v>
      </x:c>
      <x:c r="H3248" s="11" t="n">
        <x:v>2</x:v>
      </x:c>
      <x:c r="I3248" s="19" t="n">
        <x:v>0.05</x:v>
      </x:c>
      <x:c r="J3248" s="11" t="n">
        <x:v>0</x:v>
      </x:c>
      <x:c r="K3248" s="20" t="n">
        <x:v>36</x:v>
      </x:c>
      <x:c r="L3248" s="20" t="n">
        <x:v>1.8</x:v>
      </x:c>
      <x:c r="M3248" s="20" t="n">
        <x:v>14</x:v>
      </x:c>
      <x:c r="N3248" s="20" t="n">
        <x:f>IF(J3248=1,0,K3248-L3248)</x:f>
        <x:v>34.2</x:v>
      </x:c>
      <x:c r="O3248" s="20" t="n">
        <x:f>N3248-M3248</x:f>
        <x:v>20.200000000000003</x:v>
      </x:c>
    </x:row>
    <x:row r="3249" ht="22" customHeight="1">
      <x:c r="A3249" s="11" t="n">
        <x:v>3245</x:v>
      </x:c>
      <x:c r="B3249" s="11" t="n">
        <x:v>1648</x:v>
      </x:c>
      <x:c r="C3249" s="18" t="n">
        <x:v>45978</x:v>
      </x:c>
      <x:c r="D3249" s="11" t="str">
        <x:v>2025-11</x:v>
      </x:c>
      <x:c r="E3249" s="11" t="str">
        <x:v>South</x:v>
      </x:c>
      <x:c r="F3249" s="11" t="str">
        <x:v>Technology</x:v>
      </x:c>
      <x:c r="G3249" s="11" t="str">
        <x:v>Keyboard</x:v>
      </x:c>
      <x:c r="H3249" s="11" t="n">
        <x:v>5</x:v>
      </x:c>
      <x:c r="I3249" s="19" t="n">
        <x:v>0</x:v>
      </x:c>
      <x:c r="J3249" s="11" t="n">
        <x:v>0</x:v>
      </x:c>
      <x:c r="K3249" s="20" t="n">
        <x:v>325</x:v>
      </x:c>
      <x:c r="L3249" s="20" t="n">
        <x:v>0</x:v>
      </x:c>
      <x:c r="M3249" s="20" t="n">
        <x:v>160</x:v>
      </x:c>
      <x:c r="N3249" s="20" t="n">
        <x:f>IF(J3249=1,0,K3249-L3249)</x:f>
        <x:v>325</x:v>
      </x:c>
      <x:c r="O3249" s="20" t="n">
        <x:f>N3249-M3249</x:f>
        <x:v>165</x:v>
      </x:c>
    </x:row>
    <x:row r="3250" ht="22" customHeight="1">
      <x:c r="A3250" s="11" t="n">
        <x:v>3246</x:v>
      </x:c>
      <x:c r="B3250" s="11" t="n">
        <x:v>1648</x:v>
      </x:c>
      <x:c r="C3250" s="18" t="n">
        <x:v>45978</x:v>
      </x:c>
      <x:c r="D3250" s="11" t="str">
        <x:v>2025-11</x:v>
      </x:c>
      <x:c r="E3250" s="11" t="str">
        <x:v>South</x:v>
      </x:c>
      <x:c r="F3250" s="11" t="str">
        <x:v>Furniture</x:v>
      </x:c>
      <x:c r="G3250" s="11" t="str">
        <x:v>Desk</x:v>
      </x:c>
      <x:c r="H3250" s="11" t="n">
        <x:v>3</x:v>
      </x:c>
      <x:c r="I3250" s="19" t="n">
        <x:v>0</x:v>
      </x:c>
      <x:c r="J3250" s="11" t="n">
        <x:v>0</x:v>
      </x:c>
      <x:c r="K3250" s="20" t="n">
        <x:v>840</x:v>
      </x:c>
      <x:c r="L3250" s="20" t="n">
        <x:v>0</x:v>
      </x:c>
      <x:c r="M3250" s="20" t="n">
        <x:v>570</x:v>
      </x:c>
      <x:c r="N3250" s="20" t="n">
        <x:f>IF(J3250=1,0,K3250-L3250)</x:f>
        <x:v>840</x:v>
      </x:c>
      <x:c r="O3250" s="20" t="n">
        <x:f>N3250-M3250</x:f>
        <x:v>270</x:v>
      </x:c>
    </x:row>
    <x:row r="3251" ht="22" customHeight="1">
      <x:c r="A3251" s="11" t="n">
        <x:v>3247</x:v>
      </x:c>
      <x:c r="B3251" s="11" t="n">
        <x:v>1649</x:v>
      </x:c>
      <x:c r="C3251" s="18" t="n">
        <x:v>45926</x:v>
      </x:c>
      <x:c r="D3251" s="11" t="str">
        <x:v>2025-09</x:v>
      </x:c>
      <x:c r="E3251" s="11" t="str">
        <x:v>West</x:v>
      </x:c>
      <x:c r="F3251" s="11" t="str">
        <x:v>Office Supplies</x:v>
      </x:c>
      <x:c r="G3251" s="11" t="str">
        <x:v>Notebook pack</x:v>
      </x:c>
      <x:c r="H3251" s="11" t="n">
        <x:v>3</x:v>
      </x:c>
      <x:c r="I3251" s="19" t="n">
        <x:v>0</x:v>
      </x:c>
      <x:c r="J3251" s="11" t="n">
        <x:v>0</x:v>
      </x:c>
      <x:c r="K3251" s="20" t="n">
        <x:v>54</x:v>
      </x:c>
      <x:c r="L3251" s="20" t="n">
        <x:v>0</x:v>
      </x:c>
      <x:c r="M3251" s="20" t="n">
        <x:v>21</x:v>
      </x:c>
      <x:c r="N3251" s="20" t="n">
        <x:f>IF(J3251=1,0,K3251-L3251)</x:f>
        <x:v>54</x:v>
      </x:c>
      <x:c r="O3251" s="20" t="n">
        <x:f>N3251-M3251</x:f>
        <x:v>33</x:v>
      </x:c>
    </x:row>
    <x:row r="3252" ht="22" customHeight="1">
      <x:c r="A3252" s="11" t="n">
        <x:v>3248</x:v>
      </x:c>
      <x:c r="B3252" s="11" t="n">
        <x:v>1649</x:v>
      </x:c>
      <x:c r="C3252" s="18" t="n">
        <x:v>45926</x:v>
      </x:c>
      <x:c r="D3252" s="11" t="str">
        <x:v>2025-09</x:v>
      </x:c>
      <x:c r="E3252" s="11" t="str">
        <x:v>West</x:v>
      </x:c>
      <x:c r="F3252" s="11" t="str">
        <x:v>Furniture</x:v>
      </x:c>
      <x:c r="G3252" s="11" t="str">
        <x:v>Desk</x:v>
      </x:c>
      <x:c r="H3252" s="11" t="n">
        <x:v>1</x:v>
      </x:c>
      <x:c r="I3252" s="19" t="n">
        <x:v>0</x:v>
      </x:c>
      <x:c r="J3252" s="11" t="n">
        <x:v>0</x:v>
      </x:c>
      <x:c r="K3252" s="20" t="n">
        <x:v>280</x:v>
      </x:c>
      <x:c r="L3252" s="20" t="n">
        <x:v>0</x:v>
      </x:c>
      <x:c r="M3252" s="20" t="n">
        <x:v>190</x:v>
      </x:c>
      <x:c r="N3252" s="20" t="n">
        <x:f>IF(J3252=1,0,K3252-L3252)</x:f>
        <x:v>280</x:v>
      </x:c>
      <x:c r="O3252" s="20" t="n">
        <x:f>N3252-M3252</x:f>
        <x:v>90</x:v>
      </x:c>
    </x:row>
    <x:row r="3253" ht="22" customHeight="1">
      <x:c r="A3253" s="11" t="n">
        <x:v>3249</x:v>
      </x:c>
      <x:c r="B3253" s="11" t="n">
        <x:v>1649</x:v>
      </x:c>
      <x:c r="C3253" s="18" t="n">
        <x:v>45926</x:v>
      </x:c>
      <x:c r="D3253" s="11" t="str">
        <x:v>2025-09</x:v>
      </x:c>
      <x:c r="E3253" s="11" t="str">
        <x:v>West</x:v>
      </x:c>
      <x:c r="F3253" s="11" t="str">
        <x:v>Office Supplies</x:v>
      </x:c>
      <x:c r="G3253" s="11" t="str">
        <x:v>Storage box</x:v>
      </x:c>
      <x:c r="H3253" s="11" t="n">
        <x:v>5</x:v>
      </x:c>
      <x:c r="I3253" s="19" t="n">
        <x:v>0.15</x:v>
      </x:c>
      <x:c r="J3253" s="11" t="n">
        <x:v>0</x:v>
      </x:c>
      <x:c r="K3253" s="20" t="n">
        <x:v>130</x:v>
      </x:c>
      <x:c r="L3253" s="20" t="n">
        <x:v>19.5</x:v>
      </x:c>
      <x:c r="M3253" s="20" t="n">
        <x:v>60</x:v>
      </x:c>
      <x:c r="N3253" s="20" t="n">
        <x:f>IF(J3253=1,0,K3253-L3253)</x:f>
        <x:v>110.5</x:v>
      </x:c>
      <x:c r="O3253" s="20" t="n">
        <x:f>N3253-M3253</x:f>
        <x:v>50.5</x:v>
      </x:c>
    </x:row>
    <x:row r="3254" ht="22" customHeight="1">
      <x:c r="A3254" s="11" t="n">
        <x:v>3250</x:v>
      </x:c>
      <x:c r="B3254" s="11" t="n">
        <x:v>1650</x:v>
      </x:c>
      <x:c r="C3254" s="18" t="n">
        <x:v>45843</x:v>
      </x:c>
      <x:c r="D3254" s="11" t="str">
        <x:v>2025-07</x:v>
      </x:c>
      <x:c r="E3254" s="11" t="str">
        <x:v>Central</x:v>
      </x:c>
      <x:c r="F3254" s="11" t="str">
        <x:v>Office Supplies</x:v>
      </x:c>
      <x:c r="G3254" s="11" t="str">
        <x:v>Notebook pack</x:v>
      </x:c>
      <x:c r="H3254" s="11" t="n">
        <x:v>5</x:v>
      </x:c>
      <x:c r="I3254" s="19" t="n">
        <x:v>0.15</x:v>
      </x:c>
      <x:c r="J3254" s="11" t="n">
        <x:v>0</x:v>
      </x:c>
      <x:c r="K3254" s="20" t="n">
        <x:v>90</x:v>
      </x:c>
      <x:c r="L3254" s="20" t="n">
        <x:v>13.5</x:v>
      </x:c>
      <x:c r="M3254" s="20" t="n">
        <x:v>35</x:v>
      </x:c>
      <x:c r="N3254" s="20" t="n">
        <x:f>IF(J3254=1,0,K3254-L3254)</x:f>
        <x:v>76.5</x:v>
      </x:c>
      <x:c r="O3254" s="20" t="n">
        <x:f>N3254-M3254</x:f>
        <x:v>41.5</x:v>
      </x:c>
    </x:row>
    <x:row r="3255" ht="22" customHeight="1">
      <x:c r="A3255" s="11" t="n">
        <x:v>3251</x:v>
      </x:c>
      <x:c r="B3255" s="11" t="n">
        <x:v>1650</x:v>
      </x:c>
      <x:c r="C3255" s="18" t="n">
        <x:v>45843</x:v>
      </x:c>
      <x:c r="D3255" s="11" t="str">
        <x:v>2025-07</x:v>
      </x:c>
      <x:c r="E3255" s="11" t="str">
        <x:v>Central</x:v>
      </x:c>
      <x:c r="F3255" s="11" t="str">
        <x:v>Office Supplies</x:v>
      </x:c>
      <x:c r="G3255" s="11" t="str">
        <x:v>Storage box</x:v>
      </x:c>
      <x:c r="H3255" s="11" t="n">
        <x:v>2</x:v>
      </x:c>
      <x:c r="I3255" s="19" t="n">
        <x:v>0.15</x:v>
      </x:c>
      <x:c r="J3255" s="11" t="n">
        <x:v>0</x:v>
      </x:c>
      <x:c r="K3255" s="20" t="n">
        <x:v>52</x:v>
      </x:c>
      <x:c r="L3255" s="20" t="n">
        <x:v>7.8</x:v>
      </x:c>
      <x:c r="M3255" s="20" t="n">
        <x:v>24</x:v>
      </x:c>
      <x:c r="N3255" s="20" t="n">
        <x:f>IF(J3255=1,0,K3255-L3255)</x:f>
        <x:v>44.2</x:v>
      </x:c>
      <x:c r="O3255" s="20" t="n">
        <x:f>N3255-M3255</x:f>
        <x:v>20.200000000000003</x:v>
      </x:c>
    </x:row>
    <x:row r="3256" ht="22" customHeight="1">
      <x:c r="A3256" s="11" t="n">
        <x:v>3252</x:v>
      </x:c>
      <x:c r="B3256" s="11" t="n">
        <x:v>1650</x:v>
      </x:c>
      <x:c r="C3256" s="18" t="n">
        <x:v>45843</x:v>
      </x:c>
      <x:c r="D3256" s="11" t="str">
        <x:v>2025-07</x:v>
      </x:c>
      <x:c r="E3256" s="11" t="str">
        <x:v>Central</x:v>
      </x:c>
      <x:c r="F3256" s="11" t="str">
        <x:v>Technology</x:v>
      </x:c>
      <x:c r="G3256" s="11" t="str">
        <x:v>Keyboard</x:v>
      </x:c>
      <x:c r="H3256" s="11" t="n">
        <x:v>3</x:v>
      </x:c>
      <x:c r="I3256" s="19" t="n">
        <x:v>0.1</x:v>
      </x:c>
      <x:c r="J3256" s="11" t="n">
        <x:v>0</x:v>
      </x:c>
      <x:c r="K3256" s="20" t="n">
        <x:v>195</x:v>
      </x:c>
      <x:c r="L3256" s="20" t="n">
        <x:v>19.5</x:v>
      </x:c>
      <x:c r="M3256" s="20" t="n">
        <x:v>96</x:v>
      </x:c>
      <x:c r="N3256" s="20" t="n">
        <x:f>IF(J3256=1,0,K3256-L3256)</x:f>
        <x:v>175.5</x:v>
      </x:c>
      <x:c r="O3256" s="20" t="n">
        <x:f>N3256-M3256</x:f>
        <x:v>79.5</x:v>
      </x:c>
    </x:row>
    <x:row r="3257" ht="22" customHeight="1">
      <x:c r="A3257" s="11" t="n">
        <x:v>3253</x:v>
      </x:c>
      <x:c r="B3257" s="11" t="n">
        <x:v>1651</x:v>
      </x:c>
      <x:c r="C3257" s="18" t="n">
        <x:v>45428</x:v>
      </x:c>
      <x:c r="D3257" s="11" t="str">
        <x:v>2024-05</x:v>
      </x:c>
      <x:c r="E3257" s="11" t="str">
        <x:v>Central</x:v>
      </x:c>
      <x:c r="F3257" s="11" t="str">
        <x:v>Technology</x:v>
      </x:c>
      <x:c r="G3257" s="11" t="str">
        <x:v>Keyboard</x:v>
      </x:c>
      <x:c r="H3257" s="11" t="n">
        <x:v>3</x:v>
      </x:c>
      <x:c r="I3257" s="19" t="n">
        <x:v>0.1</x:v>
      </x:c>
      <x:c r="J3257" s="11" t="n">
        <x:v>0</x:v>
      </x:c>
      <x:c r="K3257" s="20" t="n">
        <x:v>195</x:v>
      </x:c>
      <x:c r="L3257" s="20" t="n">
        <x:v>19.5</x:v>
      </x:c>
      <x:c r="M3257" s="20" t="n">
        <x:v>96</x:v>
      </x:c>
      <x:c r="N3257" s="20" t="n">
        <x:f>IF(J3257=1,0,K3257-L3257)</x:f>
        <x:v>175.5</x:v>
      </x:c>
      <x:c r="O3257" s="20" t="n">
        <x:f>N3257-M3257</x:f>
        <x:v>79.5</x:v>
      </x:c>
    </x:row>
    <x:row r="3258" ht="22" customHeight="1">
      <x:c r="A3258" s="11" t="n">
        <x:v>3254</x:v>
      </x:c>
      <x:c r="B3258" s="11" t="n">
        <x:v>1651</x:v>
      </x:c>
      <x:c r="C3258" s="18" t="n">
        <x:v>45428</x:v>
      </x:c>
      <x:c r="D3258" s="11" t="str">
        <x:v>2024-05</x:v>
      </x:c>
      <x:c r="E3258" s="11" t="str">
        <x:v>Central</x:v>
      </x:c>
      <x:c r="F3258" s="11" t="str">
        <x:v>Furniture</x:v>
      </x:c>
      <x:c r="G3258" s="11" t="str">
        <x:v>Chair</x:v>
      </x:c>
      <x:c r="H3258" s="11" t="n">
        <x:v>1</x:v>
      </x:c>
      <x:c r="I3258" s="19" t="n">
        <x:v>0.25</x:v>
      </x:c>
      <x:c r="J3258" s="11" t="n">
        <x:v>0</x:v>
      </x:c>
      <x:c r="K3258" s="20" t="n">
        <x:v>170</x:v>
      </x:c>
      <x:c r="L3258" s="20" t="n">
        <x:v>42.5</x:v>
      </x:c>
      <x:c r="M3258" s="20" t="n">
        <x:v>110</x:v>
      </x:c>
      <x:c r="N3258" s="20" t="n">
        <x:f>IF(J3258=1,0,K3258-L3258)</x:f>
        <x:v>127.5</x:v>
      </x:c>
      <x:c r="O3258" s="20" t="n">
        <x:f>N3258-M3258</x:f>
        <x:v>17.5</x:v>
      </x:c>
    </x:row>
    <x:row r="3259" ht="22" customHeight="1">
      <x:c r="A3259" s="11" t="n">
        <x:v>3255</x:v>
      </x:c>
      <x:c r="B3259" s="11" t="n">
        <x:v>1652</x:v>
      </x:c>
      <x:c r="C3259" s="18" t="n">
        <x:v>45471</x:v>
      </x:c>
      <x:c r="D3259" s="11" t="str">
        <x:v>2024-06</x:v>
      </x:c>
      <x:c r="E3259" s="11" t="str">
        <x:v>West</x:v>
      </x:c>
      <x:c r="F3259" s="11" t="str">
        <x:v>Office Supplies</x:v>
      </x:c>
      <x:c r="G3259" s="11" t="str">
        <x:v>Notebook pack</x:v>
      </x:c>
      <x:c r="H3259" s="11" t="n">
        <x:v>2</x:v>
      </x:c>
      <x:c r="I3259" s="19" t="n">
        <x:v>0.15</x:v>
      </x:c>
      <x:c r="J3259" s="11" t="n">
        <x:v>0</x:v>
      </x:c>
      <x:c r="K3259" s="20" t="n">
        <x:v>36</x:v>
      </x:c>
      <x:c r="L3259" s="20" t="n">
        <x:v>5.4</x:v>
      </x:c>
      <x:c r="M3259" s="20" t="n">
        <x:v>14</x:v>
      </x:c>
      <x:c r="N3259" s="20" t="n">
        <x:f>IF(J3259=1,0,K3259-L3259)</x:f>
        <x:v>30.6</x:v>
      </x:c>
      <x:c r="O3259" s="20" t="n">
        <x:f>N3259-M3259</x:f>
        <x:v>16.6</x:v>
      </x:c>
    </x:row>
    <x:row r="3260" ht="22" customHeight="1">
      <x:c r="A3260" s="11" t="n">
        <x:v>3256</x:v>
      </x:c>
      <x:c r="B3260" s="11" t="n">
        <x:v>1653</x:v>
      </x:c>
      <x:c r="C3260" s="18" t="n">
        <x:v>45825</x:v>
      </x:c>
      <x:c r="D3260" s="11" t="str">
        <x:v>2025-06</x:v>
      </x:c>
      <x:c r="E3260" s="11" t="str">
        <x:v>West</x:v>
      </x:c>
      <x:c r="F3260" s="11" t="str">
        <x:v>Furniture</x:v>
      </x:c>
      <x:c r="G3260" s="11" t="str">
        <x:v>Desk</x:v>
      </x:c>
      <x:c r="H3260" s="11" t="n">
        <x:v>5</x:v>
      </x:c>
      <x:c r="I3260" s="19" t="n">
        <x:v>0.35</x:v>
      </x:c>
      <x:c r="J3260" s="11" t="n">
        <x:v>1</x:v>
      </x:c>
      <x:c r="K3260" s="20" t="n">
        <x:v>1400</x:v>
      </x:c>
      <x:c r="L3260" s="20" t="n">
        <x:v>490</x:v>
      </x:c>
      <x:c r="M3260" s="20" t="n">
        <x:v>0</x:v>
      </x:c>
      <x:c r="N3260" s="20" t="n">
        <x:f>IF(J3260=1,0,K3260-L3260)</x:f>
        <x:v>0</x:v>
      </x:c>
      <x:c r="O3260" s="20" t="n">
        <x:f>N3260-M3260</x:f>
        <x:v>0</x:v>
      </x:c>
    </x:row>
    <x:row r="3261" ht="22" customHeight="1">
      <x:c r="A3261" s="11" t="n">
        <x:v>3257</x:v>
      </x:c>
      <x:c r="B3261" s="11" t="n">
        <x:v>1653</x:v>
      </x:c>
      <x:c r="C3261" s="18" t="n">
        <x:v>45825</x:v>
      </x:c>
      <x:c r="D3261" s="11" t="str">
        <x:v>2025-06</x:v>
      </x:c>
      <x:c r="E3261" s="11" t="str">
        <x:v>West</x:v>
      </x:c>
      <x:c r="F3261" s="11" t="str">
        <x:v>Furniture</x:v>
      </x:c>
      <x:c r="G3261" s="11" t="str">
        <x:v>Chair</x:v>
      </x:c>
      <x:c r="H3261" s="11" t="n">
        <x:v>2</x:v>
      </x:c>
      <x:c r="I3261" s="19" t="n">
        <x:v>0.05</x:v>
      </x:c>
      <x:c r="J3261" s="11" t="n">
        <x:v>0</x:v>
      </x:c>
      <x:c r="K3261" s="20" t="n">
        <x:v>340</x:v>
      </x:c>
      <x:c r="L3261" s="20" t="n">
        <x:v>17</x:v>
      </x:c>
      <x:c r="M3261" s="20" t="n">
        <x:v>220</x:v>
      </x:c>
      <x:c r="N3261" s="20" t="n">
        <x:f>IF(J3261=1,0,K3261-L3261)</x:f>
        <x:v>323</x:v>
      </x:c>
      <x:c r="O3261" s="20" t="n">
        <x:f>N3261-M3261</x:f>
        <x:v>103</x:v>
      </x:c>
    </x:row>
    <x:row r="3262" ht="22" customHeight="1">
      <x:c r="A3262" s="11" t="n">
        <x:v>3258</x:v>
      </x:c>
      <x:c r="B3262" s="11" t="n">
        <x:v>1653</x:v>
      </x:c>
      <x:c r="C3262" s="18" t="n">
        <x:v>45825</x:v>
      </x:c>
      <x:c r="D3262" s="11" t="str">
        <x:v>2025-06</x:v>
      </x:c>
      <x:c r="E3262" s="11" t="str">
        <x:v>West</x:v>
      </x:c>
      <x:c r="F3262" s="11" t="str">
        <x:v>Office Supplies</x:v>
      </x:c>
      <x:c r="G3262" s="11" t="str">
        <x:v>Storage box</x:v>
      </x:c>
      <x:c r="H3262" s="11" t="n">
        <x:v>5</x:v>
      </x:c>
      <x:c r="I3262" s="19" t="n">
        <x:v>0.15</x:v>
      </x:c>
      <x:c r="J3262" s="11" t="n">
        <x:v>0</x:v>
      </x:c>
      <x:c r="K3262" s="20" t="n">
        <x:v>130</x:v>
      </x:c>
      <x:c r="L3262" s="20" t="n">
        <x:v>19.5</x:v>
      </x:c>
      <x:c r="M3262" s="20" t="n">
        <x:v>60</x:v>
      </x:c>
      <x:c r="N3262" s="20" t="n">
        <x:f>IF(J3262=1,0,K3262-L3262)</x:f>
        <x:v>110.5</x:v>
      </x:c>
      <x:c r="O3262" s="20" t="n">
        <x:f>N3262-M3262</x:f>
        <x:v>50.5</x:v>
      </x:c>
    </x:row>
    <x:row r="3263" ht="22" customHeight="1">
      <x:c r="A3263" s="11" t="n">
        <x:v>3259</x:v>
      </x:c>
      <x:c r="B3263" s="11" t="n">
        <x:v>1654</x:v>
      </x:c>
      <x:c r="C3263" s="18" t="n">
        <x:v>46020</x:v>
      </x:c>
      <x:c r="D3263" s="11" t="str">
        <x:v>2025-12</x:v>
      </x:c>
      <x:c r="E3263" s="11" t="str">
        <x:v>Central</x:v>
      </x:c>
      <x:c r="F3263" s="11" t="str">
        <x:v>Furniture</x:v>
      </x:c>
      <x:c r="G3263" s="11" t="str">
        <x:v>Chair</x:v>
      </x:c>
      <x:c r="H3263" s="11" t="n">
        <x:v>1</x:v>
      </x:c>
      <x:c r="I3263" s="19" t="n">
        <x:v>0</x:v>
      </x:c>
      <x:c r="J3263" s="11" t="n">
        <x:v>0</x:v>
      </x:c>
      <x:c r="K3263" s="20" t="n">
        <x:v>170</x:v>
      </x:c>
      <x:c r="L3263" s="20" t="n">
        <x:v>0</x:v>
      </x:c>
      <x:c r="M3263" s="20" t="n">
        <x:v>110</x:v>
      </x:c>
      <x:c r="N3263" s="20" t="n">
        <x:f>IF(J3263=1,0,K3263-L3263)</x:f>
        <x:v>170</x:v>
      </x:c>
      <x:c r="O3263" s="20" t="n">
        <x:f>N3263-M3263</x:f>
        <x:v>60</x:v>
      </x:c>
    </x:row>
    <x:row r="3264" ht="22" customHeight="1">
      <x:c r="A3264" s="11" t="n">
        <x:v>3260</x:v>
      </x:c>
      <x:c r="B3264" s="11" t="n">
        <x:v>1655</x:v>
      </x:c>
      <x:c r="C3264" s="18" t="n">
        <x:v>45307</x:v>
      </x:c>
      <x:c r="D3264" s="11" t="str">
        <x:v>2024-01</x:v>
      </x:c>
      <x:c r="E3264" s="11" t="str">
        <x:v>East</x:v>
      </x:c>
      <x:c r="F3264" s="11" t="str">
        <x:v>Furniture</x:v>
      </x:c>
      <x:c r="G3264" s="11" t="str">
        <x:v>Desk</x:v>
      </x:c>
      <x:c r="H3264" s="11" t="n">
        <x:v>1</x:v>
      </x:c>
      <x:c r="I3264" s="19" t="n">
        <x:v>0</x:v>
      </x:c>
      <x:c r="J3264" s="11" t="n">
        <x:v>0</x:v>
      </x:c>
      <x:c r="K3264" s="20" t="n">
        <x:v>280</x:v>
      </x:c>
      <x:c r="L3264" s="20" t="n">
        <x:v>0</x:v>
      </x:c>
      <x:c r="M3264" s="20" t="n">
        <x:v>190</x:v>
      </x:c>
      <x:c r="N3264" s="20" t="n">
        <x:f>IF(J3264=1,0,K3264-L3264)</x:f>
        <x:v>280</x:v>
      </x:c>
      <x:c r="O3264" s="20" t="n">
        <x:f>N3264-M3264</x:f>
        <x:v>90</x:v>
      </x:c>
    </x:row>
    <x:row r="3265" ht="22" customHeight="1">
      <x:c r="A3265" s="11" t="n">
        <x:v>3261</x:v>
      </x:c>
      <x:c r="B3265" s="11" t="n">
        <x:v>1656</x:v>
      </x:c>
      <x:c r="C3265" s="18" t="n">
        <x:v>45687</x:v>
      </x:c>
      <x:c r="D3265" s="11" t="str">
        <x:v>2025-01</x:v>
      </x:c>
      <x:c r="E3265" s="11" t="str">
        <x:v>West</x:v>
      </x:c>
      <x:c r="F3265" s="11" t="str">
        <x:v>Furniture</x:v>
      </x:c>
      <x:c r="G3265" s="11" t="str">
        <x:v>Desk</x:v>
      </x:c>
      <x:c r="H3265" s="11" t="n">
        <x:v>1</x:v>
      </x:c>
      <x:c r="I3265" s="19" t="n">
        <x:v>0.35</x:v>
      </x:c>
      <x:c r="J3265" s="11" t="n">
        <x:v>0</x:v>
      </x:c>
      <x:c r="K3265" s="20" t="n">
        <x:v>280</x:v>
      </x:c>
      <x:c r="L3265" s="20" t="n">
        <x:v>98</x:v>
      </x:c>
      <x:c r="M3265" s="20" t="n">
        <x:v>190</x:v>
      </x:c>
      <x:c r="N3265" s="20" t="n">
        <x:f>IF(J3265=1,0,K3265-L3265)</x:f>
        <x:v>182</x:v>
      </x:c>
      <x:c r="O3265" s="20" t="n">
        <x:f>N3265-M3265</x:f>
        <x:v>-8</x:v>
      </x:c>
    </x:row>
    <x:row r="3266" ht="22" customHeight="1">
      <x:c r="A3266" s="11" t="n">
        <x:v>3262</x:v>
      </x:c>
      <x:c r="B3266" s="11" t="n">
        <x:v>1656</x:v>
      </x:c>
      <x:c r="C3266" s="18" t="n">
        <x:v>45687</x:v>
      </x:c>
      <x:c r="D3266" s="11" t="str">
        <x:v>2025-01</x:v>
      </x:c>
      <x:c r="E3266" s="11" t="str">
        <x:v>West</x:v>
      </x:c>
      <x:c r="F3266" s="11" t="str">
        <x:v>Office Supplies</x:v>
      </x:c>
      <x:c r="G3266" s="11" t="str">
        <x:v>Storage box</x:v>
      </x:c>
      <x:c r="H3266" s="11" t="n">
        <x:v>1</x:v>
      </x:c>
      <x:c r="I3266" s="19" t="n">
        <x:v>0</x:v>
      </x:c>
      <x:c r="J3266" s="11" t="n">
        <x:v>0</x:v>
      </x:c>
      <x:c r="K3266" s="20" t="n">
        <x:v>26</x:v>
      </x:c>
      <x:c r="L3266" s="20" t="n">
        <x:v>0</x:v>
      </x:c>
      <x:c r="M3266" s="20" t="n">
        <x:v>12</x:v>
      </x:c>
      <x:c r="N3266" s="20" t="n">
        <x:f>IF(J3266=1,0,K3266-L3266)</x:f>
        <x:v>26</x:v>
      </x:c>
      <x:c r="O3266" s="20" t="n">
        <x:f>N3266-M3266</x:f>
        <x:v>14</x:v>
      </x:c>
    </x:row>
    <x:row r="3267" ht="22" customHeight="1">
      <x:c r="A3267" s="11" t="n">
        <x:v>3263</x:v>
      </x:c>
      <x:c r="B3267" s="11" t="n">
        <x:v>1657</x:v>
      </x:c>
      <x:c r="C3267" s="18" t="n">
        <x:v>45594</x:v>
      </x:c>
      <x:c r="D3267" s="11" t="str">
        <x:v>2024-10</x:v>
      </x:c>
      <x:c r="E3267" s="11" t="str">
        <x:v>West</x:v>
      </x:c>
      <x:c r="F3267" s="11" t="str">
        <x:v>Furniture</x:v>
      </x:c>
      <x:c r="G3267" s="11" t="str">
        <x:v>Desk</x:v>
      </x:c>
      <x:c r="H3267" s="11" t="n">
        <x:v>1</x:v>
      </x:c>
      <x:c r="I3267" s="19" t="n">
        <x:v>0.05</x:v>
      </x:c>
      <x:c r="J3267" s="11" t="n">
        <x:v>0</x:v>
      </x:c>
      <x:c r="K3267" s="20" t="n">
        <x:v>280</x:v>
      </x:c>
      <x:c r="L3267" s="20" t="n">
        <x:v>14</x:v>
      </x:c>
      <x:c r="M3267" s="20" t="n">
        <x:v>190</x:v>
      </x:c>
      <x:c r="N3267" s="20" t="n">
        <x:f>IF(J3267=1,0,K3267-L3267)</x:f>
        <x:v>266</x:v>
      </x:c>
      <x:c r="O3267" s="20" t="n">
        <x:f>N3267-M3267</x:f>
        <x:v>76</x:v>
      </x:c>
    </x:row>
    <x:row r="3268" ht="22" customHeight="1">
      <x:c r="A3268" s="11" t="n">
        <x:v>3264</x:v>
      </x:c>
      <x:c r="B3268" s="11" t="n">
        <x:v>1657</x:v>
      </x:c>
      <x:c r="C3268" s="18" t="n">
        <x:v>45594</x:v>
      </x:c>
      <x:c r="D3268" s="11" t="str">
        <x:v>2024-10</x:v>
      </x:c>
      <x:c r="E3268" s="11" t="str">
        <x:v>West</x:v>
      </x:c>
      <x:c r="F3268" s="11" t="str">
        <x:v>Technology</x:v>
      </x:c>
      <x:c r="G3268" s="11" t="str">
        <x:v>Monitor</x:v>
      </x:c>
      <x:c r="H3268" s="11" t="n">
        <x:v>3</x:v>
      </x:c>
      <x:c r="I3268" s="19" t="n">
        <x:v>0.05</x:v>
      </x:c>
      <x:c r="J3268" s="11" t="n">
        <x:v>0</x:v>
      </x:c>
      <x:c r="K3268" s="20" t="n">
        <x:v>720</x:v>
      </x:c>
      <x:c r="L3268" s="20" t="n">
        <x:v>36</x:v>
      </x:c>
      <x:c r="M3268" s="20" t="n">
        <x:v>480</x:v>
      </x:c>
      <x:c r="N3268" s="20" t="n">
        <x:f>IF(J3268=1,0,K3268-L3268)</x:f>
        <x:v>684</x:v>
      </x:c>
      <x:c r="O3268" s="20" t="n">
        <x:f>N3268-M3268</x:f>
        <x:v>204</x:v>
      </x:c>
    </x:row>
    <x:row r="3269" ht="22" customHeight="1">
      <x:c r="A3269" s="11" t="n">
        <x:v>3265</x:v>
      </x:c>
      <x:c r="B3269" s="11" t="n">
        <x:v>1658</x:v>
      </x:c>
      <x:c r="C3269" s="18" t="n">
        <x:v>45948</x:v>
      </x:c>
      <x:c r="D3269" s="11" t="str">
        <x:v>2025-10</x:v>
      </x:c>
      <x:c r="E3269" s="11" t="str">
        <x:v>West</x:v>
      </x:c>
      <x:c r="F3269" s="11" t="str">
        <x:v>Technology</x:v>
      </x:c>
      <x:c r="G3269" s="11" t="str">
        <x:v>Monitor</x:v>
      </x:c>
      <x:c r="H3269" s="11" t="n">
        <x:v>5</x:v>
      </x:c>
      <x:c r="I3269" s="19" t="n">
        <x:v>0</x:v>
      </x:c>
      <x:c r="J3269" s="11" t="n">
        <x:v>0</x:v>
      </x:c>
      <x:c r="K3269" s="20" t="n">
        <x:v>1200</x:v>
      </x:c>
      <x:c r="L3269" s="20" t="n">
        <x:v>0</x:v>
      </x:c>
      <x:c r="M3269" s="20" t="n">
        <x:v>800</x:v>
      </x:c>
      <x:c r="N3269" s="20" t="n">
        <x:f>IF(J3269=1,0,K3269-L3269)</x:f>
        <x:v>1200</x:v>
      </x:c>
      <x:c r="O3269" s="20" t="n">
        <x:f>N3269-M3269</x:f>
        <x:v>400</x:v>
      </x:c>
    </x:row>
    <x:row r="3270" ht="22" customHeight="1">
      <x:c r="A3270" s="11" t="n">
        <x:v>3266</x:v>
      </x:c>
      <x:c r="B3270" s="11" t="n">
        <x:v>1658</x:v>
      </x:c>
      <x:c r="C3270" s="18" t="n">
        <x:v>45948</x:v>
      </x:c>
      <x:c r="D3270" s="11" t="str">
        <x:v>2025-10</x:v>
      </x:c>
      <x:c r="E3270" s="11" t="str">
        <x:v>West</x:v>
      </x:c>
      <x:c r="F3270" s="11" t="str">
        <x:v>Technology</x:v>
      </x:c>
      <x:c r="G3270" s="11" t="str">
        <x:v>Keyboard</x:v>
      </x:c>
      <x:c r="H3270" s="11" t="n">
        <x:v>3</x:v>
      </x:c>
      <x:c r="I3270" s="19" t="n">
        <x:v>0.1</x:v>
      </x:c>
      <x:c r="J3270" s="11" t="n">
        <x:v>0</x:v>
      </x:c>
      <x:c r="K3270" s="20" t="n">
        <x:v>195</x:v>
      </x:c>
      <x:c r="L3270" s="20" t="n">
        <x:v>19.5</x:v>
      </x:c>
      <x:c r="M3270" s="20" t="n">
        <x:v>96</x:v>
      </x:c>
      <x:c r="N3270" s="20" t="n">
        <x:f>IF(J3270=1,0,K3270-L3270)</x:f>
        <x:v>175.5</x:v>
      </x:c>
      <x:c r="O3270" s="20" t="n">
        <x:f>N3270-M3270</x:f>
        <x:v>79.5</x:v>
      </x:c>
    </x:row>
    <x:row r="3271" ht="22" customHeight="1">
      <x:c r="A3271" s="11" t="n">
        <x:v>3267</x:v>
      </x:c>
      <x:c r="B3271" s="11" t="n">
        <x:v>1659</x:v>
      </x:c>
      <x:c r="C3271" s="18" t="n">
        <x:v>45894</x:v>
      </x:c>
      <x:c r="D3271" s="11" t="str">
        <x:v>2025-08</x:v>
      </x:c>
      <x:c r="E3271" s="11" t="str">
        <x:v>East</x:v>
      </x:c>
      <x:c r="F3271" s="11" t="str">
        <x:v>Furniture</x:v>
      </x:c>
      <x:c r="G3271" s="11" t="str">
        <x:v>Desk</x:v>
      </x:c>
      <x:c r="H3271" s="11" t="n">
        <x:v>2</x:v>
      </x:c>
      <x:c r="I3271" s="19" t="n">
        <x:v>0</x:v>
      </x:c>
      <x:c r="J3271" s="11" t="n">
        <x:v>0</x:v>
      </x:c>
      <x:c r="K3271" s="20" t="n">
        <x:v>560</x:v>
      </x:c>
      <x:c r="L3271" s="20" t="n">
        <x:v>0</x:v>
      </x:c>
      <x:c r="M3271" s="20" t="n">
        <x:v>380</x:v>
      </x:c>
      <x:c r="N3271" s="20" t="n">
        <x:f>IF(J3271=1,0,K3271-L3271)</x:f>
        <x:v>560</x:v>
      </x:c>
      <x:c r="O3271" s="20" t="n">
        <x:f>N3271-M3271</x:f>
        <x:v>180</x:v>
      </x:c>
    </x:row>
    <x:row r="3272" ht="22" customHeight="1">
      <x:c r="A3272" s="11" t="n">
        <x:v>3268</x:v>
      </x:c>
      <x:c r="B3272" s="11" t="n">
        <x:v>1660</x:v>
      </x:c>
      <x:c r="C3272" s="18" t="n">
        <x:v>45705</x:v>
      </x:c>
      <x:c r="D3272" s="11" t="str">
        <x:v>2025-02</x:v>
      </x:c>
      <x:c r="E3272" s="11" t="str">
        <x:v>East</x:v>
      </x:c>
      <x:c r="F3272" s="11" t="str">
        <x:v>Technology</x:v>
      </x:c>
      <x:c r="G3272" s="11" t="str">
        <x:v>Monitor</x:v>
      </x:c>
      <x:c r="H3272" s="11" t="n">
        <x:v>5</x:v>
      </x:c>
      <x:c r="I3272" s="19" t="n">
        <x:v>0.1</x:v>
      </x:c>
      <x:c r="J3272" s="11" t="n">
        <x:v>0</x:v>
      </x:c>
      <x:c r="K3272" s="20" t="n">
        <x:v>1200</x:v>
      </x:c>
      <x:c r="L3272" s="20" t="n">
        <x:v>120</x:v>
      </x:c>
      <x:c r="M3272" s="20" t="n">
        <x:v>800</x:v>
      </x:c>
      <x:c r="N3272" s="20" t="n">
        <x:f>IF(J3272=1,0,K3272-L3272)</x:f>
        <x:v>1080</x:v>
      </x:c>
      <x:c r="O3272" s="20" t="n">
        <x:f>N3272-M3272</x:f>
        <x:v>280</x:v>
      </x:c>
    </x:row>
    <x:row r="3273" ht="22" customHeight="1">
      <x:c r="A3273" s="11" t="n">
        <x:v>3269</x:v>
      </x:c>
      <x:c r="B3273" s="11" t="n">
        <x:v>1660</x:v>
      </x:c>
      <x:c r="C3273" s="18" t="n">
        <x:v>45705</x:v>
      </x:c>
      <x:c r="D3273" s="11" t="str">
        <x:v>2025-02</x:v>
      </x:c>
      <x:c r="E3273" s="11" t="str">
        <x:v>East</x:v>
      </x:c>
      <x:c r="F3273" s="11" t="str">
        <x:v>Office Supplies</x:v>
      </x:c>
      <x:c r="G3273" s="11" t="str">
        <x:v>Storage box</x:v>
      </x:c>
      <x:c r="H3273" s="11" t="n">
        <x:v>1</x:v>
      </x:c>
      <x:c r="I3273" s="19" t="n">
        <x:v>0.05</x:v>
      </x:c>
      <x:c r="J3273" s="11" t="n">
        <x:v>1</x:v>
      </x:c>
      <x:c r="K3273" s="20" t="n">
        <x:v>26</x:v>
      </x:c>
      <x:c r="L3273" s="20" t="n">
        <x:v>1.3</x:v>
      </x:c>
      <x:c r="M3273" s="20" t="n">
        <x:v>0</x:v>
      </x:c>
      <x:c r="N3273" s="20" t="n">
        <x:f>IF(J3273=1,0,K3273-L3273)</x:f>
        <x:v>0</x:v>
      </x:c>
      <x:c r="O3273" s="20" t="n">
        <x:f>N3273-M3273</x:f>
        <x:v>0</x:v>
      </x:c>
    </x:row>
    <x:row r="3274" ht="22" customHeight="1">
      <x:c r="A3274" s="11" t="n">
        <x:v>3270</x:v>
      </x:c>
      <x:c r="B3274" s="11" t="n">
        <x:v>1661</x:v>
      </x:c>
      <x:c r="C3274" s="18" t="n">
        <x:v>45997</x:v>
      </x:c>
      <x:c r="D3274" s="11" t="str">
        <x:v>2025-12</x:v>
      </x:c>
      <x:c r="E3274" s="11" t="str">
        <x:v>South</x:v>
      </x:c>
      <x:c r="F3274" s="11" t="str">
        <x:v>Office Supplies</x:v>
      </x:c>
      <x:c r="G3274" s="11" t="str">
        <x:v>Storage box</x:v>
      </x:c>
      <x:c r="H3274" s="11" t="n">
        <x:v>4</x:v>
      </x:c>
      <x:c r="I3274" s="19" t="n">
        <x:v>0.05</x:v>
      </x:c>
      <x:c r="J3274" s="11" t="n">
        <x:v>0</x:v>
      </x:c>
      <x:c r="K3274" s="20" t="n">
        <x:v>104</x:v>
      </x:c>
      <x:c r="L3274" s="20" t="n">
        <x:v>5.2</x:v>
      </x:c>
      <x:c r="M3274" s="20" t="n">
        <x:v>48</x:v>
      </x:c>
      <x:c r="N3274" s="20" t="n">
        <x:f>IF(J3274=1,0,K3274-L3274)</x:f>
        <x:v>98.8</x:v>
      </x:c>
      <x:c r="O3274" s="20" t="n">
        <x:f>N3274-M3274</x:f>
        <x:v>50.8</x:v>
      </x:c>
    </x:row>
    <x:row r="3275" ht="22" customHeight="1">
      <x:c r="A3275" s="11" t="n">
        <x:v>3271</x:v>
      </x:c>
      <x:c r="B3275" s="11" t="n">
        <x:v>1661</x:v>
      </x:c>
      <x:c r="C3275" s="18" t="n">
        <x:v>45997</x:v>
      </x:c>
      <x:c r="D3275" s="11" t="str">
        <x:v>2025-12</x:v>
      </x:c>
      <x:c r="E3275" s="11" t="str">
        <x:v>South</x:v>
      </x:c>
      <x:c r="F3275" s="11" t="str">
        <x:v>Technology</x:v>
      </x:c>
      <x:c r="G3275" s="11" t="str">
        <x:v>Keyboard</x:v>
      </x:c>
      <x:c r="H3275" s="11" t="n">
        <x:v>1</x:v>
      </x:c>
      <x:c r="I3275" s="19" t="n">
        <x:v>0.1</x:v>
      </x:c>
      <x:c r="J3275" s="11" t="n">
        <x:v>0</x:v>
      </x:c>
      <x:c r="K3275" s="20" t="n">
        <x:v>65</x:v>
      </x:c>
      <x:c r="L3275" s="20" t="n">
        <x:v>6.5</x:v>
      </x:c>
      <x:c r="M3275" s="20" t="n">
        <x:v>32</x:v>
      </x:c>
      <x:c r="N3275" s="20" t="n">
        <x:f>IF(J3275=1,0,K3275-L3275)</x:f>
        <x:v>58.5</x:v>
      </x:c>
      <x:c r="O3275" s="20" t="n">
        <x:f>N3275-M3275</x:f>
        <x:v>26.5</x:v>
      </x:c>
    </x:row>
    <x:row r="3276" ht="22" customHeight="1">
      <x:c r="A3276" s="11" t="n">
        <x:v>3272</x:v>
      </x:c>
      <x:c r="B3276" s="11" t="n">
        <x:v>1662</x:v>
      </x:c>
      <x:c r="C3276" s="18" t="n">
        <x:v>45598</x:v>
      </x:c>
      <x:c r="D3276" s="11" t="str">
        <x:v>2024-11</x:v>
      </x:c>
      <x:c r="E3276" s="11" t="str">
        <x:v>East</x:v>
      </x:c>
      <x:c r="F3276" s="11" t="str">
        <x:v>Furniture</x:v>
      </x:c>
      <x:c r="G3276" s="11" t="str">
        <x:v>Chair</x:v>
      </x:c>
      <x:c r="H3276" s="11" t="n">
        <x:v>4</x:v>
      </x:c>
      <x:c r="I3276" s="19" t="n">
        <x:v>0.15</x:v>
      </x:c>
      <x:c r="J3276" s="11" t="n">
        <x:v>0</x:v>
      </x:c>
      <x:c r="K3276" s="20" t="n">
        <x:v>680</x:v>
      </x:c>
      <x:c r="L3276" s="20" t="n">
        <x:v>102</x:v>
      </x:c>
      <x:c r="M3276" s="20" t="n">
        <x:v>440</x:v>
      </x:c>
      <x:c r="N3276" s="20" t="n">
        <x:f>IF(J3276=1,0,K3276-L3276)</x:f>
        <x:v>578</x:v>
      </x:c>
      <x:c r="O3276" s="20" t="n">
        <x:f>N3276-M3276</x:f>
        <x:v>138</x:v>
      </x:c>
    </x:row>
    <x:row r="3277" ht="22" customHeight="1">
      <x:c r="A3277" s="11" t="n">
        <x:v>3273</x:v>
      </x:c>
      <x:c r="B3277" s="11" t="n">
        <x:v>1662</x:v>
      </x:c>
      <x:c r="C3277" s="18" t="n">
        <x:v>45598</x:v>
      </x:c>
      <x:c r="D3277" s="11" t="str">
        <x:v>2024-11</x:v>
      </x:c>
      <x:c r="E3277" s="11" t="str">
        <x:v>East</x:v>
      </x:c>
      <x:c r="F3277" s="11" t="str">
        <x:v>Technology</x:v>
      </x:c>
      <x:c r="G3277" s="11" t="str">
        <x:v>Monitor</x:v>
      </x:c>
      <x:c r="H3277" s="11" t="n">
        <x:v>5</x:v>
      </x:c>
      <x:c r="I3277" s="19" t="n">
        <x:v>0.15</x:v>
      </x:c>
      <x:c r="J3277" s="11" t="n">
        <x:v>0</x:v>
      </x:c>
      <x:c r="K3277" s="20" t="n">
        <x:v>1200</x:v>
      </x:c>
      <x:c r="L3277" s="20" t="n">
        <x:v>180</x:v>
      </x:c>
      <x:c r="M3277" s="20" t="n">
        <x:v>800</x:v>
      </x:c>
      <x:c r="N3277" s="20" t="n">
        <x:f>IF(J3277=1,0,K3277-L3277)</x:f>
        <x:v>1020</x:v>
      </x:c>
      <x:c r="O3277" s="20" t="n">
        <x:f>N3277-M3277</x:f>
        <x:v>220</x:v>
      </x:c>
    </x:row>
    <x:row r="3278" ht="22" customHeight="1">
      <x:c r="A3278" s="11" t="n">
        <x:v>3274</x:v>
      </x:c>
      <x:c r="B3278" s="11" t="n">
        <x:v>1662</x:v>
      </x:c>
      <x:c r="C3278" s="18" t="n">
        <x:v>45598</x:v>
      </x:c>
      <x:c r="D3278" s="11" t="str">
        <x:v>2024-11</x:v>
      </x:c>
      <x:c r="E3278" s="11" t="str">
        <x:v>East</x:v>
      </x:c>
      <x:c r="F3278" s="11" t="str">
        <x:v>Furniture</x:v>
      </x:c>
      <x:c r="G3278" s="11" t="str">
        <x:v>Desk</x:v>
      </x:c>
      <x:c r="H3278" s="11" t="n">
        <x:v>5</x:v>
      </x:c>
      <x:c r="I3278" s="19" t="n">
        <x:v>0.35</x:v>
      </x:c>
      <x:c r="J3278" s="11" t="n">
        <x:v>1</x:v>
      </x:c>
      <x:c r="K3278" s="20" t="n">
        <x:v>1400</x:v>
      </x:c>
      <x:c r="L3278" s="20" t="n">
        <x:v>490</x:v>
      </x:c>
      <x:c r="M3278" s="20" t="n">
        <x:v>0</x:v>
      </x:c>
      <x:c r="N3278" s="20" t="n">
        <x:f>IF(J3278=1,0,K3278-L3278)</x:f>
        <x:v>0</x:v>
      </x:c>
      <x:c r="O3278" s="20" t="n">
        <x:f>N3278-M3278</x:f>
        <x:v>0</x:v>
      </x:c>
    </x:row>
    <x:row r="3279" ht="22" customHeight="1">
      <x:c r="A3279" s="11" t="n">
        <x:v>3275</x:v>
      </x:c>
      <x:c r="B3279" s="11" t="n">
        <x:v>1663</x:v>
      </x:c>
      <x:c r="C3279" s="18" t="n">
        <x:v>45921</x:v>
      </x:c>
      <x:c r="D3279" s="11" t="str">
        <x:v>2025-09</x:v>
      </x:c>
      <x:c r="E3279" s="11" t="str">
        <x:v>East</x:v>
      </x:c>
      <x:c r="F3279" s="11" t="str">
        <x:v>Furniture</x:v>
      </x:c>
      <x:c r="G3279" s="11" t="str">
        <x:v>Chair</x:v>
      </x:c>
      <x:c r="H3279" s="11" t="n">
        <x:v>5</x:v>
      </x:c>
      <x:c r="I3279" s="19" t="n">
        <x:v>0.05</x:v>
      </x:c>
      <x:c r="J3279" s="11" t="n">
        <x:v>0</x:v>
      </x:c>
      <x:c r="K3279" s="20" t="n">
        <x:v>850</x:v>
      </x:c>
      <x:c r="L3279" s="20" t="n">
        <x:v>42.5</x:v>
      </x:c>
      <x:c r="M3279" s="20" t="n">
        <x:v>550</x:v>
      </x:c>
      <x:c r="N3279" s="20" t="n">
        <x:f>IF(J3279=1,0,K3279-L3279)</x:f>
        <x:v>807.5</x:v>
      </x:c>
      <x:c r="O3279" s="20" t="n">
        <x:f>N3279-M3279</x:f>
        <x:v>257.5</x:v>
      </x:c>
    </x:row>
    <x:row r="3280" ht="22" customHeight="1">
      <x:c r="A3280" s="11" t="n">
        <x:v>3276</x:v>
      </x:c>
      <x:c r="B3280" s="11" t="n">
        <x:v>1663</x:v>
      </x:c>
      <x:c r="C3280" s="18" t="n">
        <x:v>45921</x:v>
      </x:c>
      <x:c r="D3280" s="11" t="str">
        <x:v>2025-09</x:v>
      </x:c>
      <x:c r="E3280" s="11" t="str">
        <x:v>East</x:v>
      </x:c>
      <x:c r="F3280" s="11" t="str">
        <x:v>Technology</x:v>
      </x:c>
      <x:c r="G3280" s="11" t="str">
        <x:v>Keyboard</x:v>
      </x:c>
      <x:c r="H3280" s="11" t="n">
        <x:v>2</x:v>
      </x:c>
      <x:c r="I3280" s="19" t="n">
        <x:v>0.1</x:v>
      </x:c>
      <x:c r="J3280" s="11" t="n">
        <x:v>0</x:v>
      </x:c>
      <x:c r="K3280" s="20" t="n">
        <x:v>130</x:v>
      </x:c>
      <x:c r="L3280" s="20" t="n">
        <x:v>13</x:v>
      </x:c>
      <x:c r="M3280" s="20" t="n">
        <x:v>64</x:v>
      </x:c>
      <x:c r="N3280" s="20" t="n">
        <x:f>IF(J3280=1,0,K3280-L3280)</x:f>
        <x:v>117</x:v>
      </x:c>
      <x:c r="O3280" s="20" t="n">
        <x:f>N3280-M3280</x:f>
        <x:v>53</x:v>
      </x:c>
    </x:row>
    <x:row r="3281" ht="22" customHeight="1">
      <x:c r="A3281" s="11" t="n">
        <x:v>3277</x:v>
      </x:c>
      <x:c r="B3281" s="11" t="n">
        <x:v>1663</x:v>
      </x:c>
      <x:c r="C3281" s="18" t="n">
        <x:v>45921</x:v>
      </x:c>
      <x:c r="D3281" s="11" t="str">
        <x:v>2025-09</x:v>
      </x:c>
      <x:c r="E3281" s="11" t="str">
        <x:v>East</x:v>
      </x:c>
      <x:c r="F3281" s="11" t="str">
        <x:v>Office Supplies</x:v>
      </x:c>
      <x:c r="G3281" s="11" t="str">
        <x:v>Notebook pack</x:v>
      </x:c>
      <x:c r="H3281" s="11" t="n">
        <x:v>5</x:v>
      </x:c>
      <x:c r="I3281" s="19" t="n">
        <x:v>0.15</x:v>
      </x:c>
      <x:c r="J3281" s="11" t="n">
        <x:v>0</x:v>
      </x:c>
      <x:c r="K3281" s="20" t="n">
        <x:v>90</x:v>
      </x:c>
      <x:c r="L3281" s="20" t="n">
        <x:v>13.5</x:v>
      </x:c>
      <x:c r="M3281" s="20" t="n">
        <x:v>35</x:v>
      </x:c>
      <x:c r="N3281" s="20" t="n">
        <x:f>IF(J3281=1,0,K3281-L3281)</x:f>
        <x:v>76.5</x:v>
      </x:c>
      <x:c r="O3281" s="20" t="n">
        <x:f>N3281-M3281</x:f>
        <x:v>41.5</x:v>
      </x:c>
    </x:row>
    <x:row r="3282" ht="22" customHeight="1">
      <x:c r="A3282" s="11" t="n">
        <x:v>3278</x:v>
      </x:c>
      <x:c r="B3282" s="11" t="n">
        <x:v>1664</x:v>
      </x:c>
      <x:c r="C3282" s="18" t="n">
        <x:v>45455</x:v>
      </x:c>
      <x:c r="D3282" s="11" t="str">
        <x:v>2024-06</x:v>
      </x:c>
      <x:c r="E3282" s="11" t="str">
        <x:v>South</x:v>
      </x:c>
      <x:c r="F3282" s="11" t="str">
        <x:v>Office Supplies</x:v>
      </x:c>
      <x:c r="G3282" s="11" t="str">
        <x:v>Notebook pack</x:v>
      </x:c>
      <x:c r="H3282" s="11" t="n">
        <x:v>2</x:v>
      </x:c>
      <x:c r="I3282" s="19" t="n">
        <x:v>0.15</x:v>
      </x:c>
      <x:c r="J3282" s="11" t="n">
        <x:v>0</x:v>
      </x:c>
      <x:c r="K3282" s="20" t="n">
        <x:v>36</x:v>
      </x:c>
      <x:c r="L3282" s="20" t="n">
        <x:v>5.4</x:v>
      </x:c>
      <x:c r="M3282" s="20" t="n">
        <x:v>14</x:v>
      </x:c>
      <x:c r="N3282" s="20" t="n">
        <x:f>IF(J3282=1,0,K3282-L3282)</x:f>
        <x:v>30.6</x:v>
      </x:c>
      <x:c r="O3282" s="20" t="n">
        <x:f>N3282-M3282</x:f>
        <x:v>16.6</x:v>
      </x:c>
    </x:row>
    <x:row r="3283" ht="22" customHeight="1">
      <x:c r="A3283" s="11" t="n">
        <x:v>3279</x:v>
      </x:c>
      <x:c r="B3283" s="11" t="n">
        <x:v>1665</x:v>
      </x:c>
      <x:c r="C3283" s="18" t="n">
        <x:v>45860</x:v>
      </x:c>
      <x:c r="D3283" s="11" t="str">
        <x:v>2025-07</x:v>
      </x:c>
      <x:c r="E3283" s="11" t="str">
        <x:v>Central</x:v>
      </x:c>
      <x:c r="F3283" s="11" t="str">
        <x:v>Office Supplies</x:v>
      </x:c>
      <x:c r="G3283" s="11" t="str">
        <x:v>Notebook pack</x:v>
      </x:c>
      <x:c r="H3283" s="11" t="n">
        <x:v>5</x:v>
      </x:c>
      <x:c r="I3283" s="19" t="n">
        <x:v>0</x:v>
      </x:c>
      <x:c r="J3283" s="11" t="n">
        <x:v>0</x:v>
      </x:c>
      <x:c r="K3283" s="20" t="n">
        <x:v>90</x:v>
      </x:c>
      <x:c r="L3283" s="20" t="n">
        <x:v>0</x:v>
      </x:c>
      <x:c r="M3283" s="20" t="n">
        <x:v>35</x:v>
      </x:c>
      <x:c r="N3283" s="20" t="n">
        <x:f>IF(J3283=1,0,K3283-L3283)</x:f>
        <x:v>90</x:v>
      </x:c>
      <x:c r="O3283" s="20" t="n">
        <x:f>N3283-M3283</x:f>
        <x:v>55</x:v>
      </x:c>
    </x:row>
    <x:row r="3284" ht="22" customHeight="1">
      <x:c r="A3284" s="11" t="n">
        <x:v>3280</x:v>
      </x:c>
      <x:c r="B3284" s="11" t="n">
        <x:v>1665</x:v>
      </x:c>
      <x:c r="C3284" s="18" t="n">
        <x:v>45860</x:v>
      </x:c>
      <x:c r="D3284" s="11" t="str">
        <x:v>2025-07</x:v>
      </x:c>
      <x:c r="E3284" s="11" t="str">
        <x:v>Central</x:v>
      </x:c>
      <x:c r="F3284" s="11" t="str">
        <x:v>Technology</x:v>
      </x:c>
      <x:c r="G3284" s="11" t="str">
        <x:v>Keyboard</x:v>
      </x:c>
      <x:c r="H3284" s="11" t="n">
        <x:v>3</x:v>
      </x:c>
      <x:c r="I3284" s="19" t="n">
        <x:v>0.15</x:v>
      </x:c>
      <x:c r="J3284" s="11" t="n">
        <x:v>0</x:v>
      </x:c>
      <x:c r="K3284" s="20" t="n">
        <x:v>195</x:v>
      </x:c>
      <x:c r="L3284" s="20" t="n">
        <x:v>29.25</x:v>
      </x:c>
      <x:c r="M3284" s="20" t="n">
        <x:v>96</x:v>
      </x:c>
      <x:c r="N3284" s="20" t="n">
        <x:f>IF(J3284=1,0,K3284-L3284)</x:f>
        <x:v>165.75</x:v>
      </x:c>
      <x:c r="O3284" s="20" t="n">
        <x:f>N3284-M3284</x:f>
        <x:v>69.75</x:v>
      </x:c>
    </x:row>
    <x:row r="3285" ht="22" customHeight="1">
      <x:c r="A3285" s="11" t="n">
        <x:v>3281</x:v>
      </x:c>
      <x:c r="B3285" s="11" t="n">
        <x:v>1666</x:v>
      </x:c>
      <x:c r="C3285" s="18" t="n">
        <x:v>45663</x:v>
      </x:c>
      <x:c r="D3285" s="11" t="str">
        <x:v>2025-01</x:v>
      </x:c>
      <x:c r="E3285" s="11" t="str">
        <x:v>East</x:v>
      </x:c>
      <x:c r="F3285" s="11" t="str">
        <x:v>Technology</x:v>
      </x:c>
      <x:c r="G3285" s="11" t="str">
        <x:v>Keyboard</x:v>
      </x:c>
      <x:c r="H3285" s="11" t="n">
        <x:v>5</x:v>
      </x:c>
      <x:c r="I3285" s="19" t="n">
        <x:v>0</x:v>
      </x:c>
      <x:c r="J3285" s="11" t="n">
        <x:v>0</x:v>
      </x:c>
      <x:c r="K3285" s="20" t="n">
        <x:v>325</x:v>
      </x:c>
      <x:c r="L3285" s="20" t="n">
        <x:v>0</x:v>
      </x:c>
      <x:c r="M3285" s="20" t="n">
        <x:v>160</x:v>
      </x:c>
      <x:c r="N3285" s="20" t="n">
        <x:f>IF(J3285=1,0,K3285-L3285)</x:f>
        <x:v>325</x:v>
      </x:c>
      <x:c r="O3285" s="20" t="n">
        <x:f>N3285-M3285</x:f>
        <x:v>165</x:v>
      </x:c>
    </x:row>
    <x:row r="3286" ht="22" customHeight="1">
      <x:c r="A3286" s="11" t="n">
        <x:v>3282</x:v>
      </x:c>
      <x:c r="B3286" s="11" t="n">
        <x:v>1666</x:v>
      </x:c>
      <x:c r="C3286" s="18" t="n">
        <x:v>45663</x:v>
      </x:c>
      <x:c r="D3286" s="11" t="str">
        <x:v>2025-01</x:v>
      </x:c>
      <x:c r="E3286" s="11" t="str">
        <x:v>East</x:v>
      </x:c>
      <x:c r="F3286" s="11" t="str">
        <x:v>Office Supplies</x:v>
      </x:c>
      <x:c r="G3286" s="11" t="str">
        <x:v>Storage box</x:v>
      </x:c>
      <x:c r="H3286" s="11" t="n">
        <x:v>1</x:v>
      </x:c>
      <x:c r="I3286" s="19" t="n">
        <x:v>0</x:v>
      </x:c>
      <x:c r="J3286" s="11" t="n">
        <x:v>0</x:v>
      </x:c>
      <x:c r="K3286" s="20" t="n">
        <x:v>26</x:v>
      </x:c>
      <x:c r="L3286" s="20" t="n">
        <x:v>0</x:v>
      </x:c>
      <x:c r="M3286" s="20" t="n">
        <x:v>12</x:v>
      </x:c>
      <x:c r="N3286" s="20" t="n">
        <x:f>IF(J3286=1,0,K3286-L3286)</x:f>
        <x:v>26</x:v>
      </x:c>
      <x:c r="O3286" s="20" t="n">
        <x:f>N3286-M3286</x:f>
        <x:v>14</x:v>
      </x:c>
    </x:row>
    <x:row r="3287" ht="22" customHeight="1">
      <x:c r="A3287" s="11" t="n">
        <x:v>3283</x:v>
      </x:c>
      <x:c r="B3287" s="11" t="n">
        <x:v>1666</x:v>
      </x:c>
      <x:c r="C3287" s="18" t="n">
        <x:v>45663</x:v>
      </x:c>
      <x:c r="D3287" s="11" t="str">
        <x:v>2025-01</x:v>
      </x:c>
      <x:c r="E3287" s="11" t="str">
        <x:v>East</x:v>
      </x:c>
      <x:c r="F3287" s="11" t="str">
        <x:v>Furniture</x:v>
      </x:c>
      <x:c r="G3287" s="11" t="str">
        <x:v>Desk</x:v>
      </x:c>
      <x:c r="H3287" s="11" t="n">
        <x:v>3</x:v>
      </x:c>
      <x:c r="I3287" s="19" t="n">
        <x:v>0.35</x:v>
      </x:c>
      <x:c r="J3287" s="11" t="n">
        <x:v>0</x:v>
      </x:c>
      <x:c r="K3287" s="20" t="n">
        <x:v>840</x:v>
      </x:c>
      <x:c r="L3287" s="20" t="n">
        <x:v>294</x:v>
      </x:c>
      <x:c r="M3287" s="20" t="n">
        <x:v>570</x:v>
      </x:c>
      <x:c r="N3287" s="20" t="n">
        <x:f>IF(J3287=1,0,K3287-L3287)</x:f>
        <x:v>546</x:v>
      </x:c>
      <x:c r="O3287" s="20" t="n">
        <x:f>N3287-M3287</x:f>
        <x:v>-24</x:v>
      </x:c>
    </x:row>
    <x:row r="3288" ht="22" customHeight="1">
      <x:c r="A3288" s="11" t="n">
        <x:v>3284</x:v>
      </x:c>
      <x:c r="B3288" s="11" t="n">
        <x:v>1667</x:v>
      </x:c>
      <x:c r="C3288" s="18" t="n">
        <x:v>45938</x:v>
      </x:c>
      <x:c r="D3288" s="11" t="str">
        <x:v>2025-10</x:v>
      </x:c>
      <x:c r="E3288" s="11" t="str">
        <x:v>Central</x:v>
      </x:c>
      <x:c r="F3288" s="11" t="str">
        <x:v>Furniture</x:v>
      </x:c>
      <x:c r="G3288" s="11" t="str">
        <x:v>Desk</x:v>
      </x:c>
      <x:c r="H3288" s="11" t="n">
        <x:v>1</x:v>
      </x:c>
      <x:c r="I3288" s="19" t="n">
        <x:v>0</x:v>
      </x:c>
      <x:c r="J3288" s="11" t="n">
        <x:v>0</x:v>
      </x:c>
      <x:c r="K3288" s="20" t="n">
        <x:v>280</x:v>
      </x:c>
      <x:c r="L3288" s="20" t="n">
        <x:v>0</x:v>
      </x:c>
      <x:c r="M3288" s="20" t="n">
        <x:v>190</x:v>
      </x:c>
      <x:c r="N3288" s="20" t="n">
        <x:f>IF(J3288=1,0,K3288-L3288)</x:f>
        <x:v>280</x:v>
      </x:c>
      <x:c r="O3288" s="20" t="n">
        <x:f>N3288-M3288</x:f>
        <x:v>90</x:v>
      </x:c>
    </x:row>
    <x:row r="3289" ht="22" customHeight="1">
      <x:c r="A3289" s="11" t="n">
        <x:v>3285</x:v>
      </x:c>
      <x:c r="B3289" s="11" t="n">
        <x:v>1667</x:v>
      </x:c>
      <x:c r="C3289" s="18" t="n">
        <x:v>45938</x:v>
      </x:c>
      <x:c r="D3289" s="11" t="str">
        <x:v>2025-10</x:v>
      </x:c>
      <x:c r="E3289" s="11" t="str">
        <x:v>Central</x:v>
      </x:c>
      <x:c r="F3289" s="11" t="str">
        <x:v>Technology</x:v>
      </x:c>
      <x:c r="G3289" s="11" t="str">
        <x:v>Monitor</x:v>
      </x:c>
      <x:c r="H3289" s="11" t="n">
        <x:v>5</x:v>
      </x:c>
      <x:c r="I3289" s="19" t="n">
        <x:v>0.05</x:v>
      </x:c>
      <x:c r="J3289" s="11" t="n">
        <x:v>0</x:v>
      </x:c>
      <x:c r="K3289" s="20" t="n">
        <x:v>1200</x:v>
      </x:c>
      <x:c r="L3289" s="20" t="n">
        <x:v>60</x:v>
      </x:c>
      <x:c r="M3289" s="20" t="n">
        <x:v>800</x:v>
      </x:c>
      <x:c r="N3289" s="20" t="n">
        <x:f>IF(J3289=1,0,K3289-L3289)</x:f>
        <x:v>1140</x:v>
      </x:c>
      <x:c r="O3289" s="20" t="n">
        <x:f>N3289-M3289</x:f>
        <x:v>340</x:v>
      </x:c>
    </x:row>
    <x:row r="3290" ht="22" customHeight="1">
      <x:c r="A3290" s="11" t="n">
        <x:v>3286</x:v>
      </x:c>
      <x:c r="B3290" s="11" t="n">
        <x:v>1668</x:v>
      </x:c>
      <x:c r="C3290" s="18" t="n">
        <x:v>45366</x:v>
      </x:c>
      <x:c r="D3290" s="11" t="str">
        <x:v>2024-03</x:v>
      </x:c>
      <x:c r="E3290" s="11" t="str">
        <x:v>West</x:v>
      </x:c>
      <x:c r="F3290" s="11" t="str">
        <x:v>Office Supplies</x:v>
      </x:c>
      <x:c r="G3290" s="11" t="str">
        <x:v>Notebook pack</x:v>
      </x:c>
      <x:c r="H3290" s="11" t="n">
        <x:v>1</x:v>
      </x:c>
      <x:c r="I3290" s="19" t="n">
        <x:v>0.1</x:v>
      </x:c>
      <x:c r="J3290" s="11" t="n">
        <x:v>0</x:v>
      </x:c>
      <x:c r="K3290" s="20" t="n">
        <x:v>18</x:v>
      </x:c>
      <x:c r="L3290" s="20" t="n">
        <x:v>1.8</x:v>
      </x:c>
      <x:c r="M3290" s="20" t="n">
        <x:v>7</x:v>
      </x:c>
      <x:c r="N3290" s="20" t="n">
        <x:f>IF(J3290=1,0,K3290-L3290)</x:f>
        <x:v>16.2</x:v>
      </x:c>
      <x:c r="O3290" s="20" t="n">
        <x:f>N3290-M3290</x:f>
        <x:v>9.2</x:v>
      </x:c>
    </x:row>
    <x:row r="3291" ht="22" customHeight="1">
      <x:c r="A3291" s="11" t="n">
        <x:v>3287</x:v>
      </x:c>
      <x:c r="B3291" s="11" t="n">
        <x:v>1668</x:v>
      </x:c>
      <x:c r="C3291" s="18" t="n">
        <x:v>45366</x:v>
      </x:c>
      <x:c r="D3291" s="11" t="str">
        <x:v>2024-03</x:v>
      </x:c>
      <x:c r="E3291" s="11" t="str">
        <x:v>West</x:v>
      </x:c>
      <x:c r="F3291" s="11" t="str">
        <x:v>Technology</x:v>
      </x:c>
      <x:c r="G3291" s="11" t="str">
        <x:v>Monitor</x:v>
      </x:c>
      <x:c r="H3291" s="11" t="n">
        <x:v>3</x:v>
      </x:c>
      <x:c r="I3291" s="19" t="n">
        <x:v>0</x:v>
      </x:c>
      <x:c r="J3291" s="11" t="n">
        <x:v>0</x:v>
      </x:c>
      <x:c r="K3291" s="20" t="n">
        <x:v>720</x:v>
      </x:c>
      <x:c r="L3291" s="20" t="n">
        <x:v>0</x:v>
      </x:c>
      <x:c r="M3291" s="20" t="n">
        <x:v>480</x:v>
      </x:c>
      <x:c r="N3291" s="20" t="n">
        <x:f>IF(J3291=1,0,K3291-L3291)</x:f>
        <x:v>720</x:v>
      </x:c>
      <x:c r="O3291" s="20" t="n">
        <x:f>N3291-M3291</x:f>
        <x:v>240</x:v>
      </x:c>
    </x:row>
    <x:row r="3292" ht="22" customHeight="1">
      <x:c r="A3292" s="11" t="n">
        <x:v>3288</x:v>
      </x:c>
      <x:c r="B3292" s="11" t="n">
        <x:v>1669</x:v>
      </x:c>
      <x:c r="C3292" s="18" t="n">
        <x:v>45433</x:v>
      </x:c>
      <x:c r="D3292" s="11" t="str">
        <x:v>2024-05</x:v>
      </x:c>
      <x:c r="E3292" s="11" t="str">
        <x:v>Central</x:v>
      </x:c>
      <x:c r="F3292" s="11" t="str">
        <x:v>Office Supplies</x:v>
      </x:c>
      <x:c r="G3292" s="11" t="str">
        <x:v>Notebook pack</x:v>
      </x:c>
      <x:c r="H3292" s="11" t="n">
        <x:v>1</x:v>
      </x:c>
      <x:c r="I3292" s="19" t="n">
        <x:v>0</x:v>
      </x:c>
      <x:c r="J3292" s="11" t="n">
        <x:v>0</x:v>
      </x:c>
      <x:c r="K3292" s="20" t="n">
        <x:v>18</x:v>
      </x:c>
      <x:c r="L3292" s="20" t="n">
        <x:v>0</x:v>
      </x:c>
      <x:c r="M3292" s="20" t="n">
        <x:v>7</x:v>
      </x:c>
      <x:c r="N3292" s="20" t="n">
        <x:f>IF(J3292=1,0,K3292-L3292)</x:f>
        <x:v>18</x:v>
      </x:c>
      <x:c r="O3292" s="20" t="n">
        <x:f>N3292-M3292</x:f>
        <x:v>11</x:v>
      </x:c>
    </x:row>
    <x:row r="3293" ht="22" customHeight="1">
      <x:c r="A3293" s="11" t="n">
        <x:v>3289</x:v>
      </x:c>
      <x:c r="B3293" s="11" t="n">
        <x:v>1669</x:v>
      </x:c>
      <x:c r="C3293" s="18" t="n">
        <x:v>45433</x:v>
      </x:c>
      <x:c r="D3293" s="11" t="str">
        <x:v>2024-05</x:v>
      </x:c>
      <x:c r="E3293" s="11" t="str">
        <x:v>Central</x:v>
      </x:c>
      <x:c r="F3293" s="11" t="str">
        <x:v>Furniture</x:v>
      </x:c>
      <x:c r="G3293" s="11" t="str">
        <x:v>Chair</x:v>
      </x:c>
      <x:c r="H3293" s="11" t="n">
        <x:v>5</x:v>
      </x:c>
      <x:c r="I3293" s="19" t="n">
        <x:v>0</x:v>
      </x:c>
      <x:c r="J3293" s="11" t="n">
        <x:v>0</x:v>
      </x:c>
      <x:c r="K3293" s="20" t="n">
        <x:v>850</x:v>
      </x:c>
      <x:c r="L3293" s="20" t="n">
        <x:v>0</x:v>
      </x:c>
      <x:c r="M3293" s="20" t="n">
        <x:v>550</x:v>
      </x:c>
      <x:c r="N3293" s="20" t="n">
        <x:f>IF(J3293=1,0,K3293-L3293)</x:f>
        <x:v>850</x:v>
      </x:c>
      <x:c r="O3293" s="20" t="n">
        <x:f>N3293-M3293</x:f>
        <x:v>300</x:v>
      </x:c>
    </x:row>
    <x:row r="3294" ht="22" customHeight="1">
      <x:c r="A3294" s="11" t="n">
        <x:v>3290</x:v>
      </x:c>
      <x:c r="B3294" s="11" t="n">
        <x:v>1670</x:v>
      </x:c>
      <x:c r="C3294" s="18" t="n">
        <x:v>45915</x:v>
      </x:c>
      <x:c r="D3294" s="11" t="str">
        <x:v>2025-09</x:v>
      </x:c>
      <x:c r="E3294" s="11" t="str">
        <x:v>Central</x:v>
      </x:c>
      <x:c r="F3294" s="11" t="str">
        <x:v>Technology</x:v>
      </x:c>
      <x:c r="G3294" s="11" t="str">
        <x:v>Keyboard</x:v>
      </x:c>
      <x:c r="H3294" s="11" t="n">
        <x:v>3</x:v>
      </x:c>
      <x:c r="I3294" s="19" t="n">
        <x:v>0</x:v>
      </x:c>
      <x:c r="J3294" s="11" t="n">
        <x:v>0</x:v>
      </x:c>
      <x:c r="K3294" s="20" t="n">
        <x:v>195</x:v>
      </x:c>
      <x:c r="L3294" s="20" t="n">
        <x:v>0</x:v>
      </x:c>
      <x:c r="M3294" s="20" t="n">
        <x:v>96</x:v>
      </x:c>
      <x:c r="N3294" s="20" t="n">
        <x:f>IF(J3294=1,0,K3294-L3294)</x:f>
        <x:v>195</x:v>
      </x:c>
      <x:c r="O3294" s="20" t="n">
        <x:f>N3294-M3294</x:f>
        <x:v>99</x:v>
      </x:c>
    </x:row>
    <x:row r="3295" ht="22" customHeight="1">
      <x:c r="A3295" s="11" t="n">
        <x:v>3291</x:v>
      </x:c>
      <x:c r="B3295" s="11" t="n">
        <x:v>1671</x:v>
      </x:c>
      <x:c r="C3295" s="18" t="n">
        <x:v>45909</x:v>
      </x:c>
      <x:c r="D3295" s="11" t="str">
        <x:v>2025-09</x:v>
      </x:c>
      <x:c r="E3295" s="11" t="str">
        <x:v>Central</x:v>
      </x:c>
      <x:c r="F3295" s="11" t="str">
        <x:v>Office Supplies</x:v>
      </x:c>
      <x:c r="G3295" s="11" t="str">
        <x:v>Notebook pack</x:v>
      </x:c>
      <x:c r="H3295" s="11" t="n">
        <x:v>1</x:v>
      </x:c>
      <x:c r="I3295" s="19" t="n">
        <x:v>0.05</x:v>
      </x:c>
      <x:c r="J3295" s="11" t="n">
        <x:v>0</x:v>
      </x:c>
      <x:c r="K3295" s="20" t="n">
        <x:v>18</x:v>
      </x:c>
      <x:c r="L3295" s="20" t="n">
        <x:v>0.9</x:v>
      </x:c>
      <x:c r="M3295" s="20" t="n">
        <x:v>7</x:v>
      </x:c>
      <x:c r="N3295" s="20" t="n">
        <x:f>IF(J3295=1,0,K3295-L3295)</x:f>
        <x:v>17.1</x:v>
      </x:c>
      <x:c r="O3295" s="20" t="n">
        <x:f>N3295-M3295</x:f>
        <x:v>10.100000000000001</x:v>
      </x:c>
    </x:row>
    <x:row r="3296" ht="22" customHeight="1">
      <x:c r="A3296" s="11" t="n">
        <x:v>3292</x:v>
      </x:c>
      <x:c r="B3296" s="11" t="n">
        <x:v>1671</x:v>
      </x:c>
      <x:c r="C3296" s="18" t="n">
        <x:v>45909</x:v>
      </x:c>
      <x:c r="D3296" s="11" t="str">
        <x:v>2025-09</x:v>
      </x:c>
      <x:c r="E3296" s="11" t="str">
        <x:v>Central</x:v>
      </x:c>
      <x:c r="F3296" s="11" t="str">
        <x:v>Furniture</x:v>
      </x:c>
      <x:c r="G3296" s="11" t="str">
        <x:v>Desk</x:v>
      </x:c>
      <x:c r="H3296" s="11" t="n">
        <x:v>3</x:v>
      </x:c>
      <x:c r="I3296" s="19" t="n">
        <x:v>0.1</x:v>
      </x:c>
      <x:c r="J3296" s="11" t="n">
        <x:v>0</x:v>
      </x:c>
      <x:c r="K3296" s="20" t="n">
        <x:v>840</x:v>
      </x:c>
      <x:c r="L3296" s="20" t="n">
        <x:v>84</x:v>
      </x:c>
      <x:c r="M3296" s="20" t="n">
        <x:v>570</x:v>
      </x:c>
      <x:c r="N3296" s="20" t="n">
        <x:f>IF(J3296=1,0,K3296-L3296)</x:f>
        <x:v>756</x:v>
      </x:c>
      <x:c r="O3296" s="20" t="n">
        <x:f>N3296-M3296</x:f>
        <x:v>186</x:v>
      </x:c>
    </x:row>
    <x:row r="3297" ht="22" customHeight="1">
      <x:c r="A3297" s="11" t="n">
        <x:v>3293</x:v>
      </x:c>
      <x:c r="B3297" s="11" t="n">
        <x:v>1671</x:v>
      </x:c>
      <x:c r="C3297" s="18" t="n">
        <x:v>45909</x:v>
      </x:c>
      <x:c r="D3297" s="11" t="str">
        <x:v>2025-09</x:v>
      </x:c>
      <x:c r="E3297" s="11" t="str">
        <x:v>Central</x:v>
      </x:c>
      <x:c r="F3297" s="11" t="str">
        <x:v>Technology</x:v>
      </x:c>
      <x:c r="G3297" s="11" t="str">
        <x:v>Keyboard</x:v>
      </x:c>
      <x:c r="H3297" s="11" t="n">
        <x:v>1</x:v>
      </x:c>
      <x:c r="I3297" s="19" t="n">
        <x:v>0.15</x:v>
      </x:c>
      <x:c r="J3297" s="11" t="n">
        <x:v>0</x:v>
      </x:c>
      <x:c r="K3297" s="20" t="n">
        <x:v>65</x:v>
      </x:c>
      <x:c r="L3297" s="20" t="n">
        <x:v>9.75</x:v>
      </x:c>
      <x:c r="M3297" s="20" t="n">
        <x:v>32</x:v>
      </x:c>
      <x:c r="N3297" s="20" t="n">
        <x:f>IF(J3297=1,0,K3297-L3297)</x:f>
        <x:v>55.25</x:v>
      </x:c>
      <x:c r="O3297" s="20" t="n">
        <x:f>N3297-M3297</x:f>
        <x:v>23.25</x:v>
      </x:c>
    </x:row>
    <x:row r="3298" ht="22" customHeight="1">
      <x:c r="A3298" s="11" t="n">
        <x:v>3294</x:v>
      </x:c>
      <x:c r="B3298" s="11" t="n">
        <x:v>1672</x:v>
      </x:c>
      <x:c r="C3298" s="18" t="n">
        <x:v>45592</x:v>
      </x:c>
      <x:c r="D3298" s="11" t="str">
        <x:v>2024-10</x:v>
      </x:c>
      <x:c r="E3298" s="11" t="str">
        <x:v>South</x:v>
      </x:c>
      <x:c r="F3298" s="11" t="str">
        <x:v>Technology</x:v>
      </x:c>
      <x:c r="G3298" s="11" t="str">
        <x:v>Monitor</x:v>
      </x:c>
      <x:c r="H3298" s="11" t="n">
        <x:v>4</x:v>
      </x:c>
      <x:c r="I3298" s="19" t="n">
        <x:v>0.15</x:v>
      </x:c>
      <x:c r="J3298" s="11" t="n">
        <x:v>0</x:v>
      </x:c>
      <x:c r="K3298" s="20" t="n">
        <x:v>960</x:v>
      </x:c>
      <x:c r="L3298" s="20" t="n">
        <x:v>144</x:v>
      </x:c>
      <x:c r="M3298" s="20" t="n">
        <x:v>640</x:v>
      </x:c>
      <x:c r="N3298" s="20" t="n">
        <x:f>IF(J3298=1,0,K3298-L3298)</x:f>
        <x:v>816</x:v>
      </x:c>
      <x:c r="O3298" s="20" t="n">
        <x:f>N3298-M3298</x:f>
        <x:v>176</x:v>
      </x:c>
    </x:row>
    <x:row r="3299" ht="22" customHeight="1">
      <x:c r="A3299" s="11" t="n">
        <x:v>3295</x:v>
      </x:c>
      <x:c r="B3299" s="11" t="n">
        <x:v>1673</x:v>
      </x:c>
      <x:c r="C3299" s="18" t="n">
        <x:v>45883</x:v>
      </x:c>
      <x:c r="D3299" s="11" t="str">
        <x:v>2025-08</x:v>
      </x:c>
      <x:c r="E3299" s="11" t="str">
        <x:v>South</x:v>
      </x:c>
      <x:c r="F3299" s="11" t="str">
        <x:v>Technology</x:v>
      </x:c>
      <x:c r="G3299" s="11" t="str">
        <x:v>Keyboard</x:v>
      </x:c>
      <x:c r="H3299" s="11" t="n">
        <x:v>5</x:v>
      </x:c>
      <x:c r="I3299" s="19" t="n">
        <x:v>0</x:v>
      </x:c>
      <x:c r="J3299" s="11" t="n">
        <x:v>0</x:v>
      </x:c>
      <x:c r="K3299" s="20" t="n">
        <x:v>325</x:v>
      </x:c>
      <x:c r="L3299" s="20" t="n">
        <x:v>0</x:v>
      </x:c>
      <x:c r="M3299" s="20" t="n">
        <x:v>160</x:v>
      </x:c>
      <x:c r="N3299" s="20" t="n">
        <x:f>IF(J3299=1,0,K3299-L3299)</x:f>
        <x:v>325</x:v>
      </x:c>
      <x:c r="O3299" s="20" t="n">
        <x:f>N3299-M3299</x:f>
        <x:v>165</x:v>
      </x:c>
    </x:row>
    <x:row r="3300" ht="22" customHeight="1">
      <x:c r="A3300" s="11" t="n">
        <x:v>3296</x:v>
      </x:c>
      <x:c r="B3300" s="11" t="n">
        <x:v>1673</x:v>
      </x:c>
      <x:c r="C3300" s="18" t="n">
        <x:v>45883</x:v>
      </x:c>
      <x:c r="D3300" s="11" t="str">
        <x:v>2025-08</x:v>
      </x:c>
      <x:c r="E3300" s="11" t="str">
        <x:v>South</x:v>
      </x:c>
      <x:c r="F3300" s="11" t="str">
        <x:v>Furniture</x:v>
      </x:c>
      <x:c r="G3300" s="11" t="str">
        <x:v>Desk</x:v>
      </x:c>
      <x:c r="H3300" s="11" t="n">
        <x:v>1</x:v>
      </x:c>
      <x:c r="I3300" s="19" t="n">
        <x:v>0</x:v>
      </x:c>
      <x:c r="J3300" s="11" t="n">
        <x:v>0</x:v>
      </x:c>
      <x:c r="K3300" s="20" t="n">
        <x:v>280</x:v>
      </x:c>
      <x:c r="L3300" s="20" t="n">
        <x:v>0</x:v>
      </x:c>
      <x:c r="M3300" s="20" t="n">
        <x:v>190</x:v>
      </x:c>
      <x:c r="N3300" s="20" t="n">
        <x:f>IF(J3300=1,0,K3300-L3300)</x:f>
        <x:v>280</x:v>
      </x:c>
      <x:c r="O3300" s="20" t="n">
        <x:f>N3300-M3300</x:f>
        <x:v>90</x:v>
      </x:c>
    </x:row>
    <x:row r="3301" ht="22" customHeight="1">
      <x:c r="A3301" s="11" t="n">
        <x:v>3297</x:v>
      </x:c>
      <x:c r="B3301" s="11" t="n">
        <x:v>1674</x:v>
      </x:c>
      <x:c r="C3301" s="18" t="n">
        <x:v>45516</x:v>
      </x:c>
      <x:c r="D3301" s="11" t="str">
        <x:v>2024-08</x:v>
      </x:c>
      <x:c r="E3301" s="11" t="str">
        <x:v>South</x:v>
      </x:c>
      <x:c r="F3301" s="11" t="str">
        <x:v>Technology</x:v>
      </x:c>
      <x:c r="G3301" s="11" t="str">
        <x:v>Monitor</x:v>
      </x:c>
      <x:c r="H3301" s="11" t="n">
        <x:v>4</x:v>
      </x:c>
      <x:c r="I3301" s="19" t="n">
        <x:v>0</x:v>
      </x:c>
      <x:c r="J3301" s="11" t="n">
        <x:v>0</x:v>
      </x:c>
      <x:c r="K3301" s="20" t="n">
        <x:v>960</x:v>
      </x:c>
      <x:c r="L3301" s="20" t="n">
        <x:v>0</x:v>
      </x:c>
      <x:c r="M3301" s="20" t="n">
        <x:v>640</x:v>
      </x:c>
      <x:c r="N3301" s="20" t="n">
        <x:f>IF(J3301=1,0,K3301-L3301)</x:f>
        <x:v>960</x:v>
      </x:c>
      <x:c r="O3301" s="20" t="n">
        <x:f>N3301-M3301</x:f>
        <x:v>320</x:v>
      </x:c>
    </x:row>
    <x:row r="3302" ht="22" customHeight="1">
      <x:c r="A3302" s="11" t="n">
        <x:v>3298</x:v>
      </x:c>
      <x:c r="B3302" s="11" t="n">
        <x:v>1674</x:v>
      </x:c>
      <x:c r="C3302" s="18" t="n">
        <x:v>45516</x:v>
      </x:c>
      <x:c r="D3302" s="11" t="str">
        <x:v>2024-08</x:v>
      </x:c>
      <x:c r="E3302" s="11" t="str">
        <x:v>South</x:v>
      </x:c>
      <x:c r="F3302" s="11" t="str">
        <x:v>Furniture</x:v>
      </x:c>
      <x:c r="G3302" s="11" t="str">
        <x:v>Desk</x:v>
      </x:c>
      <x:c r="H3302" s="11" t="n">
        <x:v>2</x:v>
      </x:c>
      <x:c r="I3302" s="19" t="n">
        <x:v>0.1</x:v>
      </x:c>
      <x:c r="J3302" s="11" t="n">
        <x:v>0</x:v>
      </x:c>
      <x:c r="K3302" s="20" t="n">
        <x:v>560</x:v>
      </x:c>
      <x:c r="L3302" s="20" t="n">
        <x:v>56</x:v>
      </x:c>
      <x:c r="M3302" s="20" t="n">
        <x:v>380</x:v>
      </x:c>
      <x:c r="N3302" s="20" t="n">
        <x:f>IF(J3302=1,0,K3302-L3302)</x:f>
        <x:v>504</x:v>
      </x:c>
      <x:c r="O3302" s="20" t="n">
        <x:f>N3302-M3302</x:f>
        <x:v>124</x:v>
      </x:c>
    </x:row>
    <x:row r="3303" ht="22" customHeight="1">
      <x:c r="A3303" s="11" t="n">
        <x:v>3299</x:v>
      </x:c>
      <x:c r="B3303" s="11" t="n">
        <x:v>1675</x:v>
      </x:c>
      <x:c r="C3303" s="18" t="n">
        <x:v>45773</x:v>
      </x:c>
      <x:c r="D3303" s="11" t="str">
        <x:v>2025-04</x:v>
      </x:c>
      <x:c r="E3303" s="11" t="str">
        <x:v>West</x:v>
      </x:c>
      <x:c r="F3303" s="11" t="str">
        <x:v>Office Supplies</x:v>
      </x:c>
      <x:c r="G3303" s="11" t="str">
        <x:v>Notebook pack</x:v>
      </x:c>
      <x:c r="H3303" s="11" t="n">
        <x:v>1</x:v>
      </x:c>
      <x:c r="I3303" s="19" t="n">
        <x:v>0</x:v>
      </x:c>
      <x:c r="J3303" s="11" t="n">
        <x:v>0</x:v>
      </x:c>
      <x:c r="K3303" s="20" t="n">
        <x:v>18</x:v>
      </x:c>
      <x:c r="L3303" s="20" t="n">
        <x:v>0</x:v>
      </x:c>
      <x:c r="M3303" s="20" t="n">
        <x:v>7</x:v>
      </x:c>
      <x:c r="N3303" s="20" t="n">
        <x:f>IF(J3303=1,0,K3303-L3303)</x:f>
        <x:v>18</x:v>
      </x:c>
      <x:c r="O3303" s="20" t="n">
        <x:f>N3303-M3303</x:f>
        <x:v>11</x:v>
      </x:c>
    </x:row>
    <x:row r="3304" ht="22" customHeight="1">
      <x:c r="A3304" s="11" t="n">
        <x:v>3300</x:v>
      </x:c>
      <x:c r="B3304" s="11" t="n">
        <x:v>1675</x:v>
      </x:c>
      <x:c r="C3304" s="18" t="n">
        <x:v>45773</x:v>
      </x:c>
      <x:c r="D3304" s="11" t="str">
        <x:v>2025-04</x:v>
      </x:c>
      <x:c r="E3304" s="11" t="str">
        <x:v>West</x:v>
      </x:c>
      <x:c r="F3304" s="11" t="str">
        <x:v>Technology</x:v>
      </x:c>
      <x:c r="G3304" s="11" t="str">
        <x:v>Monitor</x:v>
      </x:c>
      <x:c r="H3304" s="11" t="n">
        <x:v>5</x:v>
      </x:c>
      <x:c r="I3304" s="19" t="n">
        <x:v>0.15</x:v>
      </x:c>
      <x:c r="J3304" s="11" t="n">
        <x:v>0</x:v>
      </x:c>
      <x:c r="K3304" s="20" t="n">
        <x:v>1200</x:v>
      </x:c>
      <x:c r="L3304" s="20" t="n">
        <x:v>180</x:v>
      </x:c>
      <x:c r="M3304" s="20" t="n">
        <x:v>800</x:v>
      </x:c>
      <x:c r="N3304" s="20" t="n">
        <x:f>IF(J3304=1,0,K3304-L3304)</x:f>
        <x:v>1020</x:v>
      </x:c>
      <x:c r="O3304" s="20" t="n">
        <x:f>N3304-M3304</x:f>
        <x:v>220</x:v>
      </x:c>
    </x:row>
    <x:row r="3305" ht="22" customHeight="1">
      <x:c r="A3305" s="11" t="n">
        <x:v>3301</x:v>
      </x:c>
      <x:c r="B3305" s="11" t="n">
        <x:v>1675</x:v>
      </x:c>
      <x:c r="C3305" s="18" t="n">
        <x:v>45773</x:v>
      </x:c>
      <x:c r="D3305" s="11" t="str">
        <x:v>2025-04</x:v>
      </x:c>
      <x:c r="E3305" s="11" t="str">
        <x:v>West</x:v>
      </x:c>
      <x:c r="F3305" s="11" t="str">
        <x:v>Office Supplies</x:v>
      </x:c>
      <x:c r="G3305" s="11" t="str">
        <x:v>Storage box</x:v>
      </x:c>
      <x:c r="H3305" s="11" t="n">
        <x:v>3</x:v>
      </x:c>
      <x:c r="I3305" s="19" t="n">
        <x:v>0.1</x:v>
      </x:c>
      <x:c r="J3305" s="11" t="n">
        <x:v>0</x:v>
      </x:c>
      <x:c r="K3305" s="20" t="n">
        <x:v>78</x:v>
      </x:c>
      <x:c r="L3305" s="20" t="n">
        <x:v>7.8</x:v>
      </x:c>
      <x:c r="M3305" s="20" t="n">
        <x:v>36</x:v>
      </x:c>
      <x:c r="N3305" s="20" t="n">
        <x:f>IF(J3305=1,0,K3305-L3305)</x:f>
        <x:v>70.2</x:v>
      </x:c>
      <x:c r="O3305" s="20" t="n">
        <x:f>N3305-M3305</x:f>
        <x:v>34.2</x:v>
      </x:c>
    </x:row>
    <x:row r="3306" ht="22" customHeight="1">
      <x:c r="A3306" s="11" t="n">
        <x:v>3302</x:v>
      </x:c>
      <x:c r="B3306" s="11" t="n">
        <x:v>1676</x:v>
      </x:c>
      <x:c r="C3306" s="18" t="n">
        <x:v>45431</x:v>
      </x:c>
      <x:c r="D3306" s="11" t="str">
        <x:v>2024-05</x:v>
      </x:c>
      <x:c r="E3306" s="11" t="str">
        <x:v>South</x:v>
      </x:c>
      <x:c r="F3306" s="11" t="str">
        <x:v>Office Supplies</x:v>
      </x:c>
      <x:c r="G3306" s="11" t="str">
        <x:v>Notebook pack</x:v>
      </x:c>
      <x:c r="H3306" s="11" t="n">
        <x:v>1</x:v>
      </x:c>
      <x:c r="I3306" s="19" t="n">
        <x:v>0.1</x:v>
      </x:c>
      <x:c r="J3306" s="11" t="n">
        <x:v>0</x:v>
      </x:c>
      <x:c r="K3306" s="20" t="n">
        <x:v>18</x:v>
      </x:c>
      <x:c r="L3306" s="20" t="n">
        <x:v>1.8</x:v>
      </x:c>
      <x:c r="M3306" s="20" t="n">
        <x:v>7</x:v>
      </x:c>
      <x:c r="N3306" s="20" t="n">
        <x:f>IF(J3306=1,0,K3306-L3306)</x:f>
        <x:v>16.2</x:v>
      </x:c>
      <x:c r="O3306" s="20" t="n">
        <x:f>N3306-M3306</x:f>
        <x:v>9.2</x:v>
      </x:c>
    </x:row>
    <x:row r="3307" ht="22" customHeight="1">
      <x:c r="A3307" s="11" t="n">
        <x:v>3303</x:v>
      </x:c>
      <x:c r="B3307" s="11" t="n">
        <x:v>1676</x:v>
      </x:c>
      <x:c r="C3307" s="18" t="n">
        <x:v>45431</x:v>
      </x:c>
      <x:c r="D3307" s="11" t="str">
        <x:v>2024-05</x:v>
      </x:c>
      <x:c r="E3307" s="11" t="str">
        <x:v>South</x:v>
      </x:c>
      <x:c r="F3307" s="11" t="str">
        <x:v>Technology</x:v>
      </x:c>
      <x:c r="G3307" s="11" t="str">
        <x:v>Monitor</x:v>
      </x:c>
      <x:c r="H3307" s="11" t="n">
        <x:v>3</x:v>
      </x:c>
      <x:c r="I3307" s="19" t="n">
        <x:v>0.15</x:v>
      </x:c>
      <x:c r="J3307" s="11" t="n">
        <x:v>0</x:v>
      </x:c>
      <x:c r="K3307" s="20" t="n">
        <x:v>720</x:v>
      </x:c>
      <x:c r="L3307" s="20" t="n">
        <x:v>108</x:v>
      </x:c>
      <x:c r="M3307" s="20" t="n">
        <x:v>480</x:v>
      </x:c>
      <x:c r="N3307" s="20" t="n">
        <x:f>IF(J3307=1,0,K3307-L3307)</x:f>
        <x:v>612</x:v>
      </x:c>
      <x:c r="O3307" s="20" t="n">
        <x:f>N3307-M3307</x:f>
        <x:v>132</x:v>
      </x:c>
    </x:row>
    <x:row r="3308" ht="22" customHeight="1">
      <x:c r="A3308" s="11" t="n">
        <x:v>3304</x:v>
      </x:c>
      <x:c r="B3308" s="11" t="n">
        <x:v>1677</x:v>
      </x:c>
      <x:c r="C3308" s="18" t="n">
        <x:v>45352</x:v>
      </x:c>
      <x:c r="D3308" s="11" t="str">
        <x:v>2024-03</x:v>
      </x:c>
      <x:c r="E3308" s="11" t="str">
        <x:v>Central</x:v>
      </x:c>
      <x:c r="F3308" s="11" t="str">
        <x:v>Technology</x:v>
      </x:c>
      <x:c r="G3308" s="11" t="str">
        <x:v>Monitor</x:v>
      </x:c>
      <x:c r="H3308" s="11" t="n">
        <x:v>4</x:v>
      </x:c>
      <x:c r="I3308" s="19" t="n">
        <x:v>0</x:v>
      </x:c>
      <x:c r="J3308" s="11" t="n">
        <x:v>0</x:v>
      </x:c>
      <x:c r="K3308" s="20" t="n">
        <x:v>960</x:v>
      </x:c>
      <x:c r="L3308" s="20" t="n">
        <x:v>0</x:v>
      </x:c>
      <x:c r="M3308" s="20" t="n">
        <x:v>640</x:v>
      </x:c>
      <x:c r="N3308" s="20" t="n">
        <x:f>IF(J3308=1,0,K3308-L3308)</x:f>
        <x:v>960</x:v>
      </x:c>
      <x:c r="O3308" s="20" t="n">
        <x:f>N3308-M3308</x:f>
        <x:v>320</x:v>
      </x:c>
    </x:row>
    <x:row r="3309" ht="22" customHeight="1">
      <x:c r="A3309" s="11" t="n">
        <x:v>3305</x:v>
      </x:c>
      <x:c r="B3309" s="11" t="n">
        <x:v>1677</x:v>
      </x:c>
      <x:c r="C3309" s="18" t="n">
        <x:v>45352</x:v>
      </x:c>
      <x:c r="D3309" s="11" t="str">
        <x:v>2024-03</x:v>
      </x:c>
      <x:c r="E3309" s="11" t="str">
        <x:v>Central</x:v>
      </x:c>
      <x:c r="F3309" s="11" t="str">
        <x:v>Furniture</x:v>
      </x:c>
      <x:c r="G3309" s="11" t="str">
        <x:v>Desk</x:v>
      </x:c>
      <x:c r="H3309" s="11" t="n">
        <x:v>1</x:v>
      </x:c>
      <x:c r="I3309" s="19" t="n">
        <x:v>0.15</x:v>
      </x:c>
      <x:c r="J3309" s="11" t="n">
        <x:v>0</x:v>
      </x:c>
      <x:c r="K3309" s="20" t="n">
        <x:v>280</x:v>
      </x:c>
      <x:c r="L3309" s="20" t="n">
        <x:v>42</x:v>
      </x:c>
      <x:c r="M3309" s="20" t="n">
        <x:v>190</x:v>
      </x:c>
      <x:c r="N3309" s="20" t="n">
        <x:f>IF(J3309=1,0,K3309-L3309)</x:f>
        <x:v>238</x:v>
      </x:c>
      <x:c r="O3309" s="20" t="n">
        <x:f>N3309-M3309</x:f>
        <x:v>48</x:v>
      </x:c>
    </x:row>
    <x:row r="3310" ht="22" customHeight="1">
      <x:c r="A3310" s="11" t="n">
        <x:v>3306</x:v>
      </x:c>
      <x:c r="B3310" s="11" t="n">
        <x:v>1677</x:v>
      </x:c>
      <x:c r="C3310" s="18" t="n">
        <x:v>45352</x:v>
      </x:c>
      <x:c r="D3310" s="11" t="str">
        <x:v>2024-03</x:v>
      </x:c>
      <x:c r="E3310" s="11" t="str">
        <x:v>Central</x:v>
      </x:c>
      <x:c r="F3310" s="11" t="str">
        <x:v>Furniture</x:v>
      </x:c>
      <x:c r="G3310" s="11" t="str">
        <x:v>Chair</x:v>
      </x:c>
      <x:c r="H3310" s="11" t="n">
        <x:v>1</x:v>
      </x:c>
      <x:c r="I3310" s="19" t="n">
        <x:v>0</x:v>
      </x:c>
      <x:c r="J3310" s="11" t="n">
        <x:v>0</x:v>
      </x:c>
      <x:c r="K3310" s="20" t="n">
        <x:v>170</x:v>
      </x:c>
      <x:c r="L3310" s="20" t="n">
        <x:v>0</x:v>
      </x:c>
      <x:c r="M3310" s="20" t="n">
        <x:v>110</x:v>
      </x:c>
      <x:c r="N3310" s="20" t="n">
        <x:f>IF(J3310=1,0,K3310-L3310)</x:f>
        <x:v>170</x:v>
      </x:c>
      <x:c r="O3310" s="20" t="n">
        <x:f>N3310-M3310</x:f>
        <x:v>60</x:v>
      </x:c>
    </x:row>
    <x:row r="3311" ht="22" customHeight="1">
      <x:c r="A3311" s="11" t="n">
        <x:v>3307</x:v>
      </x:c>
      <x:c r="B3311" s="11" t="n">
        <x:v>1678</x:v>
      </x:c>
      <x:c r="C3311" s="18" t="n">
        <x:v>45524</x:v>
      </x:c>
      <x:c r="D3311" s="11" t="str">
        <x:v>2024-08</x:v>
      </x:c>
      <x:c r="E3311" s="11" t="str">
        <x:v>East</x:v>
      </x:c>
      <x:c r="F3311" s="11" t="str">
        <x:v>Furniture</x:v>
      </x:c>
      <x:c r="G3311" s="11" t="str">
        <x:v>Chair</x:v>
      </x:c>
      <x:c r="H3311" s="11" t="n">
        <x:v>1</x:v>
      </x:c>
      <x:c r="I3311" s="19" t="n">
        <x:v>0.35</x:v>
      </x:c>
      <x:c r="J3311" s="11" t="n">
        <x:v>0</x:v>
      </x:c>
      <x:c r="K3311" s="20" t="n">
        <x:v>170</x:v>
      </x:c>
      <x:c r="L3311" s="20" t="n">
        <x:v>59.5</x:v>
      </x:c>
      <x:c r="M3311" s="20" t="n">
        <x:v>110</x:v>
      </x:c>
      <x:c r="N3311" s="20" t="n">
        <x:f>IF(J3311=1,0,K3311-L3311)</x:f>
        <x:v>110.5</x:v>
      </x:c>
      <x:c r="O3311" s="20" t="n">
        <x:f>N3311-M3311</x:f>
        <x:v>0.5</x:v>
      </x:c>
    </x:row>
    <x:row r="3312" ht="22" customHeight="1">
      <x:c r="A3312" s="11" t="n">
        <x:v>3308</x:v>
      </x:c>
      <x:c r="B3312" s="11" t="n">
        <x:v>1678</x:v>
      </x:c>
      <x:c r="C3312" s="18" t="n">
        <x:v>45524</x:v>
      </x:c>
      <x:c r="D3312" s="11" t="str">
        <x:v>2024-08</x:v>
      </x:c>
      <x:c r="E3312" s="11" t="str">
        <x:v>East</x:v>
      </x:c>
      <x:c r="F3312" s="11" t="str">
        <x:v>Office Supplies</x:v>
      </x:c>
      <x:c r="G3312" s="11" t="str">
        <x:v>Storage box</x:v>
      </x:c>
      <x:c r="H3312" s="11" t="n">
        <x:v>4</x:v>
      </x:c>
      <x:c r="I3312" s="19" t="n">
        <x:v>0.15</x:v>
      </x:c>
      <x:c r="J3312" s="11" t="n">
        <x:v>0</x:v>
      </x:c>
      <x:c r="K3312" s="20" t="n">
        <x:v>104</x:v>
      </x:c>
      <x:c r="L3312" s="20" t="n">
        <x:v>15.6</x:v>
      </x:c>
      <x:c r="M3312" s="20" t="n">
        <x:v>48</x:v>
      </x:c>
      <x:c r="N3312" s="20" t="n">
        <x:f>IF(J3312=1,0,K3312-L3312)</x:f>
        <x:v>88.4</x:v>
      </x:c>
      <x:c r="O3312" s="20" t="n">
        <x:f>N3312-M3312</x:f>
        <x:v>40.400000000000006</x:v>
      </x:c>
    </x:row>
    <x:row r="3313" ht="22" customHeight="1">
      <x:c r="A3313" s="11" t="n">
        <x:v>3309</x:v>
      </x:c>
      <x:c r="B3313" s="11" t="n">
        <x:v>1678</x:v>
      </x:c>
      <x:c r="C3313" s="18" t="n">
        <x:v>45524</x:v>
      </x:c>
      <x:c r="D3313" s="11" t="str">
        <x:v>2024-08</x:v>
      </x:c>
      <x:c r="E3313" s="11" t="str">
        <x:v>East</x:v>
      </x:c>
      <x:c r="F3313" s="11" t="str">
        <x:v>Furniture</x:v>
      </x:c>
      <x:c r="G3313" s="11" t="str">
        <x:v>Desk</x:v>
      </x:c>
      <x:c r="H3313" s="11" t="n">
        <x:v>1</x:v>
      </x:c>
      <x:c r="I3313" s="19" t="n">
        <x:v>0</x:v>
      </x:c>
      <x:c r="J3313" s="11" t="n">
        <x:v>0</x:v>
      </x:c>
      <x:c r="K3313" s="20" t="n">
        <x:v>280</x:v>
      </x:c>
      <x:c r="L3313" s="20" t="n">
        <x:v>0</x:v>
      </x:c>
      <x:c r="M3313" s="20" t="n">
        <x:v>190</x:v>
      </x:c>
      <x:c r="N3313" s="20" t="n">
        <x:f>IF(J3313=1,0,K3313-L3313)</x:f>
        <x:v>280</x:v>
      </x:c>
      <x:c r="O3313" s="20" t="n">
        <x:f>N3313-M3313</x:f>
        <x:v>90</x:v>
      </x:c>
    </x:row>
    <x:row r="3314" ht="22" customHeight="1">
      <x:c r="A3314" s="11" t="n">
        <x:v>3310</x:v>
      </x:c>
      <x:c r="B3314" s="11" t="n">
        <x:v>1679</x:v>
      </x:c>
      <x:c r="C3314" s="18" t="n">
        <x:v>45554</x:v>
      </x:c>
      <x:c r="D3314" s="11" t="str">
        <x:v>2024-09</x:v>
      </x:c>
      <x:c r="E3314" s="11" t="str">
        <x:v>Central</x:v>
      </x:c>
      <x:c r="F3314" s="11" t="str">
        <x:v>Office Supplies</x:v>
      </x:c>
      <x:c r="G3314" s="11" t="str">
        <x:v>Notebook pack</x:v>
      </x:c>
      <x:c r="H3314" s="11" t="n">
        <x:v>3</x:v>
      </x:c>
      <x:c r="I3314" s="19" t="n">
        <x:v>0</x:v>
      </x:c>
      <x:c r="J3314" s="11" t="n">
        <x:v>0</x:v>
      </x:c>
      <x:c r="K3314" s="20" t="n">
        <x:v>54</x:v>
      </x:c>
      <x:c r="L3314" s="20" t="n">
        <x:v>0</x:v>
      </x:c>
      <x:c r="M3314" s="20" t="n">
        <x:v>21</x:v>
      </x:c>
      <x:c r="N3314" s="20" t="n">
        <x:f>IF(J3314=1,0,K3314-L3314)</x:f>
        <x:v>54</x:v>
      </x:c>
      <x:c r="O3314" s="20" t="n">
        <x:f>N3314-M3314</x:f>
        <x:v>33</x:v>
      </x:c>
    </x:row>
    <x:row r="3315" ht="22" customHeight="1">
      <x:c r="A3315" s="11" t="n">
        <x:v>3311</x:v>
      </x:c>
      <x:c r="B3315" s="11" t="n">
        <x:v>1679</x:v>
      </x:c>
      <x:c r="C3315" s="18" t="n">
        <x:v>45554</x:v>
      </x:c>
      <x:c r="D3315" s="11" t="str">
        <x:v>2024-09</x:v>
      </x:c>
      <x:c r="E3315" s="11" t="str">
        <x:v>Central</x:v>
      </x:c>
      <x:c r="F3315" s="11" t="str">
        <x:v>Technology</x:v>
      </x:c>
      <x:c r="G3315" s="11" t="str">
        <x:v>Monitor</x:v>
      </x:c>
      <x:c r="H3315" s="11" t="n">
        <x:v>2</x:v>
      </x:c>
      <x:c r="I3315" s="19" t="n">
        <x:v>0.15</x:v>
      </x:c>
      <x:c r="J3315" s="11" t="n">
        <x:v>0</x:v>
      </x:c>
      <x:c r="K3315" s="20" t="n">
        <x:v>480</x:v>
      </x:c>
      <x:c r="L3315" s="20" t="n">
        <x:v>72</x:v>
      </x:c>
      <x:c r="M3315" s="20" t="n">
        <x:v>320</x:v>
      </x:c>
      <x:c r="N3315" s="20" t="n">
        <x:f>IF(J3315=1,0,K3315-L3315)</x:f>
        <x:v>408</x:v>
      </x:c>
      <x:c r="O3315" s="20" t="n">
        <x:f>N3315-M3315</x:f>
        <x:v>88</x:v>
      </x:c>
    </x:row>
    <x:row r="3316" ht="22" customHeight="1">
      <x:c r="A3316" s="11" t="n">
        <x:v>3312</x:v>
      </x:c>
      <x:c r="B3316" s="11" t="n">
        <x:v>1679</x:v>
      </x:c>
      <x:c r="C3316" s="18" t="n">
        <x:v>45554</x:v>
      </x:c>
      <x:c r="D3316" s="11" t="str">
        <x:v>2024-09</x:v>
      </x:c>
      <x:c r="E3316" s="11" t="str">
        <x:v>Central</x:v>
      </x:c>
      <x:c r="F3316" s="11" t="str">
        <x:v>Office Supplies</x:v>
      </x:c>
      <x:c r="G3316" s="11" t="str">
        <x:v>Storage box</x:v>
      </x:c>
      <x:c r="H3316" s="11" t="n">
        <x:v>4</x:v>
      </x:c>
      <x:c r="I3316" s="19" t="n">
        <x:v>0.15</x:v>
      </x:c>
      <x:c r="J3316" s="11" t="n">
        <x:v>0</x:v>
      </x:c>
      <x:c r="K3316" s="20" t="n">
        <x:v>104</x:v>
      </x:c>
      <x:c r="L3316" s="20" t="n">
        <x:v>15.6</x:v>
      </x:c>
      <x:c r="M3316" s="20" t="n">
        <x:v>48</x:v>
      </x:c>
      <x:c r="N3316" s="20" t="n">
        <x:f>IF(J3316=1,0,K3316-L3316)</x:f>
        <x:v>88.4</x:v>
      </x:c>
      <x:c r="O3316" s="20" t="n">
        <x:f>N3316-M3316</x:f>
        <x:v>40.400000000000006</x:v>
      </x:c>
    </x:row>
    <x:row r="3317" ht="22" customHeight="1">
      <x:c r="A3317" s="11" t="n">
        <x:v>3313</x:v>
      </x:c>
      <x:c r="B3317" s="11" t="n">
        <x:v>1680</x:v>
      </x:c>
      <x:c r="C3317" s="18" t="n">
        <x:v>45510</x:v>
      </x:c>
      <x:c r="D3317" s="11" t="str">
        <x:v>2024-08</x:v>
      </x:c>
      <x:c r="E3317" s="11" t="str">
        <x:v>East</x:v>
      </x:c>
      <x:c r="F3317" s="11" t="str">
        <x:v>Office Supplies</x:v>
      </x:c>
      <x:c r="G3317" s="11" t="str">
        <x:v>Notebook pack</x:v>
      </x:c>
      <x:c r="H3317" s="11" t="n">
        <x:v>3</x:v>
      </x:c>
      <x:c r="I3317" s="19" t="n">
        <x:v>0.05</x:v>
      </x:c>
      <x:c r="J3317" s="11" t="n">
        <x:v>0</x:v>
      </x:c>
      <x:c r="K3317" s="20" t="n">
        <x:v>54</x:v>
      </x:c>
      <x:c r="L3317" s="20" t="n">
        <x:v>2.7</x:v>
      </x:c>
      <x:c r="M3317" s="20" t="n">
        <x:v>21</x:v>
      </x:c>
      <x:c r="N3317" s="20" t="n">
        <x:f>IF(J3317=1,0,K3317-L3317)</x:f>
        <x:v>51.3</x:v>
      </x:c>
      <x:c r="O3317" s="20" t="n">
        <x:f>N3317-M3317</x:f>
        <x:v>30.299999999999997</x:v>
      </x:c>
    </x:row>
    <x:row r="3318" ht="22" customHeight="1">
      <x:c r="A3318" s="11" t="n">
        <x:v>3314</x:v>
      </x:c>
      <x:c r="B3318" s="11" t="n">
        <x:v>1681</x:v>
      </x:c>
      <x:c r="C3318" s="18" t="n">
        <x:v>45410</x:v>
      </x:c>
      <x:c r="D3318" s="11" t="str">
        <x:v>2024-04</x:v>
      </x:c>
      <x:c r="E3318" s="11" t="str">
        <x:v>East</x:v>
      </x:c>
      <x:c r="F3318" s="11" t="str">
        <x:v>Office Supplies</x:v>
      </x:c>
      <x:c r="G3318" s="11" t="str">
        <x:v>Storage box</x:v>
      </x:c>
      <x:c r="H3318" s="11" t="n">
        <x:v>4</x:v>
      </x:c>
      <x:c r="I3318" s="19" t="n">
        <x:v>0</x:v>
      </x:c>
      <x:c r="J3318" s="11" t="n">
        <x:v>0</x:v>
      </x:c>
      <x:c r="K3318" s="20" t="n">
        <x:v>104</x:v>
      </x:c>
      <x:c r="L3318" s="20" t="n">
        <x:v>0</x:v>
      </x:c>
      <x:c r="M3318" s="20" t="n">
        <x:v>48</x:v>
      </x:c>
      <x:c r="N3318" s="20" t="n">
        <x:f>IF(J3318=1,0,K3318-L3318)</x:f>
        <x:v>104</x:v>
      </x:c>
      <x:c r="O3318" s="20" t="n">
        <x:f>N3318-M3318</x:f>
        <x:v>56</x:v>
      </x:c>
    </x:row>
    <x:row r="3319" ht="22" customHeight="1">
      <x:c r="A3319" s="11" t="n">
        <x:v>3315</x:v>
      </x:c>
      <x:c r="B3319" s="11" t="n">
        <x:v>1681</x:v>
      </x:c>
      <x:c r="C3319" s="18" t="n">
        <x:v>45410</x:v>
      </x:c>
      <x:c r="D3319" s="11" t="str">
        <x:v>2024-04</x:v>
      </x:c>
      <x:c r="E3319" s="11" t="str">
        <x:v>East</x:v>
      </x:c>
      <x:c r="F3319" s="11" t="str">
        <x:v>Office Supplies</x:v>
      </x:c>
      <x:c r="G3319" s="11" t="str">
        <x:v>Notebook pack</x:v>
      </x:c>
      <x:c r="H3319" s="11" t="n">
        <x:v>5</x:v>
      </x:c>
      <x:c r="I3319" s="19" t="n">
        <x:v>0</x:v>
      </x:c>
      <x:c r="J3319" s="11" t="n">
        <x:v>0</x:v>
      </x:c>
      <x:c r="K3319" s="20" t="n">
        <x:v>90</x:v>
      </x:c>
      <x:c r="L3319" s="20" t="n">
        <x:v>0</x:v>
      </x:c>
      <x:c r="M3319" s="20" t="n">
        <x:v>35</x:v>
      </x:c>
      <x:c r="N3319" s="20" t="n">
        <x:f>IF(J3319=1,0,K3319-L3319)</x:f>
        <x:v>90</x:v>
      </x:c>
      <x:c r="O3319" s="20" t="n">
        <x:f>N3319-M3319</x:f>
        <x:v>55</x:v>
      </x:c>
    </x:row>
    <x:row r="3320" ht="22" customHeight="1">
      <x:c r="A3320" s="11" t="n">
        <x:v>3316</x:v>
      </x:c>
      <x:c r="B3320" s="11" t="n">
        <x:v>1681</x:v>
      </x:c>
      <x:c r="C3320" s="18" t="n">
        <x:v>45410</x:v>
      </x:c>
      <x:c r="D3320" s="11" t="str">
        <x:v>2024-04</x:v>
      </x:c>
      <x:c r="E3320" s="11" t="str">
        <x:v>East</x:v>
      </x:c>
      <x:c r="F3320" s="11" t="str">
        <x:v>Furniture</x:v>
      </x:c>
      <x:c r="G3320" s="11" t="str">
        <x:v>Chair</x:v>
      </x:c>
      <x:c r="H3320" s="11" t="n">
        <x:v>1</x:v>
      </x:c>
      <x:c r="I3320" s="19" t="n">
        <x:v>0</x:v>
      </x:c>
      <x:c r="J3320" s="11" t="n">
        <x:v>0</x:v>
      </x:c>
      <x:c r="K3320" s="20" t="n">
        <x:v>170</x:v>
      </x:c>
      <x:c r="L3320" s="20" t="n">
        <x:v>0</x:v>
      </x:c>
      <x:c r="M3320" s="20" t="n">
        <x:v>110</x:v>
      </x:c>
      <x:c r="N3320" s="20" t="n">
        <x:f>IF(J3320=1,0,K3320-L3320)</x:f>
        <x:v>170</x:v>
      </x:c>
      <x:c r="O3320" s="20" t="n">
        <x:f>N3320-M3320</x:f>
        <x:v>60</x:v>
      </x:c>
    </x:row>
    <x:row r="3321" ht="22" customHeight="1">
      <x:c r="A3321" s="11" t="n">
        <x:v>3317</x:v>
      </x:c>
      <x:c r="B3321" s="11" t="n">
        <x:v>1682</x:v>
      </x:c>
      <x:c r="C3321" s="18" t="n">
        <x:v>45338</x:v>
      </x:c>
      <x:c r="D3321" s="11" t="str">
        <x:v>2024-02</x:v>
      </x:c>
      <x:c r="E3321" s="11" t="str">
        <x:v>South</x:v>
      </x:c>
      <x:c r="F3321" s="11" t="str">
        <x:v>Office Supplies</x:v>
      </x:c>
      <x:c r="G3321" s="11" t="str">
        <x:v>Storage box</x:v>
      </x:c>
      <x:c r="H3321" s="11" t="n">
        <x:v>2</x:v>
      </x:c>
      <x:c r="I3321" s="19" t="n">
        <x:v>0</x:v>
      </x:c>
      <x:c r="J3321" s="11" t="n">
        <x:v>0</x:v>
      </x:c>
      <x:c r="K3321" s="20" t="n">
        <x:v>52</x:v>
      </x:c>
      <x:c r="L3321" s="20" t="n">
        <x:v>0</x:v>
      </x:c>
      <x:c r="M3321" s="20" t="n">
        <x:v>24</x:v>
      </x:c>
      <x:c r="N3321" s="20" t="n">
        <x:f>IF(J3321=1,0,K3321-L3321)</x:f>
        <x:v>52</x:v>
      </x:c>
      <x:c r="O3321" s="20" t="n">
        <x:f>N3321-M3321</x:f>
        <x:v>28</x:v>
      </x:c>
    </x:row>
    <x:row r="3322" ht="22" customHeight="1">
      <x:c r="A3322" s="11" t="n">
        <x:v>3318</x:v>
      </x:c>
      <x:c r="B3322" s="11" t="n">
        <x:v>1682</x:v>
      </x:c>
      <x:c r="C3322" s="18" t="n">
        <x:v>45338</x:v>
      </x:c>
      <x:c r="D3322" s="11" t="str">
        <x:v>2024-02</x:v>
      </x:c>
      <x:c r="E3322" s="11" t="str">
        <x:v>South</x:v>
      </x:c>
      <x:c r="F3322" s="11" t="str">
        <x:v>Office Supplies</x:v>
      </x:c>
      <x:c r="G3322" s="11" t="str">
        <x:v>Notebook pack</x:v>
      </x:c>
      <x:c r="H3322" s="11" t="n">
        <x:v>3</x:v>
      </x:c>
      <x:c r="I3322" s="19" t="n">
        <x:v>0</x:v>
      </x:c>
      <x:c r="J3322" s="11" t="n">
        <x:v>0</x:v>
      </x:c>
      <x:c r="K3322" s="20" t="n">
        <x:v>54</x:v>
      </x:c>
      <x:c r="L3322" s="20" t="n">
        <x:v>0</x:v>
      </x:c>
      <x:c r="M3322" s="20" t="n">
        <x:v>21</x:v>
      </x:c>
      <x:c r="N3322" s="20" t="n">
        <x:f>IF(J3322=1,0,K3322-L3322)</x:f>
        <x:v>54</x:v>
      </x:c>
      <x:c r="O3322" s="20" t="n">
        <x:f>N3322-M3322</x:f>
        <x:v>33</x:v>
      </x:c>
    </x:row>
    <x:row r="3323" ht="22" customHeight="1">
      <x:c r="A3323" s="11" t="n">
        <x:v>3319</x:v>
      </x:c>
      <x:c r="B3323" s="11" t="n">
        <x:v>1682</x:v>
      </x:c>
      <x:c r="C3323" s="18" t="n">
        <x:v>45338</x:v>
      </x:c>
      <x:c r="D3323" s="11" t="str">
        <x:v>2024-02</x:v>
      </x:c>
      <x:c r="E3323" s="11" t="str">
        <x:v>South</x:v>
      </x:c>
      <x:c r="F3323" s="11" t="str">
        <x:v>Technology</x:v>
      </x:c>
      <x:c r="G3323" s="11" t="str">
        <x:v>Keyboard</x:v>
      </x:c>
      <x:c r="H3323" s="11" t="n">
        <x:v>3</x:v>
      </x:c>
      <x:c r="I3323" s="19" t="n">
        <x:v>0.1</x:v>
      </x:c>
      <x:c r="J3323" s="11" t="n">
        <x:v>0</x:v>
      </x:c>
      <x:c r="K3323" s="20" t="n">
        <x:v>195</x:v>
      </x:c>
      <x:c r="L3323" s="20" t="n">
        <x:v>19.5</x:v>
      </x:c>
      <x:c r="M3323" s="20" t="n">
        <x:v>96</x:v>
      </x:c>
      <x:c r="N3323" s="20" t="n">
        <x:f>IF(J3323=1,0,K3323-L3323)</x:f>
        <x:v>175.5</x:v>
      </x:c>
      <x:c r="O3323" s="20" t="n">
        <x:f>N3323-M3323</x:f>
        <x:v>79.5</x:v>
      </x:c>
    </x:row>
    <x:row r="3324" ht="22" customHeight="1">
      <x:c r="A3324" s="11" t="n">
        <x:v>3320</x:v>
      </x:c>
      <x:c r="B3324" s="11" t="n">
        <x:v>1683</x:v>
      </x:c>
      <x:c r="C3324" s="18" t="n">
        <x:v>45539</x:v>
      </x:c>
      <x:c r="D3324" s="11" t="str">
        <x:v>2024-09</x:v>
      </x:c>
      <x:c r="E3324" s="11" t="str">
        <x:v>South</x:v>
      </x:c>
      <x:c r="F3324" s="11" t="str">
        <x:v>Office Supplies</x:v>
      </x:c>
      <x:c r="G3324" s="11" t="str">
        <x:v>Notebook pack</x:v>
      </x:c>
      <x:c r="H3324" s="11" t="n">
        <x:v>4</x:v>
      </x:c>
      <x:c r="I3324" s="19" t="n">
        <x:v>0.05</x:v>
      </x:c>
      <x:c r="J3324" s="11" t="n">
        <x:v>0</x:v>
      </x:c>
      <x:c r="K3324" s="20" t="n">
        <x:v>72</x:v>
      </x:c>
      <x:c r="L3324" s="20" t="n">
        <x:v>3.6</x:v>
      </x:c>
      <x:c r="M3324" s="20" t="n">
        <x:v>28</x:v>
      </x:c>
      <x:c r="N3324" s="20" t="n">
        <x:f>IF(J3324=1,0,K3324-L3324)</x:f>
        <x:v>68.4</x:v>
      </x:c>
      <x:c r="O3324" s="20" t="n">
        <x:f>N3324-M3324</x:f>
        <x:v>40.400000000000006</x:v>
      </x:c>
    </x:row>
    <x:row r="3325" ht="22" customHeight="1">
      <x:c r="A3325" s="11" t="n">
        <x:v>3321</x:v>
      </x:c>
      <x:c r="B3325" s="11" t="n">
        <x:v>1683</x:v>
      </x:c>
      <x:c r="C3325" s="18" t="n">
        <x:v>45539</x:v>
      </x:c>
      <x:c r="D3325" s="11" t="str">
        <x:v>2024-09</x:v>
      </x:c>
      <x:c r="E3325" s="11" t="str">
        <x:v>South</x:v>
      </x:c>
      <x:c r="F3325" s="11" t="str">
        <x:v>Furniture</x:v>
      </x:c>
      <x:c r="G3325" s="11" t="str">
        <x:v>Desk</x:v>
      </x:c>
      <x:c r="H3325" s="11" t="n">
        <x:v>4</x:v>
      </x:c>
      <x:c r="I3325" s="19" t="n">
        <x:v>0</x:v>
      </x:c>
      <x:c r="J3325" s="11" t="n">
        <x:v>0</x:v>
      </x:c>
      <x:c r="K3325" s="20" t="n">
        <x:v>1120</x:v>
      </x:c>
      <x:c r="L3325" s="20" t="n">
        <x:v>0</x:v>
      </x:c>
      <x:c r="M3325" s="20" t="n">
        <x:v>760</x:v>
      </x:c>
      <x:c r="N3325" s="20" t="n">
        <x:f>IF(J3325=1,0,K3325-L3325)</x:f>
        <x:v>1120</x:v>
      </x:c>
      <x:c r="O3325" s="20" t="n">
        <x:f>N3325-M3325</x:f>
        <x:v>360</x:v>
      </x:c>
    </x:row>
    <x:row r="3326" ht="22" customHeight="1">
      <x:c r="A3326" s="11" t="n">
        <x:v>3322</x:v>
      </x:c>
      <x:c r="B3326" s="11" t="n">
        <x:v>1684</x:v>
      </x:c>
      <x:c r="C3326" s="18" t="n">
        <x:v>45750</x:v>
      </x:c>
      <x:c r="D3326" s="11" t="str">
        <x:v>2025-04</x:v>
      </x:c>
      <x:c r="E3326" s="11" t="str">
        <x:v>East</x:v>
      </x:c>
      <x:c r="F3326" s="11" t="str">
        <x:v>Technology</x:v>
      </x:c>
      <x:c r="G3326" s="11" t="str">
        <x:v>Monitor</x:v>
      </x:c>
      <x:c r="H3326" s="11" t="n">
        <x:v>5</x:v>
      </x:c>
      <x:c r="I3326" s="19" t="n">
        <x:v>0.05</x:v>
      </x:c>
      <x:c r="J3326" s="11" t="n">
        <x:v>0</x:v>
      </x:c>
      <x:c r="K3326" s="20" t="n">
        <x:v>1200</x:v>
      </x:c>
      <x:c r="L3326" s="20" t="n">
        <x:v>60</x:v>
      </x:c>
      <x:c r="M3326" s="20" t="n">
        <x:v>800</x:v>
      </x:c>
      <x:c r="N3326" s="20" t="n">
        <x:f>IF(J3326=1,0,K3326-L3326)</x:f>
        <x:v>1140</x:v>
      </x:c>
      <x:c r="O3326" s="20" t="n">
        <x:f>N3326-M3326</x:f>
        <x:v>340</x:v>
      </x:c>
    </x:row>
    <x:row r="3327" ht="22" customHeight="1">
      <x:c r="A3327" s="11" t="n">
        <x:v>3323</x:v>
      </x:c>
      <x:c r="B3327" s="11" t="n">
        <x:v>1684</x:v>
      </x:c>
      <x:c r="C3327" s="18" t="n">
        <x:v>45750</x:v>
      </x:c>
      <x:c r="D3327" s="11" t="str">
        <x:v>2025-04</x:v>
      </x:c>
      <x:c r="E3327" s="11" t="str">
        <x:v>East</x:v>
      </x:c>
      <x:c r="F3327" s="11" t="str">
        <x:v>Office Supplies</x:v>
      </x:c>
      <x:c r="G3327" s="11" t="str">
        <x:v>Storage box</x:v>
      </x:c>
      <x:c r="H3327" s="11" t="n">
        <x:v>3</x:v>
      </x:c>
      <x:c r="I3327" s="19" t="n">
        <x:v>0</x:v>
      </x:c>
      <x:c r="J3327" s="11" t="n">
        <x:v>0</x:v>
      </x:c>
      <x:c r="K3327" s="20" t="n">
        <x:v>78</x:v>
      </x:c>
      <x:c r="L3327" s="20" t="n">
        <x:v>0</x:v>
      </x:c>
      <x:c r="M3327" s="20" t="n">
        <x:v>36</x:v>
      </x:c>
      <x:c r="N3327" s="20" t="n">
        <x:f>IF(J3327=1,0,K3327-L3327)</x:f>
        <x:v>78</x:v>
      </x:c>
      <x:c r="O3327" s="20" t="n">
        <x:f>N3327-M3327</x:f>
        <x:v>42</x:v>
      </x:c>
    </x:row>
    <x:row r="3328" ht="22" customHeight="1">
      <x:c r="A3328" s="11" t="n">
        <x:v>3324</x:v>
      </x:c>
      <x:c r="B3328" s="11" t="n">
        <x:v>1684</x:v>
      </x:c>
      <x:c r="C3328" s="18" t="n">
        <x:v>45750</x:v>
      </x:c>
      <x:c r="D3328" s="11" t="str">
        <x:v>2025-04</x:v>
      </x:c>
      <x:c r="E3328" s="11" t="str">
        <x:v>East</x:v>
      </x:c>
      <x:c r="F3328" s="11" t="str">
        <x:v>Furniture</x:v>
      </x:c>
      <x:c r="G3328" s="11" t="str">
        <x:v>Chair</x:v>
      </x:c>
      <x:c r="H3328" s="11" t="n">
        <x:v>3</x:v>
      </x:c>
      <x:c r="I3328" s="19" t="n">
        <x:v>0.25</x:v>
      </x:c>
      <x:c r="J3328" s="11" t="n">
        <x:v>0</x:v>
      </x:c>
      <x:c r="K3328" s="20" t="n">
        <x:v>510</x:v>
      </x:c>
      <x:c r="L3328" s="20" t="n">
        <x:v>127.5</x:v>
      </x:c>
      <x:c r="M3328" s="20" t="n">
        <x:v>330</x:v>
      </x:c>
      <x:c r="N3328" s="20" t="n">
        <x:f>IF(J3328=1,0,K3328-L3328)</x:f>
        <x:v>382.5</x:v>
      </x:c>
      <x:c r="O3328" s="20" t="n">
        <x:f>N3328-M3328</x:f>
        <x:v>52.5</x:v>
      </x:c>
    </x:row>
    <x:row r="3329" ht="22" customHeight="1">
      <x:c r="A3329" s="11" t="n">
        <x:v>3325</x:v>
      </x:c>
      <x:c r="B3329" s="11" t="n">
        <x:v>1685</x:v>
      </x:c>
      <x:c r="C3329" s="18" t="n">
        <x:v>45845</x:v>
      </x:c>
      <x:c r="D3329" s="11" t="str">
        <x:v>2025-07</x:v>
      </x:c>
      <x:c r="E3329" s="11" t="str">
        <x:v>Central</x:v>
      </x:c>
      <x:c r="F3329" s="11" t="str">
        <x:v>Furniture</x:v>
      </x:c>
      <x:c r="G3329" s="11" t="str">
        <x:v>Desk</x:v>
      </x:c>
      <x:c r="H3329" s="11" t="n">
        <x:v>4</x:v>
      </x:c>
      <x:c r="I3329" s="19" t="n">
        <x:v>0.1</x:v>
      </x:c>
      <x:c r="J3329" s="11" t="n">
        <x:v>0</x:v>
      </x:c>
      <x:c r="K3329" s="20" t="n">
        <x:v>1120</x:v>
      </x:c>
      <x:c r="L3329" s="20" t="n">
        <x:v>112</x:v>
      </x:c>
      <x:c r="M3329" s="20" t="n">
        <x:v>760</x:v>
      </x:c>
      <x:c r="N3329" s="20" t="n">
        <x:f>IF(J3329=1,0,K3329-L3329)</x:f>
        <x:v>1008</x:v>
      </x:c>
      <x:c r="O3329" s="20" t="n">
        <x:f>N3329-M3329</x:f>
        <x:v>248</x:v>
      </x:c>
    </x:row>
    <x:row r="3330" ht="22" customHeight="1">
      <x:c r="A3330" s="11" t="n">
        <x:v>3326</x:v>
      </x:c>
      <x:c r="B3330" s="11" t="n">
        <x:v>1685</x:v>
      </x:c>
      <x:c r="C3330" s="18" t="n">
        <x:v>45845</x:v>
      </x:c>
      <x:c r="D3330" s="11" t="str">
        <x:v>2025-07</x:v>
      </x:c>
      <x:c r="E3330" s="11" t="str">
        <x:v>Central</x:v>
      </x:c>
      <x:c r="F3330" s="11" t="str">
        <x:v>Technology</x:v>
      </x:c>
      <x:c r="G3330" s="11" t="str">
        <x:v>Keyboard</x:v>
      </x:c>
      <x:c r="H3330" s="11" t="n">
        <x:v>4</x:v>
      </x:c>
      <x:c r="I3330" s="19" t="n">
        <x:v>0.05</x:v>
      </x:c>
      <x:c r="J3330" s="11" t="n">
        <x:v>0</x:v>
      </x:c>
      <x:c r="K3330" s="20" t="n">
        <x:v>260</x:v>
      </x:c>
      <x:c r="L3330" s="20" t="n">
        <x:v>13</x:v>
      </x:c>
      <x:c r="M3330" s="20" t="n">
        <x:v>128</x:v>
      </x:c>
      <x:c r="N3330" s="20" t="n">
        <x:f>IF(J3330=1,0,K3330-L3330)</x:f>
        <x:v>247</x:v>
      </x:c>
      <x:c r="O3330" s="20" t="n">
        <x:f>N3330-M3330</x:f>
        <x:v>119</x:v>
      </x:c>
    </x:row>
    <x:row r="3331" ht="22" customHeight="1">
      <x:c r="A3331" s="11" t="n">
        <x:v>3327</x:v>
      </x:c>
      <x:c r="B3331" s="11" t="n">
        <x:v>1686</x:v>
      </x:c>
      <x:c r="C3331" s="18" t="n">
        <x:v>45635</x:v>
      </x:c>
      <x:c r="D3331" s="11" t="str">
        <x:v>2024-12</x:v>
      </x:c>
      <x:c r="E3331" s="11" t="str">
        <x:v>South</x:v>
      </x:c>
      <x:c r="F3331" s="11" t="str">
        <x:v>Technology</x:v>
      </x:c>
      <x:c r="G3331" s="11" t="str">
        <x:v>Keyboard</x:v>
      </x:c>
      <x:c r="H3331" s="11" t="n">
        <x:v>2</x:v>
      </x:c>
      <x:c r="I3331" s="19" t="n">
        <x:v>0.15</x:v>
      </x:c>
      <x:c r="J3331" s="11" t="n">
        <x:v>0</x:v>
      </x:c>
      <x:c r="K3331" s="20" t="n">
        <x:v>130</x:v>
      </x:c>
      <x:c r="L3331" s="20" t="n">
        <x:v>19.5</x:v>
      </x:c>
      <x:c r="M3331" s="20" t="n">
        <x:v>64</x:v>
      </x:c>
      <x:c r="N3331" s="20" t="n">
        <x:f>IF(J3331=1,0,K3331-L3331)</x:f>
        <x:v>110.5</x:v>
      </x:c>
      <x:c r="O3331" s="20" t="n">
        <x:f>N3331-M3331</x:f>
        <x:v>46.5</x:v>
      </x:c>
    </x:row>
    <x:row r="3332" ht="22" customHeight="1">
      <x:c r="A3332" s="11" t="n">
        <x:v>3328</x:v>
      </x:c>
      <x:c r="B3332" s="11" t="n">
        <x:v>1686</x:v>
      </x:c>
      <x:c r="C3332" s="18" t="n">
        <x:v>45635</x:v>
      </x:c>
      <x:c r="D3332" s="11" t="str">
        <x:v>2024-12</x:v>
      </x:c>
      <x:c r="E3332" s="11" t="str">
        <x:v>South</x:v>
      </x:c>
      <x:c r="F3332" s="11" t="str">
        <x:v>Furniture</x:v>
      </x:c>
      <x:c r="G3332" s="11" t="str">
        <x:v>Chair</x:v>
      </x:c>
      <x:c r="H3332" s="11" t="n">
        <x:v>1</x:v>
      </x:c>
      <x:c r="I3332" s="19" t="n">
        <x:v>0</x:v>
      </x:c>
      <x:c r="J3332" s="11" t="n">
        <x:v>0</x:v>
      </x:c>
      <x:c r="K3332" s="20" t="n">
        <x:v>170</x:v>
      </x:c>
      <x:c r="L3332" s="20" t="n">
        <x:v>0</x:v>
      </x:c>
      <x:c r="M3332" s="20" t="n">
        <x:v>110</x:v>
      </x:c>
      <x:c r="N3332" s="20" t="n">
        <x:f>IF(J3332=1,0,K3332-L3332)</x:f>
        <x:v>170</x:v>
      </x:c>
      <x:c r="O3332" s="20" t="n">
        <x:f>N3332-M3332</x:f>
        <x:v>60</x:v>
      </x:c>
    </x:row>
    <x:row r="3333" ht="22" customHeight="1">
      <x:c r="A3333" s="11" t="n">
        <x:v>3329</x:v>
      </x:c>
      <x:c r="B3333" s="11" t="n">
        <x:v>1687</x:v>
      </x:c>
      <x:c r="C3333" s="18" t="n">
        <x:v>45633</x:v>
      </x:c>
      <x:c r="D3333" s="11" t="str">
        <x:v>2024-12</x:v>
      </x:c>
      <x:c r="E3333" s="11" t="str">
        <x:v>South</x:v>
      </x:c>
      <x:c r="F3333" s="11" t="str">
        <x:v>Furniture</x:v>
      </x:c>
      <x:c r="G3333" s="11" t="str">
        <x:v>Desk</x:v>
      </x:c>
      <x:c r="H3333" s="11" t="n">
        <x:v>4</x:v>
      </x:c>
      <x:c r="I3333" s="19" t="n">
        <x:v>0.1</x:v>
      </x:c>
      <x:c r="J3333" s="11" t="n">
        <x:v>0</x:v>
      </x:c>
      <x:c r="K3333" s="20" t="n">
        <x:v>1120</x:v>
      </x:c>
      <x:c r="L3333" s="20" t="n">
        <x:v>112</x:v>
      </x:c>
      <x:c r="M3333" s="20" t="n">
        <x:v>760</x:v>
      </x:c>
      <x:c r="N3333" s="20" t="n">
        <x:f>IF(J3333=1,0,K3333-L3333)</x:f>
        <x:v>1008</x:v>
      </x:c>
      <x:c r="O3333" s="20" t="n">
        <x:f>N3333-M3333</x:f>
        <x:v>248</x:v>
      </x:c>
    </x:row>
    <x:row r="3334" ht="22" customHeight="1">
      <x:c r="A3334" s="11" t="n">
        <x:v>3330</x:v>
      </x:c>
      <x:c r="B3334" s="11" t="n">
        <x:v>1688</x:v>
      </x:c>
      <x:c r="C3334" s="18" t="n">
        <x:v>45974</x:v>
      </x:c>
      <x:c r="D3334" s="11" t="str">
        <x:v>2025-11</x:v>
      </x:c>
      <x:c r="E3334" s="11" t="str">
        <x:v>West</x:v>
      </x:c>
      <x:c r="F3334" s="11" t="str">
        <x:v>Furniture</x:v>
      </x:c>
      <x:c r="G3334" s="11" t="str">
        <x:v>Desk</x:v>
      </x:c>
      <x:c r="H3334" s="11" t="n">
        <x:v>1</x:v>
      </x:c>
      <x:c r="I3334" s="19" t="n">
        <x:v>0</x:v>
      </x:c>
      <x:c r="J3334" s="11" t="n">
        <x:v>0</x:v>
      </x:c>
      <x:c r="K3334" s="20" t="n">
        <x:v>280</x:v>
      </x:c>
      <x:c r="L3334" s="20" t="n">
        <x:v>0</x:v>
      </x:c>
      <x:c r="M3334" s="20" t="n">
        <x:v>190</x:v>
      </x:c>
      <x:c r="N3334" s="20" t="n">
        <x:f>IF(J3334=1,0,K3334-L3334)</x:f>
        <x:v>280</x:v>
      </x:c>
      <x:c r="O3334" s="20" t="n">
        <x:f>N3334-M3334</x:f>
        <x:v>90</x:v>
      </x:c>
    </x:row>
    <x:row r="3335" ht="22" customHeight="1">
      <x:c r="A3335" s="11" t="n">
        <x:v>3331</x:v>
      </x:c>
      <x:c r="B3335" s="11" t="n">
        <x:v>1689</x:v>
      </x:c>
      <x:c r="C3335" s="18" t="n">
        <x:v>45811</x:v>
      </x:c>
      <x:c r="D3335" s="11" t="str">
        <x:v>2025-06</x:v>
      </x:c>
      <x:c r="E3335" s="11" t="str">
        <x:v>South</x:v>
      </x:c>
      <x:c r="F3335" s="11" t="str">
        <x:v>Office Supplies</x:v>
      </x:c>
      <x:c r="G3335" s="11" t="str">
        <x:v>Storage box</x:v>
      </x:c>
      <x:c r="H3335" s="11" t="n">
        <x:v>3</x:v>
      </x:c>
      <x:c r="I3335" s="19" t="n">
        <x:v>0.05</x:v>
      </x:c>
      <x:c r="J3335" s="11" t="n">
        <x:v>0</x:v>
      </x:c>
      <x:c r="K3335" s="20" t="n">
        <x:v>78</x:v>
      </x:c>
      <x:c r="L3335" s="20" t="n">
        <x:v>3.9</x:v>
      </x:c>
      <x:c r="M3335" s="20" t="n">
        <x:v>36</x:v>
      </x:c>
      <x:c r="N3335" s="20" t="n">
        <x:f>IF(J3335=1,0,K3335-L3335)</x:f>
        <x:v>74.1</x:v>
      </x:c>
      <x:c r="O3335" s="20" t="n">
        <x:f>N3335-M3335</x:f>
        <x:v>38.099999999999994</x:v>
      </x:c>
    </x:row>
    <x:row r="3336" ht="22" customHeight="1">
      <x:c r="A3336" s="11" t="n">
        <x:v>3332</x:v>
      </x:c>
      <x:c r="B3336" s="11" t="n">
        <x:v>1689</x:v>
      </x:c>
      <x:c r="C3336" s="18" t="n">
        <x:v>45811</x:v>
      </x:c>
      <x:c r="D3336" s="11" t="str">
        <x:v>2025-06</x:v>
      </x:c>
      <x:c r="E3336" s="11" t="str">
        <x:v>South</x:v>
      </x:c>
      <x:c r="F3336" s="11" t="str">
        <x:v>Furniture</x:v>
      </x:c>
      <x:c r="G3336" s="11" t="str">
        <x:v>Desk</x:v>
      </x:c>
      <x:c r="H3336" s="11" t="n">
        <x:v>4</x:v>
      </x:c>
      <x:c r="I3336" s="19" t="n">
        <x:v>0.25</x:v>
      </x:c>
      <x:c r="J3336" s="11" t="n">
        <x:v>1</x:v>
      </x:c>
      <x:c r="K3336" s="20" t="n">
        <x:v>1120</x:v>
      </x:c>
      <x:c r="L3336" s="20" t="n">
        <x:v>280</x:v>
      </x:c>
      <x:c r="M3336" s="20" t="n">
        <x:v>0</x:v>
      </x:c>
      <x:c r="N3336" s="20" t="n">
        <x:f>IF(J3336=1,0,K3336-L3336)</x:f>
        <x:v>0</x:v>
      </x:c>
      <x:c r="O3336" s="20" t="n">
        <x:f>N3336-M3336</x:f>
        <x:v>0</x:v>
      </x:c>
    </x:row>
    <x:row r="3337" ht="22" customHeight="1">
      <x:c r="A3337" s="11" t="n">
        <x:v>3333</x:v>
      </x:c>
      <x:c r="B3337" s="11" t="n">
        <x:v>1689</x:v>
      </x:c>
      <x:c r="C3337" s="18" t="n">
        <x:v>45811</x:v>
      </x:c>
      <x:c r="D3337" s="11" t="str">
        <x:v>2025-06</x:v>
      </x:c>
      <x:c r="E3337" s="11" t="str">
        <x:v>South</x:v>
      </x:c>
      <x:c r="F3337" s="11" t="str">
        <x:v>Furniture</x:v>
      </x:c>
      <x:c r="G3337" s="11" t="str">
        <x:v>Chair</x:v>
      </x:c>
      <x:c r="H3337" s="11" t="n">
        <x:v>2</x:v>
      </x:c>
      <x:c r="I3337" s="19" t="n">
        <x:v>0</x:v>
      </x:c>
      <x:c r="J3337" s="11" t="n">
        <x:v>0</x:v>
      </x:c>
      <x:c r="K3337" s="20" t="n">
        <x:v>340</x:v>
      </x:c>
      <x:c r="L3337" s="20" t="n">
        <x:v>0</x:v>
      </x:c>
      <x:c r="M3337" s="20" t="n">
        <x:v>220</x:v>
      </x:c>
      <x:c r="N3337" s="20" t="n">
        <x:f>IF(J3337=1,0,K3337-L3337)</x:f>
        <x:v>340</x:v>
      </x:c>
      <x:c r="O3337" s="20" t="n">
        <x:f>N3337-M3337</x:f>
        <x:v>120</x:v>
      </x:c>
    </x:row>
    <x:row r="3338" ht="22" customHeight="1">
      <x:c r="A3338" s="11" t="n">
        <x:v>3334</x:v>
      </x:c>
      <x:c r="B3338" s="11" t="n">
        <x:v>1690</x:v>
      </x:c>
      <x:c r="C3338" s="18" t="n">
        <x:v>45707</x:v>
      </x:c>
      <x:c r="D3338" s="11" t="str">
        <x:v>2025-02</x:v>
      </x:c>
      <x:c r="E3338" s="11" t="str">
        <x:v>South</x:v>
      </x:c>
      <x:c r="F3338" s="11" t="str">
        <x:v>Technology</x:v>
      </x:c>
      <x:c r="G3338" s="11" t="str">
        <x:v>Monitor</x:v>
      </x:c>
      <x:c r="H3338" s="11" t="n">
        <x:v>3</x:v>
      </x:c>
      <x:c r="I3338" s="19" t="n">
        <x:v>0</x:v>
      </x:c>
      <x:c r="J3338" s="11" t="n">
        <x:v>0</x:v>
      </x:c>
      <x:c r="K3338" s="20" t="n">
        <x:v>720</x:v>
      </x:c>
      <x:c r="L3338" s="20" t="n">
        <x:v>0</x:v>
      </x:c>
      <x:c r="M3338" s="20" t="n">
        <x:v>480</x:v>
      </x:c>
      <x:c r="N3338" s="20" t="n">
        <x:f>IF(J3338=1,0,K3338-L3338)</x:f>
        <x:v>720</x:v>
      </x:c>
      <x:c r="O3338" s="20" t="n">
        <x:f>N3338-M3338</x:f>
        <x:v>240</x:v>
      </x:c>
    </x:row>
    <x:row r="3339" ht="22" customHeight="1">
      <x:c r="A3339" s="11" t="n">
        <x:v>3335</x:v>
      </x:c>
      <x:c r="B3339" s="11" t="n">
        <x:v>1691</x:v>
      </x:c>
      <x:c r="C3339" s="18" t="n">
        <x:v>45292</x:v>
      </x:c>
      <x:c r="D3339" s="11" t="str">
        <x:v>2024-01</x:v>
      </x:c>
      <x:c r="E3339" s="11" t="str">
        <x:v>West</x:v>
      </x:c>
      <x:c r="F3339" s="11" t="str">
        <x:v>Technology</x:v>
      </x:c>
      <x:c r="G3339" s="11" t="str">
        <x:v>Keyboard</x:v>
      </x:c>
      <x:c r="H3339" s="11" t="n">
        <x:v>3</x:v>
      </x:c>
      <x:c r="I3339" s="19" t="n">
        <x:v>0.15</x:v>
      </x:c>
      <x:c r="J3339" s="11" t="n">
        <x:v>0</x:v>
      </x:c>
      <x:c r="K3339" s="20" t="n">
        <x:v>195</x:v>
      </x:c>
      <x:c r="L3339" s="20" t="n">
        <x:v>29.25</x:v>
      </x:c>
      <x:c r="M3339" s="20" t="n">
        <x:v>96</x:v>
      </x:c>
      <x:c r="N3339" s="20" t="n">
        <x:f>IF(J3339=1,0,K3339-L3339)</x:f>
        <x:v>165.75</x:v>
      </x:c>
      <x:c r="O3339" s="20" t="n">
        <x:f>N3339-M3339</x:f>
        <x:v>69.75</x:v>
      </x:c>
    </x:row>
    <x:row r="3340" ht="22" customHeight="1">
      <x:c r="A3340" s="11" t="n">
        <x:v>3336</x:v>
      </x:c>
      <x:c r="B3340" s="11" t="n">
        <x:v>1692</x:v>
      </x:c>
      <x:c r="C3340" s="18" t="n">
        <x:v>45352</x:v>
      </x:c>
      <x:c r="D3340" s="11" t="str">
        <x:v>2024-03</x:v>
      </x:c>
      <x:c r="E3340" s="11" t="str">
        <x:v>West</x:v>
      </x:c>
      <x:c r="F3340" s="11" t="str">
        <x:v>Office Supplies</x:v>
      </x:c>
      <x:c r="G3340" s="11" t="str">
        <x:v>Storage box</x:v>
      </x:c>
      <x:c r="H3340" s="11" t="n">
        <x:v>1</x:v>
      </x:c>
      <x:c r="I3340" s="19" t="n">
        <x:v>0.05</x:v>
      </x:c>
      <x:c r="J3340" s="11" t="n">
        <x:v>0</x:v>
      </x:c>
      <x:c r="K3340" s="20" t="n">
        <x:v>26</x:v>
      </x:c>
      <x:c r="L3340" s="20" t="n">
        <x:v>1.3</x:v>
      </x:c>
      <x:c r="M3340" s="20" t="n">
        <x:v>12</x:v>
      </x:c>
      <x:c r="N3340" s="20" t="n">
        <x:f>IF(J3340=1,0,K3340-L3340)</x:f>
        <x:v>24.7</x:v>
      </x:c>
      <x:c r="O3340" s="20" t="n">
        <x:f>N3340-M3340</x:f>
        <x:v>12.7</x:v>
      </x:c>
    </x:row>
    <x:row r="3341" ht="22" customHeight="1">
      <x:c r="A3341" s="11" t="n">
        <x:v>3337</x:v>
      </x:c>
      <x:c r="B3341" s="11" t="n">
        <x:v>1692</x:v>
      </x:c>
      <x:c r="C3341" s="18" t="n">
        <x:v>45352</x:v>
      </x:c>
      <x:c r="D3341" s="11" t="str">
        <x:v>2024-03</x:v>
      </x:c>
      <x:c r="E3341" s="11" t="str">
        <x:v>West</x:v>
      </x:c>
      <x:c r="F3341" s="11" t="str">
        <x:v>Furniture</x:v>
      </x:c>
      <x:c r="G3341" s="11" t="str">
        <x:v>Desk</x:v>
      </x:c>
      <x:c r="H3341" s="11" t="n">
        <x:v>2</x:v>
      </x:c>
      <x:c r="I3341" s="19" t="n">
        <x:v>0</x:v>
      </x:c>
      <x:c r="J3341" s="11" t="n">
        <x:v>0</x:v>
      </x:c>
      <x:c r="K3341" s="20" t="n">
        <x:v>560</x:v>
      </x:c>
      <x:c r="L3341" s="20" t="n">
        <x:v>0</x:v>
      </x:c>
      <x:c r="M3341" s="20" t="n">
        <x:v>380</x:v>
      </x:c>
      <x:c r="N3341" s="20" t="n">
        <x:f>IF(J3341=1,0,K3341-L3341)</x:f>
        <x:v>560</x:v>
      </x:c>
      <x:c r="O3341" s="20" t="n">
        <x:f>N3341-M3341</x:f>
        <x:v>180</x:v>
      </x:c>
    </x:row>
    <x:row r="3342" ht="22" customHeight="1">
      <x:c r="A3342" s="11" t="n">
        <x:v>3338</x:v>
      </x:c>
      <x:c r="B3342" s="11" t="n">
        <x:v>1693</x:v>
      </x:c>
      <x:c r="C3342" s="18" t="n">
        <x:v>45647</x:v>
      </x:c>
      <x:c r="D3342" s="11" t="str">
        <x:v>2024-12</x:v>
      </x:c>
      <x:c r="E3342" s="11" t="str">
        <x:v>West</x:v>
      </x:c>
      <x:c r="F3342" s="11" t="str">
        <x:v>Office Supplies</x:v>
      </x:c>
      <x:c r="G3342" s="11" t="str">
        <x:v>Storage box</x:v>
      </x:c>
      <x:c r="H3342" s="11" t="n">
        <x:v>3</x:v>
      </x:c>
      <x:c r="I3342" s="19" t="n">
        <x:v>0</x:v>
      </x:c>
      <x:c r="J3342" s="11" t="n">
        <x:v>0</x:v>
      </x:c>
      <x:c r="K3342" s="20" t="n">
        <x:v>78</x:v>
      </x:c>
      <x:c r="L3342" s="20" t="n">
        <x:v>0</x:v>
      </x:c>
      <x:c r="M3342" s="20" t="n">
        <x:v>36</x:v>
      </x:c>
      <x:c r="N3342" s="20" t="n">
        <x:f>IF(J3342=1,0,K3342-L3342)</x:f>
        <x:v>78</x:v>
      </x:c>
      <x:c r="O3342" s="20" t="n">
        <x:f>N3342-M3342</x:f>
        <x:v>42</x:v>
      </x:c>
    </x:row>
    <x:row r="3343" ht="22" customHeight="1">
      <x:c r="A3343" s="11" t="n">
        <x:v>3339</x:v>
      </x:c>
      <x:c r="B3343" s="11" t="n">
        <x:v>1693</x:v>
      </x:c>
      <x:c r="C3343" s="18" t="n">
        <x:v>45647</x:v>
      </x:c>
      <x:c r="D3343" s="11" t="str">
        <x:v>2024-12</x:v>
      </x:c>
      <x:c r="E3343" s="11" t="str">
        <x:v>West</x:v>
      </x:c>
      <x:c r="F3343" s="11" t="str">
        <x:v>Office Supplies</x:v>
      </x:c>
      <x:c r="G3343" s="11" t="str">
        <x:v>Notebook pack</x:v>
      </x:c>
      <x:c r="H3343" s="11" t="n">
        <x:v>1</x:v>
      </x:c>
      <x:c r="I3343" s="19" t="n">
        <x:v>0.1</x:v>
      </x:c>
      <x:c r="J3343" s="11" t="n">
        <x:v>0</x:v>
      </x:c>
      <x:c r="K3343" s="20" t="n">
        <x:v>18</x:v>
      </x:c>
      <x:c r="L3343" s="20" t="n">
        <x:v>1.8</x:v>
      </x:c>
      <x:c r="M3343" s="20" t="n">
        <x:v>7</x:v>
      </x:c>
      <x:c r="N3343" s="20" t="n">
        <x:f>IF(J3343=1,0,K3343-L3343)</x:f>
        <x:v>16.2</x:v>
      </x:c>
      <x:c r="O3343" s="20" t="n">
        <x:f>N3343-M3343</x:f>
        <x:v>9.2</x:v>
      </x:c>
    </x:row>
    <x:row r="3344" ht="22" customHeight="1">
      <x:c r="A3344" s="11" t="n">
        <x:v>3340</x:v>
      </x:c>
      <x:c r="B3344" s="11" t="n">
        <x:v>1694</x:v>
      </x:c>
      <x:c r="C3344" s="18" t="n">
        <x:v>45745</x:v>
      </x:c>
      <x:c r="D3344" s="11" t="str">
        <x:v>2025-03</x:v>
      </x:c>
      <x:c r="E3344" s="11" t="str">
        <x:v>South</x:v>
      </x:c>
      <x:c r="F3344" s="11" t="str">
        <x:v>Technology</x:v>
      </x:c>
      <x:c r="G3344" s="11" t="str">
        <x:v>Keyboard</x:v>
      </x:c>
      <x:c r="H3344" s="11" t="n">
        <x:v>5</x:v>
      </x:c>
      <x:c r="I3344" s="19" t="n">
        <x:v>0.15</x:v>
      </x:c>
      <x:c r="J3344" s="11" t="n">
        <x:v>1</x:v>
      </x:c>
      <x:c r="K3344" s="20" t="n">
        <x:v>325</x:v>
      </x:c>
      <x:c r="L3344" s="20" t="n">
        <x:v>48.75</x:v>
      </x:c>
      <x:c r="M3344" s="20" t="n">
        <x:v>0</x:v>
      </x:c>
      <x:c r="N3344" s="20" t="n">
        <x:f>IF(J3344=1,0,K3344-L3344)</x:f>
        <x:v>0</x:v>
      </x:c>
      <x:c r="O3344" s="20" t="n">
        <x:f>N3344-M3344</x:f>
        <x:v>0</x:v>
      </x:c>
    </x:row>
    <x:row r="3345" ht="22" customHeight="1">
      <x:c r="A3345" s="11" t="n">
        <x:v>3341</x:v>
      </x:c>
      <x:c r="B3345" s="11" t="n">
        <x:v>1695</x:v>
      </x:c>
      <x:c r="C3345" s="18" t="n">
        <x:v>45654</x:v>
      </x:c>
      <x:c r="D3345" s="11" t="str">
        <x:v>2024-12</x:v>
      </x:c>
      <x:c r="E3345" s="11" t="str">
        <x:v>South</x:v>
      </x:c>
      <x:c r="F3345" s="11" t="str">
        <x:v>Furniture</x:v>
      </x:c>
      <x:c r="G3345" s="11" t="str">
        <x:v>Desk</x:v>
      </x:c>
      <x:c r="H3345" s="11" t="n">
        <x:v>1</x:v>
      </x:c>
      <x:c r="I3345" s="19" t="n">
        <x:v>0</x:v>
      </x:c>
      <x:c r="J3345" s="11" t="n">
        <x:v>0</x:v>
      </x:c>
      <x:c r="K3345" s="20" t="n">
        <x:v>280</x:v>
      </x:c>
      <x:c r="L3345" s="20" t="n">
        <x:v>0</x:v>
      </x:c>
      <x:c r="M3345" s="20" t="n">
        <x:v>190</x:v>
      </x:c>
      <x:c r="N3345" s="20" t="n">
        <x:f>IF(J3345=1,0,K3345-L3345)</x:f>
        <x:v>280</x:v>
      </x:c>
      <x:c r="O3345" s="20" t="n">
        <x:f>N3345-M3345</x:f>
        <x:v>90</x:v>
      </x:c>
    </x:row>
    <x:row r="3346" ht="22" customHeight="1">
      <x:c r="A3346" s="11" t="n">
        <x:v>3342</x:v>
      </x:c>
      <x:c r="B3346" s="11" t="n">
        <x:v>1695</x:v>
      </x:c>
      <x:c r="C3346" s="18" t="n">
        <x:v>45654</x:v>
      </x:c>
      <x:c r="D3346" s="11" t="str">
        <x:v>2024-12</x:v>
      </x:c>
      <x:c r="E3346" s="11" t="str">
        <x:v>South</x:v>
      </x:c>
      <x:c r="F3346" s="11" t="str">
        <x:v>Furniture</x:v>
      </x:c>
      <x:c r="G3346" s="11" t="str">
        <x:v>Chair</x:v>
      </x:c>
      <x:c r="H3346" s="11" t="n">
        <x:v>3</x:v>
      </x:c>
      <x:c r="I3346" s="19" t="n">
        <x:v>0.05</x:v>
      </x:c>
      <x:c r="J3346" s="11" t="n">
        <x:v>0</x:v>
      </x:c>
      <x:c r="K3346" s="20" t="n">
        <x:v>510</x:v>
      </x:c>
      <x:c r="L3346" s="20" t="n">
        <x:v>25.5</x:v>
      </x:c>
      <x:c r="M3346" s="20" t="n">
        <x:v>330</x:v>
      </x:c>
      <x:c r="N3346" s="20" t="n">
        <x:f>IF(J3346=1,0,K3346-L3346)</x:f>
        <x:v>484.5</x:v>
      </x:c>
      <x:c r="O3346" s="20" t="n">
        <x:f>N3346-M3346</x:f>
        <x:v>154.5</x:v>
      </x:c>
    </x:row>
    <x:row r="3347" ht="22" customHeight="1">
      <x:c r="A3347" s="11" t="n">
        <x:v>3343</x:v>
      </x:c>
      <x:c r="B3347" s="11" t="n">
        <x:v>1695</x:v>
      </x:c>
      <x:c r="C3347" s="18" t="n">
        <x:v>45654</x:v>
      </x:c>
      <x:c r="D3347" s="11" t="str">
        <x:v>2024-12</x:v>
      </x:c>
      <x:c r="E3347" s="11" t="str">
        <x:v>South</x:v>
      </x:c>
      <x:c r="F3347" s="11" t="str">
        <x:v>Office Supplies</x:v>
      </x:c>
      <x:c r="G3347" s="11" t="str">
        <x:v>Storage box</x:v>
      </x:c>
      <x:c r="H3347" s="11" t="n">
        <x:v>1</x:v>
      </x:c>
      <x:c r="I3347" s="19" t="n">
        <x:v>0</x:v>
      </x:c>
      <x:c r="J3347" s="11" t="n">
        <x:v>0</x:v>
      </x:c>
      <x:c r="K3347" s="20" t="n">
        <x:v>26</x:v>
      </x:c>
      <x:c r="L3347" s="20" t="n">
        <x:v>0</x:v>
      </x:c>
      <x:c r="M3347" s="20" t="n">
        <x:v>12</x:v>
      </x:c>
      <x:c r="N3347" s="20" t="n">
        <x:f>IF(J3347=1,0,K3347-L3347)</x:f>
        <x:v>26</x:v>
      </x:c>
      <x:c r="O3347" s="20" t="n">
        <x:f>N3347-M3347</x:f>
        <x:v>14</x:v>
      </x:c>
    </x:row>
    <x:row r="3348" ht="22" customHeight="1">
      <x:c r="A3348" s="11" t="n">
        <x:v>3344</x:v>
      </x:c>
      <x:c r="B3348" s="11" t="n">
        <x:v>1696</x:v>
      </x:c>
      <x:c r="C3348" s="18" t="n">
        <x:v>45884</x:v>
      </x:c>
      <x:c r="D3348" s="11" t="str">
        <x:v>2025-08</x:v>
      </x:c>
      <x:c r="E3348" s="11" t="str">
        <x:v>West</x:v>
      </x:c>
      <x:c r="F3348" s="11" t="str">
        <x:v>Technology</x:v>
      </x:c>
      <x:c r="G3348" s="11" t="str">
        <x:v>Monitor</x:v>
      </x:c>
      <x:c r="H3348" s="11" t="n">
        <x:v>1</x:v>
      </x:c>
      <x:c r="I3348" s="19" t="n">
        <x:v>0</x:v>
      </x:c>
      <x:c r="J3348" s="11" t="n">
        <x:v>0</x:v>
      </x:c>
      <x:c r="K3348" s="20" t="n">
        <x:v>240</x:v>
      </x:c>
      <x:c r="L3348" s="20" t="n">
        <x:v>0</x:v>
      </x:c>
      <x:c r="M3348" s="20" t="n">
        <x:v>160</x:v>
      </x:c>
      <x:c r="N3348" s="20" t="n">
        <x:f>IF(J3348=1,0,K3348-L3348)</x:f>
        <x:v>240</x:v>
      </x:c>
      <x:c r="O3348" s="20" t="n">
        <x:f>N3348-M3348</x:f>
        <x:v>80</x:v>
      </x:c>
    </x:row>
    <x:row r="3349" ht="22" customHeight="1">
      <x:c r="A3349" s="11" t="n">
        <x:v>3345</x:v>
      </x:c>
      <x:c r="B3349" s="11" t="n">
        <x:v>1696</x:v>
      </x:c>
      <x:c r="C3349" s="18" t="n">
        <x:v>45884</x:v>
      </x:c>
      <x:c r="D3349" s="11" t="str">
        <x:v>2025-08</x:v>
      </x:c>
      <x:c r="E3349" s="11" t="str">
        <x:v>West</x:v>
      </x:c>
      <x:c r="F3349" s="11" t="str">
        <x:v>Furniture</x:v>
      </x:c>
      <x:c r="G3349" s="11" t="str">
        <x:v>Chair</x:v>
      </x:c>
      <x:c r="H3349" s="11" t="n">
        <x:v>5</x:v>
      </x:c>
      <x:c r="I3349" s="19" t="n">
        <x:v>0.1</x:v>
      </x:c>
      <x:c r="J3349" s="11" t="n">
        <x:v>0</x:v>
      </x:c>
      <x:c r="K3349" s="20" t="n">
        <x:v>850</x:v>
      </x:c>
      <x:c r="L3349" s="20" t="n">
        <x:v>85</x:v>
      </x:c>
      <x:c r="M3349" s="20" t="n">
        <x:v>550</x:v>
      </x:c>
      <x:c r="N3349" s="20" t="n">
        <x:f>IF(J3349=1,0,K3349-L3349)</x:f>
        <x:v>765</x:v>
      </x:c>
      <x:c r="O3349" s="20" t="n">
        <x:f>N3349-M3349</x:f>
        <x:v>215</x:v>
      </x:c>
    </x:row>
    <x:row r="3350" ht="22" customHeight="1">
      <x:c r="A3350" s="11" t="n">
        <x:v>3346</x:v>
      </x:c>
      <x:c r="B3350" s="11" t="n">
        <x:v>1697</x:v>
      </x:c>
      <x:c r="C3350" s="18" t="n">
        <x:v>45847</x:v>
      </x:c>
      <x:c r="D3350" s="11" t="str">
        <x:v>2025-07</x:v>
      </x:c>
      <x:c r="E3350" s="11" t="str">
        <x:v>Central</x:v>
      </x:c>
      <x:c r="F3350" s="11" t="str">
        <x:v>Office Supplies</x:v>
      </x:c>
      <x:c r="G3350" s="11" t="str">
        <x:v>Storage box</x:v>
      </x:c>
      <x:c r="H3350" s="11" t="n">
        <x:v>3</x:v>
      </x:c>
      <x:c r="I3350" s="19" t="n">
        <x:v>0.15</x:v>
      </x:c>
      <x:c r="J3350" s="11" t="n">
        <x:v>0</x:v>
      </x:c>
      <x:c r="K3350" s="20" t="n">
        <x:v>78</x:v>
      </x:c>
      <x:c r="L3350" s="20" t="n">
        <x:v>11.7</x:v>
      </x:c>
      <x:c r="M3350" s="20" t="n">
        <x:v>36</x:v>
      </x:c>
      <x:c r="N3350" s="20" t="n">
        <x:f>IF(J3350=1,0,K3350-L3350)</x:f>
        <x:v>66.3</x:v>
      </x:c>
      <x:c r="O3350" s="20" t="n">
        <x:f>N3350-M3350</x:f>
        <x:v>30.299999999999997</x:v>
      </x:c>
    </x:row>
    <x:row r="3351" ht="22" customHeight="1">
      <x:c r="A3351" s="11" t="n">
        <x:v>3347</x:v>
      </x:c>
      <x:c r="B3351" s="11" t="n">
        <x:v>1698</x:v>
      </x:c>
      <x:c r="C3351" s="18" t="n">
        <x:v>45470</x:v>
      </x:c>
      <x:c r="D3351" s="11" t="str">
        <x:v>2024-06</x:v>
      </x:c>
      <x:c r="E3351" s="11" t="str">
        <x:v>Central</x:v>
      </x:c>
      <x:c r="F3351" s="11" t="str">
        <x:v>Furniture</x:v>
      </x:c>
      <x:c r="G3351" s="11" t="str">
        <x:v>Chair</x:v>
      </x:c>
      <x:c r="H3351" s="11" t="n">
        <x:v>5</x:v>
      </x:c>
      <x:c r="I3351" s="19" t="n">
        <x:v>0.15</x:v>
      </x:c>
      <x:c r="J3351" s="11" t="n">
        <x:v>0</x:v>
      </x:c>
      <x:c r="K3351" s="20" t="n">
        <x:v>850</x:v>
      </x:c>
      <x:c r="L3351" s="20" t="n">
        <x:v>127.5</x:v>
      </x:c>
      <x:c r="M3351" s="20" t="n">
        <x:v>550</x:v>
      </x:c>
      <x:c r="N3351" s="20" t="n">
        <x:f>IF(J3351=1,0,K3351-L3351)</x:f>
        <x:v>722.5</x:v>
      </x:c>
      <x:c r="O3351" s="20" t="n">
        <x:f>N3351-M3351</x:f>
        <x:v>172.5</x:v>
      </x:c>
    </x:row>
    <x:row r="3352" ht="22" customHeight="1">
      <x:c r="A3352" s="11" t="n">
        <x:v>3348</x:v>
      </x:c>
      <x:c r="B3352" s="11" t="n">
        <x:v>1698</x:v>
      </x:c>
      <x:c r="C3352" s="18" t="n">
        <x:v>45470</x:v>
      </x:c>
      <x:c r="D3352" s="11" t="str">
        <x:v>2024-06</x:v>
      </x:c>
      <x:c r="E3352" s="11" t="str">
        <x:v>Central</x:v>
      </x:c>
      <x:c r="F3352" s="11" t="str">
        <x:v>Technology</x:v>
      </x:c>
      <x:c r="G3352" s="11" t="str">
        <x:v>Monitor</x:v>
      </x:c>
      <x:c r="H3352" s="11" t="n">
        <x:v>3</x:v>
      </x:c>
      <x:c r="I3352" s="19" t="n">
        <x:v>0.1</x:v>
      </x:c>
      <x:c r="J3352" s="11" t="n">
        <x:v>0</x:v>
      </x:c>
      <x:c r="K3352" s="20" t="n">
        <x:v>720</x:v>
      </x:c>
      <x:c r="L3352" s="20" t="n">
        <x:v>72</x:v>
      </x:c>
      <x:c r="M3352" s="20" t="n">
        <x:v>480</x:v>
      </x:c>
      <x:c r="N3352" s="20" t="n">
        <x:f>IF(J3352=1,0,K3352-L3352)</x:f>
        <x:v>648</x:v>
      </x:c>
      <x:c r="O3352" s="20" t="n">
        <x:f>N3352-M3352</x:f>
        <x:v>168</x:v>
      </x:c>
    </x:row>
    <x:row r="3353" ht="22" customHeight="1">
      <x:c r="A3353" s="11" t="n">
        <x:v>3349</x:v>
      </x:c>
      <x:c r="B3353" s="11" t="n">
        <x:v>1699</x:v>
      </x:c>
      <x:c r="C3353" s="18" t="n">
        <x:v>45352</x:v>
      </x:c>
      <x:c r="D3353" s="11" t="str">
        <x:v>2024-03</x:v>
      </x:c>
      <x:c r="E3353" s="11" t="str">
        <x:v>West</x:v>
      </x:c>
      <x:c r="F3353" s="11" t="str">
        <x:v>Office Supplies</x:v>
      </x:c>
      <x:c r="G3353" s="11" t="str">
        <x:v>Notebook pack</x:v>
      </x:c>
      <x:c r="H3353" s="11" t="n">
        <x:v>4</x:v>
      </x:c>
      <x:c r="I3353" s="19" t="n">
        <x:v>0.15</x:v>
      </x:c>
      <x:c r="J3353" s="11" t="n">
        <x:v>0</x:v>
      </x:c>
      <x:c r="K3353" s="20" t="n">
        <x:v>72</x:v>
      </x:c>
      <x:c r="L3353" s="20" t="n">
        <x:v>10.8</x:v>
      </x:c>
      <x:c r="M3353" s="20" t="n">
        <x:v>28</x:v>
      </x:c>
      <x:c r="N3353" s="20" t="n">
        <x:f>IF(J3353=1,0,K3353-L3353)</x:f>
        <x:v>61.2</x:v>
      </x:c>
      <x:c r="O3353" s="20" t="n">
        <x:f>N3353-M3353</x:f>
        <x:v>33.2</x:v>
      </x:c>
    </x:row>
    <x:row r="3354" ht="22" customHeight="1">
      <x:c r="A3354" s="11" t="n">
        <x:v>3350</x:v>
      </x:c>
      <x:c r="B3354" s="11" t="n">
        <x:v>1699</x:v>
      </x:c>
      <x:c r="C3354" s="18" t="n">
        <x:v>45352</x:v>
      </x:c>
      <x:c r="D3354" s="11" t="str">
        <x:v>2024-03</x:v>
      </x:c>
      <x:c r="E3354" s="11" t="str">
        <x:v>West</x:v>
      </x:c>
      <x:c r="F3354" s="11" t="str">
        <x:v>Furniture</x:v>
      </x:c>
      <x:c r="G3354" s="11" t="str">
        <x:v>Desk</x:v>
      </x:c>
      <x:c r="H3354" s="11" t="n">
        <x:v>5</x:v>
      </x:c>
      <x:c r="I3354" s="19" t="n">
        <x:v>0</x:v>
      </x:c>
      <x:c r="J3354" s="11" t="n">
        <x:v>0</x:v>
      </x:c>
      <x:c r="K3354" s="20" t="n">
        <x:v>1400</x:v>
      </x:c>
      <x:c r="L3354" s="20" t="n">
        <x:v>0</x:v>
      </x:c>
      <x:c r="M3354" s="20" t="n">
        <x:v>950</x:v>
      </x:c>
      <x:c r="N3354" s="20" t="n">
        <x:f>IF(J3354=1,0,K3354-L3354)</x:f>
        <x:v>1400</x:v>
      </x:c>
      <x:c r="O3354" s="20" t="n">
        <x:f>N3354-M3354</x:f>
        <x:v>450</x:v>
      </x:c>
    </x:row>
    <x:row r="3355" ht="22" customHeight="1">
      <x:c r="A3355" s="11" t="n">
        <x:v>3351</x:v>
      </x:c>
      <x:c r="B3355" s="11" t="n">
        <x:v>1699</x:v>
      </x:c>
      <x:c r="C3355" s="18" t="n">
        <x:v>45352</x:v>
      </x:c>
      <x:c r="D3355" s="11" t="str">
        <x:v>2024-03</x:v>
      </x:c>
      <x:c r="E3355" s="11" t="str">
        <x:v>West</x:v>
      </x:c>
      <x:c r="F3355" s="11" t="str">
        <x:v>Office Supplies</x:v>
      </x:c>
      <x:c r="G3355" s="11" t="str">
        <x:v>Storage box</x:v>
      </x:c>
      <x:c r="H3355" s="11" t="n">
        <x:v>4</x:v>
      </x:c>
      <x:c r="I3355" s="19" t="n">
        <x:v>0.1</x:v>
      </x:c>
      <x:c r="J3355" s="11" t="n">
        <x:v>0</x:v>
      </x:c>
      <x:c r="K3355" s="20" t="n">
        <x:v>104</x:v>
      </x:c>
      <x:c r="L3355" s="20" t="n">
        <x:v>10.4</x:v>
      </x:c>
      <x:c r="M3355" s="20" t="n">
        <x:v>48</x:v>
      </x:c>
      <x:c r="N3355" s="20" t="n">
        <x:f>IF(J3355=1,0,K3355-L3355)</x:f>
        <x:v>93.6</x:v>
      </x:c>
      <x:c r="O3355" s="20" t="n">
        <x:f>N3355-M3355</x:f>
        <x:v>45.599999999999994</x:v>
      </x:c>
    </x:row>
    <x:row r="3356" ht="22" customHeight="1">
      <x:c r="A3356" s="11" t="n">
        <x:v>3352</x:v>
      </x:c>
      <x:c r="B3356" s="11" t="n">
        <x:v>1700</x:v>
      </x:c>
      <x:c r="C3356" s="18" t="n">
        <x:v>45337</x:v>
      </x:c>
      <x:c r="D3356" s="11" t="str">
        <x:v>2024-02</x:v>
      </x:c>
      <x:c r="E3356" s="11" t="str">
        <x:v>South</x:v>
      </x:c>
      <x:c r="F3356" s="11" t="str">
        <x:v>Office Supplies</x:v>
      </x:c>
      <x:c r="G3356" s="11" t="str">
        <x:v>Notebook pack</x:v>
      </x:c>
      <x:c r="H3356" s="11" t="n">
        <x:v>2</x:v>
      </x:c>
      <x:c r="I3356" s="19" t="n">
        <x:v>0</x:v>
      </x:c>
      <x:c r="J3356" s="11" t="n">
        <x:v>0</x:v>
      </x:c>
      <x:c r="K3356" s="20" t="n">
        <x:v>36</x:v>
      </x:c>
      <x:c r="L3356" s="20" t="n">
        <x:v>0</x:v>
      </x:c>
      <x:c r="M3356" s="20" t="n">
        <x:v>14</x:v>
      </x:c>
      <x:c r="N3356" s="20" t="n">
        <x:f>IF(J3356=1,0,K3356-L3356)</x:f>
        <x:v>36</x:v>
      </x:c>
      <x:c r="O3356" s="20" t="n">
        <x:f>N3356-M3356</x:f>
        <x:v>22</x:v>
      </x:c>
    </x:row>
    <x:row r="3357" ht="22" customHeight="1">
      <x:c r="A3357" s="11" t="n">
        <x:v>3353</x:v>
      </x:c>
      <x:c r="B3357" s="11" t="n">
        <x:v>1700</x:v>
      </x:c>
      <x:c r="C3357" s="18" t="n">
        <x:v>45337</x:v>
      </x:c>
      <x:c r="D3357" s="11" t="str">
        <x:v>2024-02</x:v>
      </x:c>
      <x:c r="E3357" s="11" t="str">
        <x:v>South</x:v>
      </x:c>
      <x:c r="F3357" s="11" t="str">
        <x:v>Technology</x:v>
      </x:c>
      <x:c r="G3357" s="11" t="str">
        <x:v>Monitor</x:v>
      </x:c>
      <x:c r="H3357" s="11" t="n">
        <x:v>5</x:v>
      </x:c>
      <x:c r="I3357" s="19" t="n">
        <x:v>0.05</x:v>
      </x:c>
      <x:c r="J3357" s="11" t="n">
        <x:v>0</x:v>
      </x:c>
      <x:c r="K3357" s="20" t="n">
        <x:v>1200</x:v>
      </x:c>
      <x:c r="L3357" s="20" t="n">
        <x:v>60</x:v>
      </x:c>
      <x:c r="M3357" s="20" t="n">
        <x:v>800</x:v>
      </x:c>
      <x:c r="N3357" s="20" t="n">
        <x:f>IF(J3357=1,0,K3357-L3357)</x:f>
        <x:v>1140</x:v>
      </x:c>
      <x:c r="O3357" s="20" t="n">
        <x:f>N3357-M3357</x:f>
        <x:v>340</x:v>
      </x:c>
    </x:row>
    <x:row r="3358" ht="22" customHeight="1">
      <x:c r="A3358" s="11" t="n">
        <x:v>3354</x:v>
      </x:c>
      <x:c r="B3358" s="11" t="n">
        <x:v>1701</x:v>
      </x:c>
      <x:c r="C3358" s="18" t="n">
        <x:v>46007</x:v>
      </x:c>
      <x:c r="D3358" s="11" t="str">
        <x:v>2025-12</x:v>
      </x:c>
      <x:c r="E3358" s="11" t="str">
        <x:v>South</x:v>
      </x:c>
      <x:c r="F3358" s="11" t="str">
        <x:v>Furniture</x:v>
      </x:c>
      <x:c r="G3358" s="11" t="str">
        <x:v>Desk</x:v>
      </x:c>
      <x:c r="H3358" s="11" t="n">
        <x:v>4</x:v>
      </x:c>
      <x:c r="I3358" s="19" t="n">
        <x:v>0.35</x:v>
      </x:c>
      <x:c r="J3358" s="11" t="n">
        <x:v>0</x:v>
      </x:c>
      <x:c r="K3358" s="20" t="n">
        <x:v>1120</x:v>
      </x:c>
      <x:c r="L3358" s="20" t="n">
        <x:v>392</x:v>
      </x:c>
      <x:c r="M3358" s="20" t="n">
        <x:v>760</x:v>
      </x:c>
      <x:c r="N3358" s="20" t="n">
        <x:f>IF(J3358=1,0,K3358-L3358)</x:f>
        <x:v>728</x:v>
      </x:c>
      <x:c r="O3358" s="20" t="n">
        <x:f>N3358-M3358</x:f>
        <x:v>-32</x:v>
      </x:c>
    </x:row>
    <x:row r="3359" ht="22" customHeight="1">
      <x:c r="A3359" s="11" t="n">
        <x:v>3355</x:v>
      </x:c>
      <x:c r="B3359" s="11" t="n">
        <x:v>1702</x:v>
      </x:c>
      <x:c r="C3359" s="18" t="n">
        <x:v>45452</x:v>
      </x:c>
      <x:c r="D3359" s="11" t="str">
        <x:v>2024-06</x:v>
      </x:c>
      <x:c r="E3359" s="11" t="str">
        <x:v>West</x:v>
      </x:c>
      <x:c r="F3359" s="11" t="str">
        <x:v>Furniture</x:v>
      </x:c>
      <x:c r="G3359" s="11" t="str">
        <x:v>Chair</x:v>
      </x:c>
      <x:c r="H3359" s="11" t="n">
        <x:v>2</x:v>
      </x:c>
      <x:c r="I3359" s="19" t="n">
        <x:v>0.15</x:v>
      </x:c>
      <x:c r="J3359" s="11" t="n">
        <x:v>0</x:v>
      </x:c>
      <x:c r="K3359" s="20" t="n">
        <x:v>340</x:v>
      </x:c>
      <x:c r="L3359" s="20" t="n">
        <x:v>51</x:v>
      </x:c>
      <x:c r="M3359" s="20" t="n">
        <x:v>220</x:v>
      </x:c>
      <x:c r="N3359" s="20" t="n">
        <x:f>IF(J3359=1,0,K3359-L3359)</x:f>
        <x:v>289</x:v>
      </x:c>
      <x:c r="O3359" s="20" t="n">
        <x:f>N3359-M3359</x:f>
        <x:v>69</x:v>
      </x:c>
    </x:row>
    <x:row r="3360" ht="22" customHeight="1">
      <x:c r="A3360" s="11" t="n">
        <x:v>3356</x:v>
      </x:c>
      <x:c r="B3360" s="11" t="n">
        <x:v>1703</x:v>
      </x:c>
      <x:c r="C3360" s="18" t="n">
        <x:v>45366</x:v>
      </x:c>
      <x:c r="D3360" s="11" t="str">
        <x:v>2024-03</x:v>
      </x:c>
      <x:c r="E3360" s="11" t="str">
        <x:v>South</x:v>
      </x:c>
      <x:c r="F3360" s="11" t="str">
        <x:v>Technology</x:v>
      </x:c>
      <x:c r="G3360" s="11" t="str">
        <x:v>Monitor</x:v>
      </x:c>
      <x:c r="H3360" s="11" t="n">
        <x:v>2</x:v>
      </x:c>
      <x:c r="I3360" s="19" t="n">
        <x:v>0.1</x:v>
      </x:c>
      <x:c r="J3360" s="11" t="n">
        <x:v>0</x:v>
      </x:c>
      <x:c r="K3360" s="20" t="n">
        <x:v>480</x:v>
      </x:c>
      <x:c r="L3360" s="20" t="n">
        <x:v>48</x:v>
      </x:c>
      <x:c r="M3360" s="20" t="n">
        <x:v>320</x:v>
      </x:c>
      <x:c r="N3360" s="20" t="n">
        <x:f>IF(J3360=1,0,K3360-L3360)</x:f>
        <x:v>432</x:v>
      </x:c>
      <x:c r="O3360" s="20" t="n">
        <x:f>N3360-M3360</x:f>
        <x:v>112</x:v>
      </x:c>
    </x:row>
    <x:row r="3361" ht="22" customHeight="1">
      <x:c r="A3361" s="11" t="n">
        <x:v>3357</x:v>
      </x:c>
      <x:c r="B3361" s="11" t="n">
        <x:v>1703</x:v>
      </x:c>
      <x:c r="C3361" s="18" t="n">
        <x:v>45366</x:v>
      </x:c>
      <x:c r="D3361" s="11" t="str">
        <x:v>2024-03</x:v>
      </x:c>
      <x:c r="E3361" s="11" t="str">
        <x:v>South</x:v>
      </x:c>
      <x:c r="F3361" s="11" t="str">
        <x:v>Office Supplies</x:v>
      </x:c>
      <x:c r="G3361" s="11" t="str">
        <x:v>Storage box</x:v>
      </x:c>
      <x:c r="H3361" s="11" t="n">
        <x:v>1</x:v>
      </x:c>
      <x:c r="I3361" s="19" t="n">
        <x:v>0.1</x:v>
      </x:c>
      <x:c r="J3361" s="11" t="n">
        <x:v>0</x:v>
      </x:c>
      <x:c r="K3361" s="20" t="n">
        <x:v>26</x:v>
      </x:c>
      <x:c r="L3361" s="20" t="n">
        <x:v>2.6</x:v>
      </x:c>
      <x:c r="M3361" s="20" t="n">
        <x:v>12</x:v>
      </x:c>
      <x:c r="N3361" s="20" t="n">
        <x:f>IF(J3361=1,0,K3361-L3361)</x:f>
        <x:v>23.4</x:v>
      </x:c>
      <x:c r="O3361" s="20" t="n">
        <x:f>N3361-M3361</x:f>
        <x:v>11.399999999999999</x:v>
      </x:c>
    </x:row>
    <x:row r="3362" ht="22" customHeight="1">
      <x:c r="A3362" s="11" t="n">
        <x:v>3358</x:v>
      </x:c>
      <x:c r="B3362" s="11" t="n">
        <x:v>1704</x:v>
      </x:c>
      <x:c r="C3362" s="18" t="n">
        <x:v>45480</x:v>
      </x:c>
      <x:c r="D3362" s="11" t="str">
        <x:v>2024-07</x:v>
      </x:c>
      <x:c r="E3362" s="11" t="str">
        <x:v>East</x:v>
      </x:c>
      <x:c r="F3362" s="11" t="str">
        <x:v>Furniture</x:v>
      </x:c>
      <x:c r="G3362" s="11" t="str">
        <x:v>Chair</x:v>
      </x:c>
      <x:c r="H3362" s="11" t="n">
        <x:v>2</x:v>
      </x:c>
      <x:c r="I3362" s="19" t="n">
        <x:v>0.05</x:v>
      </x:c>
      <x:c r="J3362" s="11" t="n">
        <x:v>0</x:v>
      </x:c>
      <x:c r="K3362" s="20" t="n">
        <x:v>340</x:v>
      </x:c>
      <x:c r="L3362" s="20" t="n">
        <x:v>17</x:v>
      </x:c>
      <x:c r="M3362" s="20" t="n">
        <x:v>220</x:v>
      </x:c>
      <x:c r="N3362" s="20" t="n">
        <x:f>IF(J3362=1,0,K3362-L3362)</x:f>
        <x:v>323</x:v>
      </x:c>
      <x:c r="O3362" s="20" t="n">
        <x:f>N3362-M3362</x:f>
        <x:v>103</x:v>
      </x:c>
    </x:row>
    <x:row r="3363" ht="22" customHeight="1">
      <x:c r="A3363" s="11" t="n">
        <x:v>3359</x:v>
      </x:c>
      <x:c r="B3363" s="11" t="n">
        <x:v>1704</x:v>
      </x:c>
      <x:c r="C3363" s="18" t="n">
        <x:v>45480</x:v>
      </x:c>
      <x:c r="D3363" s="11" t="str">
        <x:v>2024-07</x:v>
      </x:c>
      <x:c r="E3363" s="11" t="str">
        <x:v>East</x:v>
      </x:c>
      <x:c r="F3363" s="11" t="str">
        <x:v>Office Supplies</x:v>
      </x:c>
      <x:c r="G3363" s="11" t="str">
        <x:v>Notebook pack</x:v>
      </x:c>
      <x:c r="H3363" s="11" t="n">
        <x:v>1</x:v>
      </x:c>
      <x:c r="I3363" s="19" t="n">
        <x:v>0</x:v>
      </x:c>
      <x:c r="J3363" s="11" t="n">
        <x:v>1</x:v>
      </x:c>
      <x:c r="K3363" s="20" t="n">
        <x:v>18</x:v>
      </x:c>
      <x:c r="L3363" s="20" t="n">
        <x:v>0</x:v>
      </x:c>
      <x:c r="M3363" s="20" t="n">
        <x:v>0</x:v>
      </x:c>
      <x:c r="N3363" s="20" t="n">
        <x:f>IF(J3363=1,0,K3363-L3363)</x:f>
        <x:v>0</x:v>
      </x:c>
      <x:c r="O3363" s="20" t="n">
        <x:f>N3363-M3363</x:f>
        <x:v>0</x:v>
      </x:c>
    </x:row>
    <x:row r="3364" ht="22" customHeight="1">
      <x:c r="A3364" s="11" t="n">
        <x:v>3360</x:v>
      </x:c>
      <x:c r="B3364" s="11" t="n">
        <x:v>1704</x:v>
      </x:c>
      <x:c r="C3364" s="18" t="n">
        <x:v>45480</x:v>
      </x:c>
      <x:c r="D3364" s="11" t="str">
        <x:v>2024-07</x:v>
      </x:c>
      <x:c r="E3364" s="11" t="str">
        <x:v>East</x:v>
      </x:c>
      <x:c r="F3364" s="11" t="str">
        <x:v>Office Supplies</x:v>
      </x:c>
      <x:c r="G3364" s="11" t="str">
        <x:v>Storage box</x:v>
      </x:c>
      <x:c r="H3364" s="11" t="n">
        <x:v>1</x:v>
      </x:c>
      <x:c r="I3364" s="19" t="n">
        <x:v>0.15</x:v>
      </x:c>
      <x:c r="J3364" s="11" t="n">
        <x:v>1</x:v>
      </x:c>
      <x:c r="K3364" s="20" t="n">
        <x:v>26</x:v>
      </x:c>
      <x:c r="L3364" s="20" t="n">
        <x:v>3.9</x:v>
      </x:c>
      <x:c r="M3364" s="20" t="n">
        <x:v>0</x:v>
      </x:c>
      <x:c r="N3364" s="20" t="n">
        <x:f>IF(J3364=1,0,K3364-L3364)</x:f>
        <x:v>0</x:v>
      </x:c>
      <x:c r="O3364" s="20" t="n">
        <x:f>N3364-M3364</x:f>
        <x:v>0</x:v>
      </x:c>
    </x:row>
    <x:row r="3365" ht="22" customHeight="1">
      <x:c r="A3365" s="11" t="n">
        <x:v>3361</x:v>
      </x:c>
      <x:c r="B3365" s="11" t="n">
        <x:v>1705</x:v>
      </x:c>
      <x:c r="C3365" s="18" t="n">
        <x:v>45723</x:v>
      </x:c>
      <x:c r="D3365" s="11" t="str">
        <x:v>2025-03</x:v>
      </x:c>
      <x:c r="E3365" s="11" t="str">
        <x:v>Central</x:v>
      </x:c>
      <x:c r="F3365" s="11" t="str">
        <x:v>Furniture</x:v>
      </x:c>
      <x:c r="G3365" s="11" t="str">
        <x:v>Chair</x:v>
      </x:c>
      <x:c r="H3365" s="11" t="n">
        <x:v>5</x:v>
      </x:c>
      <x:c r="I3365" s="19" t="n">
        <x:v>0.25</x:v>
      </x:c>
      <x:c r="J3365" s="11" t="n">
        <x:v>0</x:v>
      </x:c>
      <x:c r="K3365" s="20" t="n">
        <x:v>850</x:v>
      </x:c>
      <x:c r="L3365" s="20" t="n">
        <x:v>212.5</x:v>
      </x:c>
      <x:c r="M3365" s="20" t="n">
        <x:v>550</x:v>
      </x:c>
      <x:c r="N3365" s="20" t="n">
        <x:f>IF(J3365=1,0,K3365-L3365)</x:f>
        <x:v>637.5</x:v>
      </x:c>
      <x:c r="O3365" s="20" t="n">
        <x:f>N3365-M3365</x:f>
        <x:v>87.5</x:v>
      </x:c>
    </x:row>
    <x:row r="3366" ht="22" customHeight="1">
      <x:c r="A3366" s="11" t="n">
        <x:v>3362</x:v>
      </x:c>
      <x:c r="B3366" s="11" t="n">
        <x:v>1705</x:v>
      </x:c>
      <x:c r="C3366" s="18" t="n">
        <x:v>45723</x:v>
      </x:c>
      <x:c r="D3366" s="11" t="str">
        <x:v>2025-03</x:v>
      </x:c>
      <x:c r="E3366" s="11" t="str">
        <x:v>Central</x:v>
      </x:c>
      <x:c r="F3366" s="11" t="str">
        <x:v>Furniture</x:v>
      </x:c>
      <x:c r="G3366" s="11" t="str">
        <x:v>Desk</x:v>
      </x:c>
      <x:c r="H3366" s="11" t="n">
        <x:v>2</x:v>
      </x:c>
      <x:c r="I3366" s="19" t="n">
        <x:v>0</x:v>
      </x:c>
      <x:c r="J3366" s="11" t="n">
        <x:v>0</x:v>
      </x:c>
      <x:c r="K3366" s="20" t="n">
        <x:v>560</x:v>
      </x:c>
      <x:c r="L3366" s="20" t="n">
        <x:v>0</x:v>
      </x:c>
      <x:c r="M3366" s="20" t="n">
        <x:v>380</x:v>
      </x:c>
      <x:c r="N3366" s="20" t="n">
        <x:f>IF(J3366=1,0,K3366-L3366)</x:f>
        <x:v>560</x:v>
      </x:c>
      <x:c r="O3366" s="20" t="n">
        <x:f>N3366-M3366</x:f>
        <x:v>180</x:v>
      </x:c>
    </x:row>
    <x:row r="3367" ht="22" customHeight="1">
      <x:c r="A3367" s="11" t="n">
        <x:v>3363</x:v>
      </x:c>
      <x:c r="B3367" s="11" t="n">
        <x:v>1706</x:v>
      </x:c>
      <x:c r="C3367" s="18" t="n">
        <x:v>45411</x:v>
      </x:c>
      <x:c r="D3367" s="11" t="str">
        <x:v>2024-04</x:v>
      </x:c>
      <x:c r="E3367" s="11" t="str">
        <x:v>East</x:v>
      </x:c>
      <x:c r="F3367" s="11" t="str">
        <x:v>Technology</x:v>
      </x:c>
      <x:c r="G3367" s="11" t="str">
        <x:v>Keyboard</x:v>
      </x:c>
      <x:c r="H3367" s="11" t="n">
        <x:v>2</x:v>
      </x:c>
      <x:c r="I3367" s="19" t="n">
        <x:v>0.15</x:v>
      </x:c>
      <x:c r="J3367" s="11" t="n">
        <x:v>0</x:v>
      </x:c>
      <x:c r="K3367" s="20" t="n">
        <x:v>130</x:v>
      </x:c>
      <x:c r="L3367" s="20" t="n">
        <x:v>19.5</x:v>
      </x:c>
      <x:c r="M3367" s="20" t="n">
        <x:v>64</x:v>
      </x:c>
      <x:c r="N3367" s="20" t="n">
        <x:f>IF(J3367=1,0,K3367-L3367)</x:f>
        <x:v>110.5</x:v>
      </x:c>
      <x:c r="O3367" s="20" t="n">
        <x:f>N3367-M3367</x:f>
        <x:v>46.5</x:v>
      </x:c>
    </x:row>
    <x:row r="3368" ht="22" customHeight="1">
      <x:c r="A3368" s="11" t="n">
        <x:v>3364</x:v>
      </x:c>
      <x:c r="B3368" s="11" t="n">
        <x:v>1706</x:v>
      </x:c>
      <x:c r="C3368" s="18" t="n">
        <x:v>45411</x:v>
      </x:c>
      <x:c r="D3368" s="11" t="str">
        <x:v>2024-04</x:v>
      </x:c>
      <x:c r="E3368" s="11" t="str">
        <x:v>East</x:v>
      </x:c>
      <x:c r="F3368" s="11" t="str">
        <x:v>Furniture</x:v>
      </x:c>
      <x:c r="G3368" s="11" t="str">
        <x:v>Chair</x:v>
      </x:c>
      <x:c r="H3368" s="11" t="n">
        <x:v>3</x:v>
      </x:c>
      <x:c r="I3368" s="19" t="n">
        <x:v>0.15</x:v>
      </x:c>
      <x:c r="J3368" s="11" t="n">
        <x:v>0</x:v>
      </x:c>
      <x:c r="K3368" s="20" t="n">
        <x:v>510</x:v>
      </x:c>
      <x:c r="L3368" s="20" t="n">
        <x:v>76.5</x:v>
      </x:c>
      <x:c r="M3368" s="20" t="n">
        <x:v>330</x:v>
      </x:c>
      <x:c r="N3368" s="20" t="n">
        <x:f>IF(J3368=1,0,K3368-L3368)</x:f>
        <x:v>433.5</x:v>
      </x:c>
      <x:c r="O3368" s="20" t="n">
        <x:f>N3368-M3368</x:f>
        <x:v>103.5</x:v>
      </x:c>
    </x:row>
    <x:row r="3369" ht="22" customHeight="1">
      <x:c r="A3369" s="11" t="n">
        <x:v>3365</x:v>
      </x:c>
      <x:c r="B3369" s="11" t="n">
        <x:v>1707</x:v>
      </x:c>
      <x:c r="C3369" s="18" t="n">
        <x:v>45759</x:v>
      </x:c>
      <x:c r="D3369" s="11" t="str">
        <x:v>2025-04</x:v>
      </x:c>
      <x:c r="E3369" s="11" t="str">
        <x:v>West</x:v>
      </x:c>
      <x:c r="F3369" s="11" t="str">
        <x:v>Office Supplies</x:v>
      </x:c>
      <x:c r="G3369" s="11" t="str">
        <x:v>Notebook pack</x:v>
      </x:c>
      <x:c r="H3369" s="11" t="n">
        <x:v>1</x:v>
      </x:c>
      <x:c r="I3369" s="19" t="n">
        <x:v>0</x:v>
      </x:c>
      <x:c r="J3369" s="11" t="n">
        <x:v>0</x:v>
      </x:c>
      <x:c r="K3369" s="20" t="n">
        <x:v>18</x:v>
      </x:c>
      <x:c r="L3369" s="20" t="n">
        <x:v>0</x:v>
      </x:c>
      <x:c r="M3369" s="20" t="n">
        <x:v>7</x:v>
      </x:c>
      <x:c r="N3369" s="20" t="n">
        <x:f>IF(J3369=1,0,K3369-L3369)</x:f>
        <x:v>18</x:v>
      </x:c>
      <x:c r="O3369" s="20" t="n">
        <x:f>N3369-M3369</x:f>
        <x:v>11</x:v>
      </x:c>
    </x:row>
    <x:row r="3370" ht="22" customHeight="1">
      <x:c r="A3370" s="11" t="n">
        <x:v>3366</x:v>
      </x:c>
      <x:c r="B3370" s="11" t="n">
        <x:v>1707</x:v>
      </x:c>
      <x:c r="C3370" s="18" t="n">
        <x:v>45759</x:v>
      </x:c>
      <x:c r="D3370" s="11" t="str">
        <x:v>2025-04</x:v>
      </x:c>
      <x:c r="E3370" s="11" t="str">
        <x:v>West</x:v>
      </x:c>
      <x:c r="F3370" s="11" t="str">
        <x:v>Furniture</x:v>
      </x:c>
      <x:c r="G3370" s="11" t="str">
        <x:v>Chair</x:v>
      </x:c>
      <x:c r="H3370" s="11" t="n">
        <x:v>5</x:v>
      </x:c>
      <x:c r="I3370" s="19" t="n">
        <x:v>0.25</x:v>
      </x:c>
      <x:c r="J3370" s="11" t="n">
        <x:v>0</x:v>
      </x:c>
      <x:c r="K3370" s="20" t="n">
        <x:v>850</x:v>
      </x:c>
      <x:c r="L3370" s="20" t="n">
        <x:v>212.5</x:v>
      </x:c>
      <x:c r="M3370" s="20" t="n">
        <x:v>550</x:v>
      </x:c>
      <x:c r="N3370" s="20" t="n">
        <x:f>IF(J3370=1,0,K3370-L3370)</x:f>
        <x:v>637.5</x:v>
      </x:c>
      <x:c r="O3370" s="20" t="n">
        <x:f>N3370-M3370</x:f>
        <x:v>87.5</x:v>
      </x:c>
    </x:row>
    <x:row r="3371" ht="22" customHeight="1">
      <x:c r="A3371" s="11" t="n">
        <x:v>3367</x:v>
      </x:c>
      <x:c r="B3371" s="11" t="n">
        <x:v>1708</x:v>
      </x:c>
      <x:c r="C3371" s="18" t="n">
        <x:v>45696</x:v>
      </x:c>
      <x:c r="D3371" s="11" t="str">
        <x:v>2025-02</x:v>
      </x:c>
      <x:c r="E3371" s="11" t="str">
        <x:v>South</x:v>
      </x:c>
      <x:c r="F3371" s="11" t="str">
        <x:v>Technology</x:v>
      </x:c>
      <x:c r="G3371" s="11" t="str">
        <x:v>Keyboard</x:v>
      </x:c>
      <x:c r="H3371" s="11" t="n">
        <x:v>2</x:v>
      </x:c>
      <x:c r="I3371" s="19" t="n">
        <x:v>0</x:v>
      </x:c>
      <x:c r="J3371" s="11" t="n">
        <x:v>0</x:v>
      </x:c>
      <x:c r="K3371" s="20" t="n">
        <x:v>130</x:v>
      </x:c>
      <x:c r="L3371" s="20" t="n">
        <x:v>0</x:v>
      </x:c>
      <x:c r="M3371" s="20" t="n">
        <x:v>64</x:v>
      </x:c>
      <x:c r="N3371" s="20" t="n">
        <x:f>IF(J3371=1,0,K3371-L3371)</x:f>
        <x:v>130</x:v>
      </x:c>
      <x:c r="O3371" s="20" t="n">
        <x:f>N3371-M3371</x:f>
        <x:v>66</x:v>
      </x:c>
    </x:row>
    <x:row r="3372" ht="22" customHeight="1">
      <x:c r="A3372" s="11" t="n">
        <x:v>3368</x:v>
      </x:c>
      <x:c r="B3372" s="11" t="n">
        <x:v>1709</x:v>
      </x:c>
      <x:c r="C3372" s="18" t="n">
        <x:v>45436</x:v>
      </x:c>
      <x:c r="D3372" s="11" t="str">
        <x:v>2024-05</x:v>
      </x:c>
      <x:c r="E3372" s="11" t="str">
        <x:v>East</x:v>
      </x:c>
      <x:c r="F3372" s="11" t="str">
        <x:v>Office Supplies</x:v>
      </x:c>
      <x:c r="G3372" s="11" t="str">
        <x:v>Notebook pack</x:v>
      </x:c>
      <x:c r="H3372" s="11" t="n">
        <x:v>1</x:v>
      </x:c>
      <x:c r="I3372" s="19" t="n">
        <x:v>0.05</x:v>
      </x:c>
      <x:c r="J3372" s="11" t="n">
        <x:v>0</x:v>
      </x:c>
      <x:c r="K3372" s="20" t="n">
        <x:v>18</x:v>
      </x:c>
      <x:c r="L3372" s="20" t="n">
        <x:v>0.9</x:v>
      </x:c>
      <x:c r="M3372" s="20" t="n">
        <x:v>7</x:v>
      </x:c>
      <x:c r="N3372" s="20" t="n">
        <x:f>IF(J3372=1,0,K3372-L3372)</x:f>
        <x:v>17.1</x:v>
      </x:c>
      <x:c r="O3372" s="20" t="n">
        <x:f>N3372-M3372</x:f>
        <x:v>10.100000000000001</x:v>
      </x:c>
    </x:row>
    <x:row r="3373" ht="22" customHeight="1">
      <x:c r="A3373" s="11" t="n">
        <x:v>3369</x:v>
      </x:c>
      <x:c r="B3373" s="11" t="n">
        <x:v>1709</x:v>
      </x:c>
      <x:c r="C3373" s="18" t="n">
        <x:v>45436</x:v>
      </x:c>
      <x:c r="D3373" s="11" t="str">
        <x:v>2024-05</x:v>
      </x:c>
      <x:c r="E3373" s="11" t="str">
        <x:v>East</x:v>
      </x:c>
      <x:c r="F3373" s="11" t="str">
        <x:v>Furniture</x:v>
      </x:c>
      <x:c r="G3373" s="11" t="str">
        <x:v>Chair</x:v>
      </x:c>
      <x:c r="H3373" s="11" t="n">
        <x:v>4</x:v>
      </x:c>
      <x:c r="I3373" s="19" t="n">
        <x:v>0</x:v>
      </x:c>
      <x:c r="J3373" s="11" t="n">
        <x:v>0</x:v>
      </x:c>
      <x:c r="K3373" s="20" t="n">
        <x:v>680</x:v>
      </x:c>
      <x:c r="L3373" s="20" t="n">
        <x:v>0</x:v>
      </x:c>
      <x:c r="M3373" s="20" t="n">
        <x:v>440</x:v>
      </x:c>
      <x:c r="N3373" s="20" t="n">
        <x:f>IF(J3373=1,0,K3373-L3373)</x:f>
        <x:v>680</x:v>
      </x:c>
      <x:c r="O3373" s="20" t="n">
        <x:f>N3373-M3373</x:f>
        <x:v>240</x:v>
      </x:c>
    </x:row>
    <x:row r="3374" ht="22" customHeight="1">
      <x:c r="A3374" s="11" t="n">
        <x:v>3370</x:v>
      </x:c>
      <x:c r="B3374" s="11" t="n">
        <x:v>1710</x:v>
      </x:c>
      <x:c r="C3374" s="18" t="n">
        <x:v>45421</x:v>
      </x:c>
      <x:c r="D3374" s="11" t="str">
        <x:v>2024-05</x:v>
      </x:c>
      <x:c r="E3374" s="11" t="str">
        <x:v>East</x:v>
      </x:c>
      <x:c r="F3374" s="11" t="str">
        <x:v>Furniture</x:v>
      </x:c>
      <x:c r="G3374" s="11" t="str">
        <x:v>Desk</x:v>
      </x:c>
      <x:c r="H3374" s="11" t="n">
        <x:v>3</x:v>
      </x:c>
      <x:c r="I3374" s="19" t="n">
        <x:v>0</x:v>
      </x:c>
      <x:c r="J3374" s="11" t="n">
        <x:v>0</x:v>
      </x:c>
      <x:c r="K3374" s="20" t="n">
        <x:v>840</x:v>
      </x:c>
      <x:c r="L3374" s="20" t="n">
        <x:v>0</x:v>
      </x:c>
      <x:c r="M3374" s="20" t="n">
        <x:v>570</x:v>
      </x:c>
      <x:c r="N3374" s="20" t="n">
        <x:f>IF(J3374=1,0,K3374-L3374)</x:f>
        <x:v>840</x:v>
      </x:c>
      <x:c r="O3374" s="20" t="n">
        <x:f>N3374-M3374</x:f>
        <x:v>270</x:v>
      </x:c>
    </x:row>
    <x:row r="3375" ht="22" customHeight="1">
      <x:c r="A3375" s="11" t="n">
        <x:v>3371</x:v>
      </x:c>
      <x:c r="B3375" s="11" t="n">
        <x:v>1711</x:v>
      </x:c>
      <x:c r="C3375" s="18" t="n">
        <x:v>45855</x:v>
      </x:c>
      <x:c r="D3375" s="11" t="str">
        <x:v>2025-07</x:v>
      </x:c>
      <x:c r="E3375" s="11" t="str">
        <x:v>Central</x:v>
      </x:c>
      <x:c r="F3375" s="11" t="str">
        <x:v>Technology</x:v>
      </x:c>
      <x:c r="G3375" s="11" t="str">
        <x:v>Keyboard</x:v>
      </x:c>
      <x:c r="H3375" s="11" t="n">
        <x:v>2</x:v>
      </x:c>
      <x:c r="I3375" s="19" t="n">
        <x:v>0</x:v>
      </x:c>
      <x:c r="J3375" s="11" t="n">
        <x:v>0</x:v>
      </x:c>
      <x:c r="K3375" s="20" t="n">
        <x:v>130</x:v>
      </x:c>
      <x:c r="L3375" s="20" t="n">
        <x:v>0</x:v>
      </x:c>
      <x:c r="M3375" s="20" t="n">
        <x:v>64</x:v>
      </x:c>
      <x:c r="N3375" s="20" t="n">
        <x:f>IF(J3375=1,0,K3375-L3375)</x:f>
        <x:v>130</x:v>
      </x:c>
      <x:c r="O3375" s="20" t="n">
        <x:f>N3375-M3375</x:f>
        <x:v>66</x:v>
      </x:c>
    </x:row>
    <x:row r="3376" ht="22" customHeight="1">
      <x:c r="A3376" s="11" t="n">
        <x:v>3372</x:v>
      </x:c>
      <x:c r="B3376" s="11" t="n">
        <x:v>1712</x:v>
      </x:c>
      <x:c r="C3376" s="18" t="n">
        <x:v>45914</x:v>
      </x:c>
      <x:c r="D3376" s="11" t="str">
        <x:v>2025-09</x:v>
      </x:c>
      <x:c r="E3376" s="11" t="str">
        <x:v>South</x:v>
      </x:c>
      <x:c r="F3376" s="11" t="str">
        <x:v>Technology</x:v>
      </x:c>
      <x:c r="G3376" s="11" t="str">
        <x:v>Monitor</x:v>
      </x:c>
      <x:c r="H3376" s="11" t="n">
        <x:v>5</x:v>
      </x:c>
      <x:c r="I3376" s="19" t="n">
        <x:v>0</x:v>
      </x:c>
      <x:c r="J3376" s="11" t="n">
        <x:v>0</x:v>
      </x:c>
      <x:c r="K3376" s="20" t="n">
        <x:v>1200</x:v>
      </x:c>
      <x:c r="L3376" s="20" t="n">
        <x:v>0</x:v>
      </x:c>
      <x:c r="M3376" s="20" t="n">
        <x:v>800</x:v>
      </x:c>
      <x:c r="N3376" s="20" t="n">
        <x:f>IF(J3376=1,0,K3376-L3376)</x:f>
        <x:v>1200</x:v>
      </x:c>
      <x:c r="O3376" s="20" t="n">
        <x:f>N3376-M3376</x:f>
        <x:v>400</x:v>
      </x:c>
    </x:row>
    <x:row r="3377" ht="22" customHeight="1">
      <x:c r="A3377" s="11" t="n">
        <x:v>3373</x:v>
      </x:c>
      <x:c r="B3377" s="11" t="n">
        <x:v>1713</x:v>
      </x:c>
      <x:c r="C3377" s="18" t="n">
        <x:v>45792</x:v>
      </x:c>
      <x:c r="D3377" s="11" t="str">
        <x:v>2025-05</x:v>
      </x:c>
      <x:c r="E3377" s="11" t="str">
        <x:v>South</x:v>
      </x:c>
      <x:c r="F3377" s="11" t="str">
        <x:v>Technology</x:v>
      </x:c>
      <x:c r="G3377" s="11" t="str">
        <x:v>Monitor</x:v>
      </x:c>
      <x:c r="H3377" s="11" t="n">
        <x:v>4</x:v>
      </x:c>
      <x:c r="I3377" s="19" t="n">
        <x:v>0</x:v>
      </x:c>
      <x:c r="J3377" s="11" t="n">
        <x:v>0</x:v>
      </x:c>
      <x:c r="K3377" s="20" t="n">
        <x:v>960</x:v>
      </x:c>
      <x:c r="L3377" s="20" t="n">
        <x:v>0</x:v>
      </x:c>
      <x:c r="M3377" s="20" t="n">
        <x:v>640</x:v>
      </x:c>
      <x:c r="N3377" s="20" t="n">
        <x:f>IF(J3377=1,0,K3377-L3377)</x:f>
        <x:v>960</x:v>
      </x:c>
      <x:c r="O3377" s="20" t="n">
        <x:f>N3377-M3377</x:f>
        <x:v>320</x:v>
      </x:c>
    </x:row>
    <x:row r="3378" ht="22" customHeight="1">
      <x:c r="A3378" s="11" t="n">
        <x:v>3374</x:v>
      </x:c>
      <x:c r="B3378" s="11" t="n">
        <x:v>1713</x:v>
      </x:c>
      <x:c r="C3378" s="18" t="n">
        <x:v>45792</x:v>
      </x:c>
      <x:c r="D3378" s="11" t="str">
        <x:v>2025-05</x:v>
      </x:c>
      <x:c r="E3378" s="11" t="str">
        <x:v>South</x:v>
      </x:c>
      <x:c r="F3378" s="11" t="str">
        <x:v>Office Supplies</x:v>
      </x:c>
      <x:c r="G3378" s="11" t="str">
        <x:v>Notebook pack</x:v>
      </x:c>
      <x:c r="H3378" s="11" t="n">
        <x:v>5</x:v>
      </x:c>
      <x:c r="I3378" s="19" t="n">
        <x:v>0.1</x:v>
      </x:c>
      <x:c r="J3378" s="11" t="n">
        <x:v>0</x:v>
      </x:c>
      <x:c r="K3378" s="20" t="n">
        <x:v>90</x:v>
      </x:c>
      <x:c r="L3378" s="20" t="n">
        <x:v>9</x:v>
      </x:c>
      <x:c r="M3378" s="20" t="n">
        <x:v>35</x:v>
      </x:c>
      <x:c r="N3378" s="20" t="n">
        <x:f>IF(J3378=1,0,K3378-L3378)</x:f>
        <x:v>81</x:v>
      </x:c>
      <x:c r="O3378" s="20" t="n">
        <x:f>N3378-M3378</x:f>
        <x:v>46</x:v>
      </x:c>
    </x:row>
    <x:row r="3379" ht="22" customHeight="1">
      <x:c r="A3379" s="11" t="n">
        <x:v>3375</x:v>
      </x:c>
      <x:c r="B3379" s="11" t="n">
        <x:v>1713</x:v>
      </x:c>
      <x:c r="C3379" s="18" t="n">
        <x:v>45792</x:v>
      </x:c>
      <x:c r="D3379" s="11" t="str">
        <x:v>2025-05</x:v>
      </x:c>
      <x:c r="E3379" s="11" t="str">
        <x:v>South</x:v>
      </x:c>
      <x:c r="F3379" s="11" t="str">
        <x:v>Furniture</x:v>
      </x:c>
      <x:c r="G3379" s="11" t="str">
        <x:v>Desk</x:v>
      </x:c>
      <x:c r="H3379" s="11" t="n">
        <x:v>3</x:v>
      </x:c>
      <x:c r="I3379" s="19" t="n">
        <x:v>0.15</x:v>
      </x:c>
      <x:c r="J3379" s="11" t="n">
        <x:v>0</x:v>
      </x:c>
      <x:c r="K3379" s="20" t="n">
        <x:v>840</x:v>
      </x:c>
      <x:c r="L3379" s="20" t="n">
        <x:v>126</x:v>
      </x:c>
      <x:c r="M3379" s="20" t="n">
        <x:v>570</x:v>
      </x:c>
      <x:c r="N3379" s="20" t="n">
        <x:f>IF(J3379=1,0,K3379-L3379)</x:f>
        <x:v>714</x:v>
      </x:c>
      <x:c r="O3379" s="20" t="n">
        <x:f>N3379-M3379</x:f>
        <x:v>144</x:v>
      </x:c>
    </x:row>
    <x:row r="3380" ht="22" customHeight="1">
      <x:c r="A3380" s="11" t="n">
        <x:v>3376</x:v>
      </x:c>
      <x:c r="B3380" s="11" t="n">
        <x:v>1714</x:v>
      </x:c>
      <x:c r="C3380" s="18" t="n">
        <x:v>45375</x:v>
      </x:c>
      <x:c r="D3380" s="11" t="str">
        <x:v>2024-03</x:v>
      </x:c>
      <x:c r="E3380" s="11" t="str">
        <x:v>Central</x:v>
      </x:c>
      <x:c r="F3380" s="11" t="str">
        <x:v>Office Supplies</x:v>
      </x:c>
      <x:c r="G3380" s="11" t="str">
        <x:v>Storage box</x:v>
      </x:c>
      <x:c r="H3380" s="11" t="n">
        <x:v>2</x:v>
      </x:c>
      <x:c r="I3380" s="19" t="n">
        <x:v>0</x:v>
      </x:c>
      <x:c r="J3380" s="11" t="n">
        <x:v>0</x:v>
      </x:c>
      <x:c r="K3380" s="20" t="n">
        <x:v>52</x:v>
      </x:c>
      <x:c r="L3380" s="20" t="n">
        <x:v>0</x:v>
      </x:c>
      <x:c r="M3380" s="20" t="n">
        <x:v>24</x:v>
      </x:c>
      <x:c r="N3380" s="20" t="n">
        <x:f>IF(J3380=1,0,K3380-L3380)</x:f>
        <x:v>52</x:v>
      </x:c>
      <x:c r="O3380" s="20" t="n">
        <x:f>N3380-M3380</x:f>
        <x:v>28</x:v>
      </x:c>
    </x:row>
    <x:row r="3381" ht="22" customHeight="1">
      <x:c r="A3381" s="11" t="n">
        <x:v>3377</x:v>
      </x:c>
      <x:c r="B3381" s="11" t="n">
        <x:v>1714</x:v>
      </x:c>
      <x:c r="C3381" s="18" t="n">
        <x:v>45375</x:v>
      </x:c>
      <x:c r="D3381" s="11" t="str">
        <x:v>2024-03</x:v>
      </x:c>
      <x:c r="E3381" s="11" t="str">
        <x:v>Central</x:v>
      </x:c>
      <x:c r="F3381" s="11" t="str">
        <x:v>Technology</x:v>
      </x:c>
      <x:c r="G3381" s="11" t="str">
        <x:v>Keyboard</x:v>
      </x:c>
      <x:c r="H3381" s="11" t="n">
        <x:v>5</x:v>
      </x:c>
      <x:c r="I3381" s="19" t="n">
        <x:v>0</x:v>
      </x:c>
      <x:c r="J3381" s="11" t="n">
        <x:v>0</x:v>
      </x:c>
      <x:c r="K3381" s="20" t="n">
        <x:v>325</x:v>
      </x:c>
      <x:c r="L3381" s="20" t="n">
        <x:v>0</x:v>
      </x:c>
      <x:c r="M3381" s="20" t="n">
        <x:v>160</x:v>
      </x:c>
      <x:c r="N3381" s="20" t="n">
        <x:f>IF(J3381=1,0,K3381-L3381)</x:f>
        <x:v>325</x:v>
      </x:c>
      <x:c r="O3381" s="20" t="n">
        <x:f>N3381-M3381</x:f>
        <x:v>165</x:v>
      </x:c>
    </x:row>
    <x:row r="3382" ht="22" customHeight="1">
      <x:c r="A3382" s="11" t="n">
        <x:v>3378</x:v>
      </x:c>
      <x:c r="B3382" s="11" t="n">
        <x:v>1714</x:v>
      </x:c>
      <x:c r="C3382" s="18" t="n">
        <x:v>45375</x:v>
      </x:c>
      <x:c r="D3382" s="11" t="str">
        <x:v>2024-03</x:v>
      </x:c>
      <x:c r="E3382" s="11" t="str">
        <x:v>Central</x:v>
      </x:c>
      <x:c r="F3382" s="11" t="str">
        <x:v>Office Supplies</x:v>
      </x:c>
      <x:c r="G3382" s="11" t="str">
        <x:v>Notebook pack</x:v>
      </x:c>
      <x:c r="H3382" s="11" t="n">
        <x:v>3</x:v>
      </x:c>
      <x:c r="I3382" s="19" t="n">
        <x:v>0</x:v>
      </x:c>
      <x:c r="J3382" s="11" t="n">
        <x:v>0</x:v>
      </x:c>
      <x:c r="K3382" s="20" t="n">
        <x:v>54</x:v>
      </x:c>
      <x:c r="L3382" s="20" t="n">
        <x:v>0</x:v>
      </x:c>
      <x:c r="M3382" s="20" t="n">
        <x:v>21</x:v>
      </x:c>
      <x:c r="N3382" s="20" t="n">
        <x:f>IF(J3382=1,0,K3382-L3382)</x:f>
        <x:v>54</x:v>
      </x:c>
      <x:c r="O3382" s="20" t="n">
        <x:f>N3382-M3382</x:f>
        <x:v>33</x:v>
      </x:c>
    </x:row>
    <x:row r="3383" ht="22" customHeight="1">
      <x:c r="A3383" s="11" t="n">
        <x:v>3379</x:v>
      </x:c>
      <x:c r="B3383" s="11" t="n">
        <x:v>1715</x:v>
      </x:c>
      <x:c r="C3383" s="18" t="n">
        <x:v>46008</x:v>
      </x:c>
      <x:c r="D3383" s="11" t="str">
        <x:v>2025-12</x:v>
      </x:c>
      <x:c r="E3383" s="11" t="str">
        <x:v>Central</x:v>
      </x:c>
      <x:c r="F3383" s="11" t="str">
        <x:v>Office Supplies</x:v>
      </x:c>
      <x:c r="G3383" s="11" t="str">
        <x:v>Notebook pack</x:v>
      </x:c>
      <x:c r="H3383" s="11" t="n">
        <x:v>4</x:v>
      </x:c>
      <x:c r="I3383" s="19" t="n">
        <x:v>0.15</x:v>
      </x:c>
      <x:c r="J3383" s="11" t="n">
        <x:v>0</x:v>
      </x:c>
      <x:c r="K3383" s="20" t="n">
        <x:v>72</x:v>
      </x:c>
      <x:c r="L3383" s="20" t="n">
        <x:v>10.8</x:v>
      </x:c>
      <x:c r="M3383" s="20" t="n">
        <x:v>28</x:v>
      </x:c>
      <x:c r="N3383" s="20" t="n">
        <x:f>IF(J3383=1,0,K3383-L3383)</x:f>
        <x:v>61.2</x:v>
      </x:c>
      <x:c r="O3383" s="20" t="n">
        <x:f>N3383-M3383</x:f>
        <x:v>33.2</x:v>
      </x:c>
    </x:row>
    <x:row r="3384" ht="22" customHeight="1">
      <x:c r="A3384" s="11" t="n">
        <x:v>3380</x:v>
      </x:c>
      <x:c r="B3384" s="11" t="n">
        <x:v>1716</x:v>
      </x:c>
      <x:c r="C3384" s="18" t="n">
        <x:v>45812</x:v>
      </x:c>
      <x:c r="D3384" s="11" t="str">
        <x:v>2025-06</x:v>
      </x:c>
      <x:c r="E3384" s="11" t="str">
        <x:v>South</x:v>
      </x:c>
      <x:c r="F3384" s="11" t="str">
        <x:v>Office Supplies</x:v>
      </x:c>
      <x:c r="G3384" s="11" t="str">
        <x:v>Notebook pack</x:v>
      </x:c>
      <x:c r="H3384" s="11" t="n">
        <x:v>3</x:v>
      </x:c>
      <x:c r="I3384" s="19" t="n">
        <x:v>0.05</x:v>
      </x:c>
      <x:c r="J3384" s="11" t="n">
        <x:v>0</x:v>
      </x:c>
      <x:c r="K3384" s="20" t="n">
        <x:v>54</x:v>
      </x:c>
      <x:c r="L3384" s="20" t="n">
        <x:v>2.7</x:v>
      </x:c>
      <x:c r="M3384" s="20" t="n">
        <x:v>21</x:v>
      </x:c>
      <x:c r="N3384" s="20" t="n">
        <x:f>IF(J3384=1,0,K3384-L3384)</x:f>
        <x:v>51.3</x:v>
      </x:c>
      <x:c r="O3384" s="20" t="n">
        <x:f>N3384-M3384</x:f>
        <x:v>30.299999999999997</x:v>
      </x:c>
    </x:row>
    <x:row r="3385" ht="22" customHeight="1">
      <x:c r="A3385" s="11" t="n">
        <x:v>3381</x:v>
      </x:c>
      <x:c r="B3385" s="11" t="n">
        <x:v>1717</x:v>
      </x:c>
      <x:c r="C3385" s="18" t="n">
        <x:v>45610</x:v>
      </x:c>
      <x:c r="D3385" s="11" t="str">
        <x:v>2024-11</x:v>
      </x:c>
      <x:c r="E3385" s="11" t="str">
        <x:v>West</x:v>
      </x:c>
      <x:c r="F3385" s="11" t="str">
        <x:v>Furniture</x:v>
      </x:c>
      <x:c r="G3385" s="11" t="str">
        <x:v>Chair</x:v>
      </x:c>
      <x:c r="H3385" s="11" t="n">
        <x:v>2</x:v>
      </x:c>
      <x:c r="I3385" s="19" t="n">
        <x:v>0</x:v>
      </x:c>
      <x:c r="J3385" s="11" t="n">
        <x:v>1</x:v>
      </x:c>
      <x:c r="K3385" s="20" t="n">
        <x:v>340</x:v>
      </x:c>
      <x:c r="L3385" s="20" t="n">
        <x:v>0</x:v>
      </x:c>
      <x:c r="M3385" s="20" t="n">
        <x:v>0</x:v>
      </x:c>
      <x:c r="N3385" s="20" t="n">
        <x:f>IF(J3385=1,0,K3385-L3385)</x:f>
        <x:v>0</x:v>
      </x:c>
      <x:c r="O3385" s="20" t="n">
        <x:f>N3385-M3385</x:f>
        <x:v>0</x:v>
      </x:c>
    </x:row>
    <x:row r="3386" ht="22" customHeight="1">
      <x:c r="A3386" s="11" t="n">
        <x:v>3382</x:v>
      </x:c>
      <x:c r="B3386" s="11" t="n">
        <x:v>1717</x:v>
      </x:c>
      <x:c r="C3386" s="18" t="n">
        <x:v>45610</x:v>
      </x:c>
      <x:c r="D3386" s="11" t="str">
        <x:v>2024-11</x:v>
      </x:c>
      <x:c r="E3386" s="11" t="str">
        <x:v>West</x:v>
      </x:c>
      <x:c r="F3386" s="11" t="str">
        <x:v>Office Supplies</x:v>
      </x:c>
      <x:c r="G3386" s="11" t="str">
        <x:v>Storage box</x:v>
      </x:c>
      <x:c r="H3386" s="11" t="n">
        <x:v>5</x:v>
      </x:c>
      <x:c r="I3386" s="19" t="n">
        <x:v>0</x:v>
      </x:c>
      <x:c r="J3386" s="11" t="n">
        <x:v>0</x:v>
      </x:c>
      <x:c r="K3386" s="20" t="n">
        <x:v>130</x:v>
      </x:c>
      <x:c r="L3386" s="20" t="n">
        <x:v>0</x:v>
      </x:c>
      <x:c r="M3386" s="20" t="n">
        <x:v>60</x:v>
      </x:c>
      <x:c r="N3386" s="20" t="n">
        <x:f>IF(J3386=1,0,K3386-L3386)</x:f>
        <x:v>130</x:v>
      </x:c>
      <x:c r="O3386" s="20" t="n">
        <x:f>N3386-M3386</x:f>
        <x:v>70</x:v>
      </x:c>
    </x:row>
    <x:row r="3387" ht="22" customHeight="1">
      <x:c r="A3387" s="11" t="n">
        <x:v>3383</x:v>
      </x:c>
      <x:c r="B3387" s="11" t="n">
        <x:v>1717</x:v>
      </x:c>
      <x:c r="C3387" s="18" t="n">
        <x:v>45610</x:v>
      </x:c>
      <x:c r="D3387" s="11" t="str">
        <x:v>2024-11</x:v>
      </x:c>
      <x:c r="E3387" s="11" t="str">
        <x:v>West</x:v>
      </x:c>
      <x:c r="F3387" s="11" t="str">
        <x:v>Technology</x:v>
      </x:c>
      <x:c r="G3387" s="11" t="str">
        <x:v>Keyboard</x:v>
      </x:c>
      <x:c r="H3387" s="11" t="n">
        <x:v>5</x:v>
      </x:c>
      <x:c r="I3387" s="19" t="n">
        <x:v>0</x:v>
      </x:c>
      <x:c r="J3387" s="11" t="n">
        <x:v>0</x:v>
      </x:c>
      <x:c r="K3387" s="20" t="n">
        <x:v>325</x:v>
      </x:c>
      <x:c r="L3387" s="20" t="n">
        <x:v>0</x:v>
      </x:c>
      <x:c r="M3387" s="20" t="n">
        <x:v>160</x:v>
      </x:c>
      <x:c r="N3387" s="20" t="n">
        <x:f>IF(J3387=1,0,K3387-L3387)</x:f>
        <x:v>325</x:v>
      </x:c>
      <x:c r="O3387" s="20" t="n">
        <x:f>N3387-M3387</x:f>
        <x:v>165</x:v>
      </x:c>
    </x:row>
    <x:row r="3388" ht="22" customHeight="1">
      <x:c r="A3388" s="11" t="n">
        <x:v>3384</x:v>
      </x:c>
      <x:c r="B3388" s="11" t="n">
        <x:v>1718</x:v>
      </x:c>
      <x:c r="C3388" s="18" t="n">
        <x:v>45526</x:v>
      </x:c>
      <x:c r="D3388" s="11" t="str">
        <x:v>2024-08</x:v>
      </x:c>
      <x:c r="E3388" s="11" t="str">
        <x:v>East</x:v>
      </x:c>
      <x:c r="F3388" s="11" t="str">
        <x:v>Technology</x:v>
      </x:c>
      <x:c r="G3388" s="11" t="str">
        <x:v>Monitor</x:v>
      </x:c>
      <x:c r="H3388" s="11" t="n">
        <x:v>1</x:v>
      </x:c>
      <x:c r="I3388" s="19" t="n">
        <x:v>0.05</x:v>
      </x:c>
      <x:c r="J3388" s="11" t="n">
        <x:v>0</x:v>
      </x:c>
      <x:c r="K3388" s="20" t="n">
        <x:v>240</x:v>
      </x:c>
      <x:c r="L3388" s="20" t="n">
        <x:v>12</x:v>
      </x:c>
      <x:c r="M3388" s="20" t="n">
        <x:v>160</x:v>
      </x:c>
      <x:c r="N3388" s="20" t="n">
        <x:f>IF(J3388=1,0,K3388-L3388)</x:f>
        <x:v>228</x:v>
      </x:c>
      <x:c r="O3388" s="20" t="n">
        <x:f>N3388-M3388</x:f>
        <x:v>68</x:v>
      </x:c>
    </x:row>
    <x:row r="3389" ht="22" customHeight="1">
      <x:c r="A3389" s="11" t="n">
        <x:v>3385</x:v>
      </x:c>
      <x:c r="B3389" s="11" t="n">
        <x:v>1719</x:v>
      </x:c>
      <x:c r="C3389" s="18" t="n">
        <x:v>45577</x:v>
      </x:c>
      <x:c r="D3389" s="11" t="str">
        <x:v>2024-10</x:v>
      </x:c>
      <x:c r="E3389" s="11" t="str">
        <x:v>West</x:v>
      </x:c>
      <x:c r="F3389" s="11" t="str">
        <x:v>Furniture</x:v>
      </x:c>
      <x:c r="G3389" s="11" t="str">
        <x:v>Chair</x:v>
      </x:c>
      <x:c r="H3389" s="11" t="n">
        <x:v>1</x:v>
      </x:c>
      <x:c r="I3389" s="19" t="n">
        <x:v>0.25</x:v>
      </x:c>
      <x:c r="J3389" s="11" t="n">
        <x:v>0</x:v>
      </x:c>
      <x:c r="K3389" s="20" t="n">
        <x:v>170</x:v>
      </x:c>
      <x:c r="L3389" s="20" t="n">
        <x:v>42.5</x:v>
      </x:c>
      <x:c r="M3389" s="20" t="n">
        <x:v>110</x:v>
      </x:c>
      <x:c r="N3389" s="20" t="n">
        <x:f>IF(J3389=1,0,K3389-L3389)</x:f>
        <x:v>127.5</x:v>
      </x:c>
      <x:c r="O3389" s="20" t="n">
        <x:f>N3389-M3389</x:f>
        <x:v>17.5</x:v>
      </x:c>
    </x:row>
    <x:row r="3390" ht="22" customHeight="1">
      <x:c r="A3390" s="11" t="n">
        <x:v>3386</x:v>
      </x:c>
      <x:c r="B3390" s="11" t="n">
        <x:v>1719</x:v>
      </x:c>
      <x:c r="C3390" s="18" t="n">
        <x:v>45577</x:v>
      </x:c>
      <x:c r="D3390" s="11" t="str">
        <x:v>2024-10</x:v>
      </x:c>
      <x:c r="E3390" s="11" t="str">
        <x:v>West</x:v>
      </x:c>
      <x:c r="F3390" s="11" t="str">
        <x:v>Office Supplies</x:v>
      </x:c>
      <x:c r="G3390" s="11" t="str">
        <x:v>Notebook pack</x:v>
      </x:c>
      <x:c r="H3390" s="11" t="n">
        <x:v>3</x:v>
      </x:c>
      <x:c r="I3390" s="19" t="n">
        <x:v>0.15</x:v>
      </x:c>
      <x:c r="J3390" s="11" t="n">
        <x:v>0</x:v>
      </x:c>
      <x:c r="K3390" s="20" t="n">
        <x:v>54</x:v>
      </x:c>
      <x:c r="L3390" s="20" t="n">
        <x:v>8.1</x:v>
      </x:c>
      <x:c r="M3390" s="20" t="n">
        <x:v>21</x:v>
      </x:c>
      <x:c r="N3390" s="20" t="n">
        <x:f>IF(J3390=1,0,K3390-L3390)</x:f>
        <x:v>45.9</x:v>
      </x:c>
      <x:c r="O3390" s="20" t="n">
        <x:f>N3390-M3390</x:f>
        <x:v>24.9</x:v>
      </x:c>
    </x:row>
    <x:row r="3391" ht="22" customHeight="1">
      <x:c r="A3391" s="11" t="n">
        <x:v>3387</x:v>
      </x:c>
      <x:c r="B3391" s="11" t="n">
        <x:v>1719</x:v>
      </x:c>
      <x:c r="C3391" s="18" t="n">
        <x:v>45577</x:v>
      </x:c>
      <x:c r="D3391" s="11" t="str">
        <x:v>2024-10</x:v>
      </x:c>
      <x:c r="E3391" s="11" t="str">
        <x:v>West</x:v>
      </x:c>
      <x:c r="F3391" s="11" t="str">
        <x:v>Furniture</x:v>
      </x:c>
      <x:c r="G3391" s="11" t="str">
        <x:v>Desk</x:v>
      </x:c>
      <x:c r="H3391" s="11" t="n">
        <x:v>2</x:v>
      </x:c>
      <x:c r="I3391" s="19" t="n">
        <x:v>0</x:v>
      </x:c>
      <x:c r="J3391" s="11" t="n">
        <x:v>0</x:v>
      </x:c>
      <x:c r="K3391" s="20" t="n">
        <x:v>560</x:v>
      </x:c>
      <x:c r="L3391" s="20" t="n">
        <x:v>0</x:v>
      </x:c>
      <x:c r="M3391" s="20" t="n">
        <x:v>380</x:v>
      </x:c>
      <x:c r="N3391" s="20" t="n">
        <x:f>IF(J3391=1,0,K3391-L3391)</x:f>
        <x:v>560</x:v>
      </x:c>
      <x:c r="O3391" s="20" t="n">
        <x:f>N3391-M3391</x:f>
        <x:v>180</x:v>
      </x:c>
    </x:row>
    <x:row r="3392" ht="22" customHeight="1">
      <x:c r="A3392" s="11" t="n">
        <x:v>3388</x:v>
      </x:c>
      <x:c r="B3392" s="11" t="n">
        <x:v>1720</x:v>
      </x:c>
      <x:c r="C3392" s="18" t="n">
        <x:v>45934</x:v>
      </x:c>
      <x:c r="D3392" s="11" t="str">
        <x:v>2025-10</x:v>
      </x:c>
      <x:c r="E3392" s="11" t="str">
        <x:v>Central</x:v>
      </x:c>
      <x:c r="F3392" s="11" t="str">
        <x:v>Furniture</x:v>
      </x:c>
      <x:c r="G3392" s="11" t="str">
        <x:v>Desk</x:v>
      </x:c>
      <x:c r="H3392" s="11" t="n">
        <x:v>2</x:v>
      </x:c>
      <x:c r="I3392" s="19" t="n">
        <x:v>0</x:v>
      </x:c>
      <x:c r="J3392" s="11" t="n">
        <x:v>0</x:v>
      </x:c>
      <x:c r="K3392" s="20" t="n">
        <x:v>560</x:v>
      </x:c>
      <x:c r="L3392" s="20" t="n">
        <x:v>0</x:v>
      </x:c>
      <x:c r="M3392" s="20" t="n">
        <x:v>380</x:v>
      </x:c>
      <x:c r="N3392" s="20" t="n">
        <x:f>IF(J3392=1,0,K3392-L3392)</x:f>
        <x:v>560</x:v>
      </x:c>
      <x:c r="O3392" s="20" t="n">
        <x:f>N3392-M3392</x:f>
        <x:v>180</x:v>
      </x:c>
    </x:row>
    <x:row r="3393" ht="22" customHeight="1">
      <x:c r="A3393" s="11" t="n">
        <x:v>3389</x:v>
      </x:c>
      <x:c r="B3393" s="11" t="n">
        <x:v>1721</x:v>
      </x:c>
      <x:c r="C3393" s="18" t="n">
        <x:v>46004</x:v>
      </x:c>
      <x:c r="D3393" s="11" t="str">
        <x:v>2025-12</x:v>
      </x:c>
      <x:c r="E3393" s="11" t="str">
        <x:v>Central</x:v>
      </x:c>
      <x:c r="F3393" s="11" t="str">
        <x:v>Furniture</x:v>
      </x:c>
      <x:c r="G3393" s="11" t="str">
        <x:v>Chair</x:v>
      </x:c>
      <x:c r="H3393" s="11" t="n">
        <x:v>4</x:v>
      </x:c>
      <x:c r="I3393" s="19" t="n">
        <x:v>0.35</x:v>
      </x:c>
      <x:c r="J3393" s="11" t="n">
        <x:v>0</x:v>
      </x:c>
      <x:c r="K3393" s="20" t="n">
        <x:v>680</x:v>
      </x:c>
      <x:c r="L3393" s="20" t="n">
        <x:v>238</x:v>
      </x:c>
      <x:c r="M3393" s="20" t="n">
        <x:v>440</x:v>
      </x:c>
      <x:c r="N3393" s="20" t="n">
        <x:f>IF(J3393=1,0,K3393-L3393)</x:f>
        <x:v>442</x:v>
      </x:c>
      <x:c r="O3393" s="20" t="n">
        <x:f>N3393-M3393</x:f>
        <x:v>2</x:v>
      </x:c>
    </x:row>
    <x:row r="3394" ht="22" customHeight="1">
      <x:c r="A3394" s="11" t="n">
        <x:v>3390</x:v>
      </x:c>
      <x:c r="B3394" s="11" t="n">
        <x:v>1722</x:v>
      </x:c>
      <x:c r="C3394" s="18" t="n">
        <x:v>45422</x:v>
      </x:c>
      <x:c r="D3394" s="11" t="str">
        <x:v>2024-05</x:v>
      </x:c>
      <x:c r="E3394" s="11" t="str">
        <x:v>East</x:v>
      </x:c>
      <x:c r="F3394" s="11" t="str">
        <x:v>Technology</x:v>
      </x:c>
      <x:c r="G3394" s="11" t="str">
        <x:v>Monitor</x:v>
      </x:c>
      <x:c r="H3394" s="11" t="n">
        <x:v>2</x:v>
      </x:c>
      <x:c r="I3394" s="19" t="n">
        <x:v>0</x:v>
      </x:c>
      <x:c r="J3394" s="11" t="n">
        <x:v>0</x:v>
      </x:c>
      <x:c r="K3394" s="20" t="n">
        <x:v>480</x:v>
      </x:c>
      <x:c r="L3394" s="20" t="n">
        <x:v>0</x:v>
      </x:c>
      <x:c r="M3394" s="20" t="n">
        <x:v>320</x:v>
      </x:c>
      <x:c r="N3394" s="20" t="n">
        <x:f>IF(J3394=1,0,K3394-L3394)</x:f>
        <x:v>480</x:v>
      </x:c>
      <x:c r="O3394" s="20" t="n">
        <x:f>N3394-M3394</x:f>
        <x:v>160</x:v>
      </x:c>
    </x:row>
    <x:row r="3395" ht="22" customHeight="1">
      <x:c r="A3395" s="11" t="n">
        <x:v>3391</x:v>
      </x:c>
      <x:c r="B3395" s="11" t="n">
        <x:v>1723</x:v>
      </x:c>
      <x:c r="C3395" s="18" t="n">
        <x:v>45425</x:v>
      </x:c>
      <x:c r="D3395" s="11" t="str">
        <x:v>2024-05</x:v>
      </x:c>
      <x:c r="E3395" s="11" t="str">
        <x:v>South</x:v>
      </x:c>
      <x:c r="F3395" s="11" t="str">
        <x:v>Technology</x:v>
      </x:c>
      <x:c r="G3395" s="11" t="str">
        <x:v>Monitor</x:v>
      </x:c>
      <x:c r="H3395" s="11" t="n">
        <x:v>4</x:v>
      </x:c>
      <x:c r="I3395" s="19" t="n">
        <x:v>0.05</x:v>
      </x:c>
      <x:c r="J3395" s="11" t="n">
        <x:v>0</x:v>
      </x:c>
      <x:c r="K3395" s="20" t="n">
        <x:v>960</x:v>
      </x:c>
      <x:c r="L3395" s="20" t="n">
        <x:v>48</x:v>
      </x:c>
      <x:c r="M3395" s="20" t="n">
        <x:v>640</x:v>
      </x:c>
      <x:c r="N3395" s="20" t="n">
        <x:f>IF(J3395=1,0,K3395-L3395)</x:f>
        <x:v>912</x:v>
      </x:c>
      <x:c r="O3395" s="20" t="n">
        <x:f>N3395-M3395</x:f>
        <x:v>272</x:v>
      </x:c>
    </x:row>
    <x:row r="3396" ht="22" customHeight="1">
      <x:c r="A3396" s="11" t="n">
        <x:v>3392</x:v>
      </x:c>
      <x:c r="B3396" s="11" t="n">
        <x:v>1723</x:v>
      </x:c>
      <x:c r="C3396" s="18" t="n">
        <x:v>45425</x:v>
      </x:c>
      <x:c r="D3396" s="11" t="str">
        <x:v>2024-05</x:v>
      </x:c>
      <x:c r="E3396" s="11" t="str">
        <x:v>South</x:v>
      </x:c>
      <x:c r="F3396" s="11" t="str">
        <x:v>Furniture</x:v>
      </x:c>
      <x:c r="G3396" s="11" t="str">
        <x:v>Desk</x:v>
      </x:c>
      <x:c r="H3396" s="11" t="n">
        <x:v>1</x:v>
      </x:c>
      <x:c r="I3396" s="19" t="n">
        <x:v>0</x:v>
      </x:c>
      <x:c r="J3396" s="11" t="n">
        <x:v>0</x:v>
      </x:c>
      <x:c r="K3396" s="20" t="n">
        <x:v>280</x:v>
      </x:c>
      <x:c r="L3396" s="20" t="n">
        <x:v>0</x:v>
      </x:c>
      <x:c r="M3396" s="20" t="n">
        <x:v>190</x:v>
      </x:c>
      <x:c r="N3396" s="20" t="n">
        <x:f>IF(J3396=1,0,K3396-L3396)</x:f>
        <x:v>280</x:v>
      </x:c>
      <x:c r="O3396" s="20" t="n">
        <x:f>N3396-M3396</x:f>
        <x:v>90</x:v>
      </x:c>
    </x:row>
    <x:row r="3397" ht="22" customHeight="1">
      <x:c r="A3397" s="11" t="n">
        <x:v>3393</x:v>
      </x:c>
      <x:c r="B3397" s="11" t="n">
        <x:v>1724</x:v>
      </x:c>
      <x:c r="C3397" s="18" t="n">
        <x:v>45901</x:v>
      </x:c>
      <x:c r="D3397" s="11" t="str">
        <x:v>2025-09</x:v>
      </x:c>
      <x:c r="E3397" s="11" t="str">
        <x:v>West</x:v>
      </x:c>
      <x:c r="F3397" s="11" t="str">
        <x:v>Technology</x:v>
      </x:c>
      <x:c r="G3397" s="11" t="str">
        <x:v>Keyboard</x:v>
      </x:c>
      <x:c r="H3397" s="11" t="n">
        <x:v>4</x:v>
      </x:c>
      <x:c r="I3397" s="19" t="n">
        <x:v>0.15</x:v>
      </x:c>
      <x:c r="J3397" s="11" t="n">
        <x:v>0</x:v>
      </x:c>
      <x:c r="K3397" s="20" t="n">
        <x:v>260</x:v>
      </x:c>
      <x:c r="L3397" s="20" t="n">
        <x:v>39</x:v>
      </x:c>
      <x:c r="M3397" s="20" t="n">
        <x:v>128</x:v>
      </x:c>
      <x:c r="N3397" s="20" t="n">
        <x:f>IF(J3397=1,0,K3397-L3397)</x:f>
        <x:v>221</x:v>
      </x:c>
      <x:c r="O3397" s="20" t="n">
        <x:f>N3397-M3397</x:f>
        <x:v>93</x:v>
      </x:c>
    </x:row>
    <x:row r="3398" ht="22" customHeight="1">
      <x:c r="A3398" s="11" t="n">
        <x:v>3394</x:v>
      </x:c>
      <x:c r="B3398" s="11" t="n">
        <x:v>1724</x:v>
      </x:c>
      <x:c r="C3398" s="18" t="n">
        <x:v>45901</x:v>
      </x:c>
      <x:c r="D3398" s="11" t="str">
        <x:v>2025-09</x:v>
      </x:c>
      <x:c r="E3398" s="11" t="str">
        <x:v>West</x:v>
      </x:c>
      <x:c r="F3398" s="11" t="str">
        <x:v>Technology</x:v>
      </x:c>
      <x:c r="G3398" s="11" t="str">
        <x:v>Monitor</x:v>
      </x:c>
      <x:c r="H3398" s="11" t="n">
        <x:v>5</x:v>
      </x:c>
      <x:c r="I3398" s="19" t="n">
        <x:v>0</x:v>
      </x:c>
      <x:c r="J3398" s="11" t="n">
        <x:v>0</x:v>
      </x:c>
      <x:c r="K3398" s="20" t="n">
        <x:v>1200</x:v>
      </x:c>
      <x:c r="L3398" s="20" t="n">
        <x:v>0</x:v>
      </x:c>
      <x:c r="M3398" s="20" t="n">
        <x:v>800</x:v>
      </x:c>
      <x:c r="N3398" s="20" t="n">
        <x:f>IF(J3398=1,0,K3398-L3398)</x:f>
        <x:v>1200</x:v>
      </x:c>
      <x:c r="O3398" s="20" t="n">
        <x:f>N3398-M3398</x:f>
        <x:v>400</x:v>
      </x:c>
    </x:row>
    <x:row r="3399" ht="22" customHeight="1">
      <x:c r="A3399" s="11" t="n">
        <x:v>3395</x:v>
      </x:c>
      <x:c r="B3399" s="11" t="n">
        <x:v>1725</x:v>
      </x:c>
      <x:c r="C3399" s="18" t="n">
        <x:v>45364</x:v>
      </x:c>
      <x:c r="D3399" s="11" t="str">
        <x:v>2024-03</x:v>
      </x:c>
      <x:c r="E3399" s="11" t="str">
        <x:v>East</x:v>
      </x:c>
      <x:c r="F3399" s="11" t="str">
        <x:v>Furniture</x:v>
      </x:c>
      <x:c r="G3399" s="11" t="str">
        <x:v>Chair</x:v>
      </x:c>
      <x:c r="H3399" s="11" t="n">
        <x:v>4</x:v>
      </x:c>
      <x:c r="I3399" s="19" t="n">
        <x:v>0</x:v>
      </x:c>
      <x:c r="J3399" s="11" t="n">
        <x:v>0</x:v>
      </x:c>
      <x:c r="K3399" s="20" t="n">
        <x:v>680</x:v>
      </x:c>
      <x:c r="L3399" s="20" t="n">
        <x:v>0</x:v>
      </x:c>
      <x:c r="M3399" s="20" t="n">
        <x:v>440</x:v>
      </x:c>
      <x:c r="N3399" s="20" t="n">
        <x:f>IF(J3399=1,0,K3399-L3399)</x:f>
        <x:v>680</x:v>
      </x:c>
      <x:c r="O3399" s="20" t="n">
        <x:f>N3399-M3399</x:f>
        <x:v>240</x:v>
      </x:c>
    </x:row>
    <x:row r="3400" ht="22" customHeight="1">
      <x:c r="A3400" s="11" t="n">
        <x:v>3396</x:v>
      </x:c>
      <x:c r="B3400" s="11" t="n">
        <x:v>1725</x:v>
      </x:c>
      <x:c r="C3400" s="18" t="n">
        <x:v>45364</x:v>
      </x:c>
      <x:c r="D3400" s="11" t="str">
        <x:v>2024-03</x:v>
      </x:c>
      <x:c r="E3400" s="11" t="str">
        <x:v>East</x:v>
      </x:c>
      <x:c r="F3400" s="11" t="str">
        <x:v>Office Supplies</x:v>
      </x:c>
      <x:c r="G3400" s="11" t="str">
        <x:v>Notebook pack</x:v>
      </x:c>
      <x:c r="H3400" s="11" t="n">
        <x:v>4</x:v>
      </x:c>
      <x:c r="I3400" s="19" t="n">
        <x:v>0.15</x:v>
      </x:c>
      <x:c r="J3400" s="11" t="n">
        <x:v>1</x:v>
      </x:c>
      <x:c r="K3400" s="20" t="n">
        <x:v>72</x:v>
      </x:c>
      <x:c r="L3400" s="20" t="n">
        <x:v>10.8</x:v>
      </x:c>
      <x:c r="M3400" s="20" t="n">
        <x:v>0</x:v>
      </x:c>
      <x:c r="N3400" s="20" t="n">
        <x:f>IF(J3400=1,0,K3400-L3400)</x:f>
        <x:v>0</x:v>
      </x:c>
      <x:c r="O3400" s="20" t="n">
        <x:f>N3400-M3400</x:f>
        <x:v>0</x:v>
      </x:c>
    </x:row>
    <x:row r="3401" ht="22" customHeight="1">
      <x:c r="A3401" s="11" t="n">
        <x:v>3397</x:v>
      </x:c>
      <x:c r="B3401" s="11" t="n">
        <x:v>1725</x:v>
      </x:c>
      <x:c r="C3401" s="18" t="n">
        <x:v>45364</x:v>
      </x:c>
      <x:c r="D3401" s="11" t="str">
        <x:v>2024-03</x:v>
      </x:c>
      <x:c r="E3401" s="11" t="str">
        <x:v>East</x:v>
      </x:c>
      <x:c r="F3401" s="11" t="str">
        <x:v>Furniture</x:v>
      </x:c>
      <x:c r="G3401" s="11" t="str">
        <x:v>Desk</x:v>
      </x:c>
      <x:c r="H3401" s="11" t="n">
        <x:v>2</x:v>
      </x:c>
      <x:c r="I3401" s="19" t="n">
        <x:v>0.05</x:v>
      </x:c>
      <x:c r="J3401" s="11" t="n">
        <x:v>0</x:v>
      </x:c>
      <x:c r="K3401" s="20" t="n">
        <x:v>560</x:v>
      </x:c>
      <x:c r="L3401" s="20" t="n">
        <x:v>28</x:v>
      </x:c>
      <x:c r="M3401" s="20" t="n">
        <x:v>380</x:v>
      </x:c>
      <x:c r="N3401" s="20" t="n">
        <x:f>IF(J3401=1,0,K3401-L3401)</x:f>
        <x:v>532</x:v>
      </x:c>
      <x:c r="O3401" s="20" t="n">
        <x:f>N3401-M3401</x:f>
        <x:v>152</x:v>
      </x:c>
    </x:row>
    <x:row r="3402" ht="22" customHeight="1">
      <x:c r="A3402" s="11" t="n">
        <x:v>3398</x:v>
      </x:c>
      <x:c r="B3402" s="11" t="n">
        <x:v>1726</x:v>
      </x:c>
      <x:c r="C3402" s="18" t="n">
        <x:v>45321</x:v>
      </x:c>
      <x:c r="D3402" s="11" t="str">
        <x:v>2024-01</x:v>
      </x:c>
      <x:c r="E3402" s="11" t="str">
        <x:v>East</x:v>
      </x:c>
      <x:c r="F3402" s="11" t="str">
        <x:v>Office Supplies</x:v>
      </x:c>
      <x:c r="G3402" s="11" t="str">
        <x:v>Notebook pack</x:v>
      </x:c>
      <x:c r="H3402" s="11" t="n">
        <x:v>5</x:v>
      </x:c>
      <x:c r="I3402" s="19" t="n">
        <x:v>0.1</x:v>
      </x:c>
      <x:c r="J3402" s="11" t="n">
        <x:v>0</x:v>
      </x:c>
      <x:c r="K3402" s="20" t="n">
        <x:v>90</x:v>
      </x:c>
      <x:c r="L3402" s="20" t="n">
        <x:v>9</x:v>
      </x:c>
      <x:c r="M3402" s="20" t="n">
        <x:v>35</x:v>
      </x:c>
      <x:c r="N3402" s="20" t="n">
        <x:f>IF(J3402=1,0,K3402-L3402)</x:f>
        <x:v>81</x:v>
      </x:c>
      <x:c r="O3402" s="20" t="n">
        <x:f>N3402-M3402</x:f>
        <x:v>46</x:v>
      </x:c>
    </x:row>
    <x:row r="3403" ht="22" customHeight="1">
      <x:c r="A3403" s="11" t="n">
        <x:v>3399</x:v>
      </x:c>
      <x:c r="B3403" s="11" t="n">
        <x:v>1726</x:v>
      </x:c>
      <x:c r="C3403" s="18" t="n">
        <x:v>45321</x:v>
      </x:c>
      <x:c r="D3403" s="11" t="str">
        <x:v>2024-01</x:v>
      </x:c>
      <x:c r="E3403" s="11" t="str">
        <x:v>East</x:v>
      </x:c>
      <x:c r="F3403" s="11" t="str">
        <x:v>Technology</x:v>
      </x:c>
      <x:c r="G3403" s="11" t="str">
        <x:v>Monitor</x:v>
      </x:c>
      <x:c r="H3403" s="11" t="n">
        <x:v>2</x:v>
      </x:c>
      <x:c r="I3403" s="19" t="n">
        <x:v>0.15</x:v>
      </x:c>
      <x:c r="J3403" s="11" t="n">
        <x:v>0</x:v>
      </x:c>
      <x:c r="K3403" s="20" t="n">
        <x:v>480</x:v>
      </x:c>
      <x:c r="L3403" s="20" t="n">
        <x:v>72</x:v>
      </x:c>
      <x:c r="M3403" s="20" t="n">
        <x:v>320</x:v>
      </x:c>
      <x:c r="N3403" s="20" t="n">
        <x:f>IF(J3403=1,0,K3403-L3403)</x:f>
        <x:v>408</x:v>
      </x:c>
      <x:c r="O3403" s="20" t="n">
        <x:f>N3403-M3403</x:f>
        <x:v>88</x:v>
      </x:c>
    </x:row>
    <x:row r="3404" ht="22" customHeight="1">
      <x:c r="A3404" s="11" t="n">
        <x:v>3400</x:v>
      </x:c>
      <x:c r="B3404" s="11" t="n">
        <x:v>1726</x:v>
      </x:c>
      <x:c r="C3404" s="18" t="n">
        <x:v>45321</x:v>
      </x:c>
      <x:c r="D3404" s="11" t="str">
        <x:v>2024-01</x:v>
      </x:c>
      <x:c r="E3404" s="11" t="str">
        <x:v>East</x:v>
      </x:c>
      <x:c r="F3404" s="11" t="str">
        <x:v>Furniture</x:v>
      </x:c>
      <x:c r="G3404" s="11" t="str">
        <x:v>Desk</x:v>
      </x:c>
      <x:c r="H3404" s="11" t="n">
        <x:v>2</x:v>
      </x:c>
      <x:c r="I3404" s="19" t="n">
        <x:v>0</x:v>
      </x:c>
      <x:c r="J3404" s="11" t="n">
        <x:v>0</x:v>
      </x:c>
      <x:c r="K3404" s="20" t="n">
        <x:v>560</x:v>
      </x:c>
      <x:c r="L3404" s="20" t="n">
        <x:v>0</x:v>
      </x:c>
      <x:c r="M3404" s="20" t="n">
        <x:v>380</x:v>
      </x:c>
      <x:c r="N3404" s="20" t="n">
        <x:f>IF(J3404=1,0,K3404-L3404)</x:f>
        <x:v>560</x:v>
      </x:c>
      <x:c r="O3404" s="20" t="n">
        <x:f>N3404-M3404</x:f>
        <x:v>180</x:v>
      </x:c>
    </x:row>
    <x:row r="3405" ht="22" customHeight="1">
      <x:c r="A3405" s="11" t="n">
        <x:v>3401</x:v>
      </x:c>
      <x:c r="B3405" s="11" t="n">
        <x:v>1727</x:v>
      </x:c>
      <x:c r="C3405" s="18" t="n">
        <x:v>45306</x:v>
      </x:c>
      <x:c r="D3405" s="11" t="str">
        <x:v>2024-01</x:v>
      </x:c>
      <x:c r="E3405" s="11" t="str">
        <x:v>South</x:v>
      </x:c>
      <x:c r="F3405" s="11" t="str">
        <x:v>Technology</x:v>
      </x:c>
      <x:c r="G3405" s="11" t="str">
        <x:v>Keyboard</x:v>
      </x:c>
      <x:c r="H3405" s="11" t="n">
        <x:v>3</x:v>
      </x:c>
      <x:c r="I3405" s="19" t="n">
        <x:v>0.1</x:v>
      </x:c>
      <x:c r="J3405" s="11" t="n">
        <x:v>0</x:v>
      </x:c>
      <x:c r="K3405" s="20" t="n">
        <x:v>195</x:v>
      </x:c>
      <x:c r="L3405" s="20" t="n">
        <x:v>19.5</x:v>
      </x:c>
      <x:c r="M3405" s="20" t="n">
        <x:v>96</x:v>
      </x:c>
      <x:c r="N3405" s="20" t="n">
        <x:f>IF(J3405=1,0,K3405-L3405)</x:f>
        <x:v>175.5</x:v>
      </x:c>
      <x:c r="O3405" s="20" t="n">
        <x:f>N3405-M3405</x:f>
        <x:v>79.5</x:v>
      </x:c>
    </x:row>
    <x:row r="3406" ht="22" customHeight="1">
      <x:c r="A3406" s="11" t="n">
        <x:v>3402</x:v>
      </x:c>
      <x:c r="B3406" s="11" t="n">
        <x:v>1727</x:v>
      </x:c>
      <x:c r="C3406" s="18" t="n">
        <x:v>45306</x:v>
      </x:c>
      <x:c r="D3406" s="11" t="str">
        <x:v>2024-01</x:v>
      </x:c>
      <x:c r="E3406" s="11" t="str">
        <x:v>South</x:v>
      </x:c>
      <x:c r="F3406" s="11" t="str">
        <x:v>Office Supplies</x:v>
      </x:c>
      <x:c r="G3406" s="11" t="str">
        <x:v>Notebook pack</x:v>
      </x:c>
      <x:c r="H3406" s="11" t="n">
        <x:v>4</x:v>
      </x:c>
      <x:c r="I3406" s="19" t="n">
        <x:v>0.1</x:v>
      </x:c>
      <x:c r="J3406" s="11" t="n">
        <x:v>0</x:v>
      </x:c>
      <x:c r="K3406" s="20" t="n">
        <x:v>72</x:v>
      </x:c>
      <x:c r="L3406" s="20" t="n">
        <x:v>7.2</x:v>
      </x:c>
      <x:c r="M3406" s="20" t="n">
        <x:v>28</x:v>
      </x:c>
      <x:c r="N3406" s="20" t="n">
        <x:f>IF(J3406=1,0,K3406-L3406)</x:f>
        <x:v>64.8</x:v>
      </x:c>
      <x:c r="O3406" s="20" t="n">
        <x:f>N3406-M3406</x:f>
        <x:v>36.8</x:v>
      </x:c>
    </x:row>
    <x:row r="3407" ht="22" customHeight="1">
      <x:c r="A3407" s="11" t="n">
        <x:v>3403</x:v>
      </x:c>
      <x:c r="B3407" s="11" t="n">
        <x:v>1728</x:v>
      </x:c>
      <x:c r="C3407" s="18" t="n">
        <x:v>45333</x:v>
      </x:c>
      <x:c r="D3407" s="11" t="str">
        <x:v>2024-02</x:v>
      </x:c>
      <x:c r="E3407" s="11" t="str">
        <x:v>West</x:v>
      </x:c>
      <x:c r="F3407" s="11" t="str">
        <x:v>Technology</x:v>
      </x:c>
      <x:c r="G3407" s="11" t="str">
        <x:v>Keyboard</x:v>
      </x:c>
      <x:c r="H3407" s="11" t="n">
        <x:v>5</x:v>
      </x:c>
      <x:c r="I3407" s="19" t="n">
        <x:v>0.15</x:v>
      </x:c>
      <x:c r="J3407" s="11" t="n">
        <x:v>0</x:v>
      </x:c>
      <x:c r="K3407" s="20" t="n">
        <x:v>325</x:v>
      </x:c>
      <x:c r="L3407" s="20" t="n">
        <x:v>48.75</x:v>
      </x:c>
      <x:c r="M3407" s="20" t="n">
        <x:v>160</x:v>
      </x:c>
      <x:c r="N3407" s="20" t="n">
        <x:f>IF(J3407=1,0,K3407-L3407)</x:f>
        <x:v>276.25</x:v>
      </x:c>
      <x:c r="O3407" s="20" t="n">
        <x:f>N3407-M3407</x:f>
        <x:v>116.25</x:v>
      </x:c>
    </x:row>
    <x:row r="3408" ht="22" customHeight="1">
      <x:c r="A3408" s="11" t="n">
        <x:v>3404</x:v>
      </x:c>
      <x:c r="B3408" s="11" t="n">
        <x:v>1728</x:v>
      </x:c>
      <x:c r="C3408" s="18" t="n">
        <x:v>45333</x:v>
      </x:c>
      <x:c r="D3408" s="11" t="str">
        <x:v>2024-02</x:v>
      </x:c>
      <x:c r="E3408" s="11" t="str">
        <x:v>West</x:v>
      </x:c>
      <x:c r="F3408" s="11" t="str">
        <x:v>Furniture</x:v>
      </x:c>
      <x:c r="G3408" s="11" t="str">
        <x:v>Chair</x:v>
      </x:c>
      <x:c r="H3408" s="11" t="n">
        <x:v>3</x:v>
      </x:c>
      <x:c r="I3408" s="19" t="n">
        <x:v>0.15</x:v>
      </x:c>
      <x:c r="J3408" s="11" t="n">
        <x:v>0</x:v>
      </x:c>
      <x:c r="K3408" s="20" t="n">
        <x:v>510</x:v>
      </x:c>
      <x:c r="L3408" s="20" t="n">
        <x:v>76.5</x:v>
      </x:c>
      <x:c r="M3408" s="20" t="n">
        <x:v>330</x:v>
      </x:c>
      <x:c r="N3408" s="20" t="n">
        <x:f>IF(J3408=1,0,K3408-L3408)</x:f>
        <x:v>433.5</x:v>
      </x:c>
      <x:c r="O3408" s="20" t="n">
        <x:f>N3408-M3408</x:f>
        <x:v>103.5</x:v>
      </x:c>
    </x:row>
    <x:row r="3409" ht="22" customHeight="1">
      <x:c r="A3409" s="11" t="n">
        <x:v>3405</x:v>
      </x:c>
      <x:c r="B3409" s="11" t="n">
        <x:v>1728</x:v>
      </x:c>
      <x:c r="C3409" s="18" t="n">
        <x:v>45333</x:v>
      </x:c>
      <x:c r="D3409" s="11" t="str">
        <x:v>2024-02</x:v>
      </x:c>
      <x:c r="E3409" s="11" t="str">
        <x:v>West</x:v>
      </x:c>
      <x:c r="F3409" s="11" t="str">
        <x:v>Furniture</x:v>
      </x:c>
      <x:c r="G3409" s="11" t="str">
        <x:v>Desk</x:v>
      </x:c>
      <x:c r="H3409" s="11" t="n">
        <x:v>5</x:v>
      </x:c>
      <x:c r="I3409" s="19" t="n">
        <x:v>0.1</x:v>
      </x:c>
      <x:c r="J3409" s="11" t="n">
        <x:v>0</x:v>
      </x:c>
      <x:c r="K3409" s="20" t="n">
        <x:v>1400</x:v>
      </x:c>
      <x:c r="L3409" s="20" t="n">
        <x:v>140</x:v>
      </x:c>
      <x:c r="M3409" s="20" t="n">
        <x:v>950</x:v>
      </x:c>
      <x:c r="N3409" s="20" t="n">
        <x:f>IF(J3409=1,0,K3409-L3409)</x:f>
        <x:v>1260</x:v>
      </x:c>
      <x:c r="O3409" s="20" t="n">
        <x:f>N3409-M3409</x:f>
        <x:v>310</x:v>
      </x:c>
    </x:row>
    <x:row r="3410" ht="22" customHeight="1">
      <x:c r="A3410" s="11" t="n">
        <x:v>3406</x:v>
      </x:c>
      <x:c r="B3410" s="11" t="n">
        <x:v>1729</x:v>
      </x:c>
      <x:c r="C3410" s="18" t="n">
        <x:v>45552</x:v>
      </x:c>
      <x:c r="D3410" s="11" t="str">
        <x:v>2024-09</x:v>
      </x:c>
      <x:c r="E3410" s="11" t="str">
        <x:v>Central</x:v>
      </x:c>
      <x:c r="F3410" s="11" t="str">
        <x:v>Technology</x:v>
      </x:c>
      <x:c r="G3410" s="11" t="str">
        <x:v>Keyboard</x:v>
      </x:c>
      <x:c r="H3410" s="11" t="n">
        <x:v>2</x:v>
      </x:c>
      <x:c r="I3410" s="19" t="n">
        <x:v>0.05</x:v>
      </x:c>
      <x:c r="J3410" s="11" t="n">
        <x:v>0</x:v>
      </x:c>
      <x:c r="K3410" s="20" t="n">
        <x:v>130</x:v>
      </x:c>
      <x:c r="L3410" s="20" t="n">
        <x:v>6.5</x:v>
      </x:c>
      <x:c r="M3410" s="20" t="n">
        <x:v>64</x:v>
      </x:c>
      <x:c r="N3410" s="20" t="n">
        <x:f>IF(J3410=1,0,K3410-L3410)</x:f>
        <x:v>123.5</x:v>
      </x:c>
      <x:c r="O3410" s="20" t="n">
        <x:f>N3410-M3410</x:f>
        <x:v>59.5</x:v>
      </x:c>
    </x:row>
    <x:row r="3411" ht="22" customHeight="1">
      <x:c r="A3411" s="11" t="n">
        <x:v>3407</x:v>
      </x:c>
      <x:c r="B3411" s="11" t="n">
        <x:v>1729</x:v>
      </x:c>
      <x:c r="C3411" s="18" t="n">
        <x:v>45552</x:v>
      </x:c>
      <x:c r="D3411" s="11" t="str">
        <x:v>2024-09</x:v>
      </x:c>
      <x:c r="E3411" s="11" t="str">
        <x:v>Central</x:v>
      </x:c>
      <x:c r="F3411" s="11" t="str">
        <x:v>Office Supplies</x:v>
      </x:c>
      <x:c r="G3411" s="11" t="str">
        <x:v>Storage box</x:v>
      </x:c>
      <x:c r="H3411" s="11" t="n">
        <x:v>2</x:v>
      </x:c>
      <x:c r="I3411" s="19" t="n">
        <x:v>0</x:v>
      </x:c>
      <x:c r="J3411" s="11" t="n">
        <x:v>0</x:v>
      </x:c>
      <x:c r="K3411" s="20" t="n">
        <x:v>52</x:v>
      </x:c>
      <x:c r="L3411" s="20" t="n">
        <x:v>0</x:v>
      </x:c>
      <x:c r="M3411" s="20" t="n">
        <x:v>24</x:v>
      </x:c>
      <x:c r="N3411" s="20" t="n">
        <x:f>IF(J3411=1,0,K3411-L3411)</x:f>
        <x:v>52</x:v>
      </x:c>
      <x:c r="O3411" s="20" t="n">
        <x:f>N3411-M3411</x:f>
        <x:v>28</x:v>
      </x:c>
    </x:row>
    <x:row r="3412" ht="22" customHeight="1">
      <x:c r="A3412" s="11" t="n">
        <x:v>3408</x:v>
      </x:c>
      <x:c r="B3412" s="11" t="n">
        <x:v>1730</x:v>
      </x:c>
      <x:c r="C3412" s="18" t="n">
        <x:v>45644</x:v>
      </x:c>
      <x:c r="D3412" s="11" t="str">
        <x:v>2024-12</x:v>
      </x:c>
      <x:c r="E3412" s="11" t="str">
        <x:v>West</x:v>
      </x:c>
      <x:c r="F3412" s="11" t="str">
        <x:v>Office Supplies</x:v>
      </x:c>
      <x:c r="G3412" s="11" t="str">
        <x:v>Notebook pack</x:v>
      </x:c>
      <x:c r="H3412" s="11" t="n">
        <x:v>4</x:v>
      </x:c>
      <x:c r="I3412" s="19" t="n">
        <x:v>0</x:v>
      </x:c>
      <x:c r="J3412" s="11" t="n">
        <x:v>0</x:v>
      </x:c>
      <x:c r="K3412" s="20" t="n">
        <x:v>72</x:v>
      </x:c>
      <x:c r="L3412" s="20" t="n">
        <x:v>0</x:v>
      </x:c>
      <x:c r="M3412" s="20" t="n">
        <x:v>28</x:v>
      </x:c>
      <x:c r="N3412" s="20" t="n">
        <x:f>IF(J3412=1,0,K3412-L3412)</x:f>
        <x:v>72</x:v>
      </x:c>
      <x:c r="O3412" s="20" t="n">
        <x:f>N3412-M3412</x:f>
        <x:v>44</x:v>
      </x:c>
    </x:row>
    <x:row r="3413" ht="22" customHeight="1">
      <x:c r="A3413" s="11" t="n">
        <x:v>3409</x:v>
      </x:c>
      <x:c r="B3413" s="11" t="n">
        <x:v>1730</x:v>
      </x:c>
      <x:c r="C3413" s="18" t="n">
        <x:v>45644</x:v>
      </x:c>
      <x:c r="D3413" s="11" t="str">
        <x:v>2024-12</x:v>
      </x:c>
      <x:c r="E3413" s="11" t="str">
        <x:v>West</x:v>
      </x:c>
      <x:c r="F3413" s="11" t="str">
        <x:v>Technology</x:v>
      </x:c>
      <x:c r="G3413" s="11" t="str">
        <x:v>Keyboard</x:v>
      </x:c>
      <x:c r="H3413" s="11" t="n">
        <x:v>2</x:v>
      </x:c>
      <x:c r="I3413" s="19" t="n">
        <x:v>0.1</x:v>
      </x:c>
      <x:c r="J3413" s="11" t="n">
        <x:v>0</x:v>
      </x:c>
      <x:c r="K3413" s="20" t="n">
        <x:v>130</x:v>
      </x:c>
      <x:c r="L3413" s="20" t="n">
        <x:v>13</x:v>
      </x:c>
      <x:c r="M3413" s="20" t="n">
        <x:v>64</x:v>
      </x:c>
      <x:c r="N3413" s="20" t="n">
        <x:f>IF(J3413=1,0,K3413-L3413)</x:f>
        <x:v>117</x:v>
      </x:c>
      <x:c r="O3413" s="20" t="n">
        <x:f>N3413-M3413</x:f>
        <x:v>53</x:v>
      </x:c>
    </x:row>
    <x:row r="3414" ht="22" customHeight="1">
      <x:c r="A3414" s="11" t="n">
        <x:v>3410</x:v>
      </x:c>
      <x:c r="B3414" s="11" t="n">
        <x:v>1730</x:v>
      </x:c>
      <x:c r="C3414" s="18" t="n">
        <x:v>45644</x:v>
      </x:c>
      <x:c r="D3414" s="11" t="str">
        <x:v>2024-12</x:v>
      </x:c>
      <x:c r="E3414" s="11" t="str">
        <x:v>West</x:v>
      </x:c>
      <x:c r="F3414" s="11" t="str">
        <x:v>Furniture</x:v>
      </x:c>
      <x:c r="G3414" s="11" t="str">
        <x:v>Chair</x:v>
      </x:c>
      <x:c r="H3414" s="11" t="n">
        <x:v>1</x:v>
      </x:c>
      <x:c r="I3414" s="19" t="n">
        <x:v>0</x:v>
      </x:c>
      <x:c r="J3414" s="11" t="n">
        <x:v>0</x:v>
      </x:c>
      <x:c r="K3414" s="20" t="n">
        <x:v>170</x:v>
      </x:c>
      <x:c r="L3414" s="20" t="n">
        <x:v>0</x:v>
      </x:c>
      <x:c r="M3414" s="20" t="n">
        <x:v>110</x:v>
      </x:c>
      <x:c r="N3414" s="20" t="n">
        <x:f>IF(J3414=1,0,K3414-L3414)</x:f>
        <x:v>170</x:v>
      </x:c>
      <x:c r="O3414" s="20" t="n">
        <x:f>N3414-M3414</x:f>
        <x:v>60</x:v>
      </x:c>
    </x:row>
    <x:row r="3415" ht="22" customHeight="1">
      <x:c r="A3415" s="11" t="n">
        <x:v>3411</x:v>
      </x:c>
      <x:c r="B3415" s="11" t="n">
        <x:v>1731</x:v>
      </x:c>
      <x:c r="C3415" s="18" t="n">
        <x:v>45442</x:v>
      </x:c>
      <x:c r="D3415" s="11" t="str">
        <x:v>2024-05</x:v>
      </x:c>
      <x:c r="E3415" s="11" t="str">
        <x:v>West</x:v>
      </x:c>
      <x:c r="F3415" s="11" t="str">
        <x:v>Office Supplies</x:v>
      </x:c>
      <x:c r="G3415" s="11" t="str">
        <x:v>Storage box</x:v>
      </x:c>
      <x:c r="H3415" s="11" t="n">
        <x:v>3</x:v>
      </x:c>
      <x:c r="I3415" s="19" t="n">
        <x:v>0.15</x:v>
      </x:c>
      <x:c r="J3415" s="11" t="n">
        <x:v>0</x:v>
      </x:c>
      <x:c r="K3415" s="20" t="n">
        <x:v>78</x:v>
      </x:c>
      <x:c r="L3415" s="20" t="n">
        <x:v>11.7</x:v>
      </x:c>
      <x:c r="M3415" s="20" t="n">
        <x:v>36</x:v>
      </x:c>
      <x:c r="N3415" s="20" t="n">
        <x:f>IF(J3415=1,0,K3415-L3415)</x:f>
        <x:v>66.3</x:v>
      </x:c>
      <x:c r="O3415" s="20" t="n">
        <x:f>N3415-M3415</x:f>
        <x:v>30.299999999999997</x:v>
      </x:c>
    </x:row>
    <x:row r="3416" ht="22" customHeight="1">
      <x:c r="A3416" s="11" t="n">
        <x:v>3412</x:v>
      </x:c>
      <x:c r="B3416" s="11" t="n">
        <x:v>1731</x:v>
      </x:c>
      <x:c r="C3416" s="18" t="n">
        <x:v>45442</x:v>
      </x:c>
      <x:c r="D3416" s="11" t="str">
        <x:v>2024-05</x:v>
      </x:c>
      <x:c r="E3416" s="11" t="str">
        <x:v>West</x:v>
      </x:c>
      <x:c r="F3416" s="11" t="str">
        <x:v>Furniture</x:v>
      </x:c>
      <x:c r="G3416" s="11" t="str">
        <x:v>Chair</x:v>
      </x:c>
      <x:c r="H3416" s="11" t="n">
        <x:v>3</x:v>
      </x:c>
      <x:c r="I3416" s="19" t="n">
        <x:v>0</x:v>
      </x:c>
      <x:c r="J3416" s="11" t="n">
        <x:v>0</x:v>
      </x:c>
      <x:c r="K3416" s="20" t="n">
        <x:v>510</x:v>
      </x:c>
      <x:c r="L3416" s="20" t="n">
        <x:v>0</x:v>
      </x:c>
      <x:c r="M3416" s="20" t="n">
        <x:v>330</x:v>
      </x:c>
      <x:c r="N3416" s="20" t="n">
        <x:f>IF(J3416=1,0,K3416-L3416)</x:f>
        <x:v>510</x:v>
      </x:c>
      <x:c r="O3416" s="20" t="n">
        <x:f>N3416-M3416</x:f>
        <x:v>180</x:v>
      </x:c>
    </x:row>
    <x:row r="3417" ht="22" customHeight="1">
      <x:c r="A3417" s="11" t="n">
        <x:v>3413</x:v>
      </x:c>
      <x:c r="B3417" s="11" t="n">
        <x:v>1732</x:v>
      </x:c>
      <x:c r="C3417" s="18" t="n">
        <x:v>45819</x:v>
      </x:c>
      <x:c r="D3417" s="11" t="str">
        <x:v>2025-06</x:v>
      </x:c>
      <x:c r="E3417" s="11" t="str">
        <x:v>Central</x:v>
      </x:c>
      <x:c r="F3417" s="11" t="str">
        <x:v>Office Supplies</x:v>
      </x:c>
      <x:c r="G3417" s="11" t="str">
        <x:v>Storage box</x:v>
      </x:c>
      <x:c r="H3417" s="11" t="n">
        <x:v>5</x:v>
      </x:c>
      <x:c r="I3417" s="19" t="n">
        <x:v>0.1</x:v>
      </x:c>
      <x:c r="J3417" s="11" t="n">
        <x:v>0</x:v>
      </x:c>
      <x:c r="K3417" s="20" t="n">
        <x:v>130</x:v>
      </x:c>
      <x:c r="L3417" s="20" t="n">
        <x:v>13</x:v>
      </x:c>
      <x:c r="M3417" s="20" t="n">
        <x:v>60</x:v>
      </x:c>
      <x:c r="N3417" s="20" t="n">
        <x:f>IF(J3417=1,0,K3417-L3417)</x:f>
        <x:v>117</x:v>
      </x:c>
      <x:c r="O3417" s="20" t="n">
        <x:f>N3417-M3417</x:f>
        <x:v>57</x:v>
      </x:c>
    </x:row>
    <x:row r="3418" ht="22" customHeight="1">
      <x:c r="A3418" s="11" t="n">
        <x:v>3414</x:v>
      </x:c>
      <x:c r="B3418" s="11" t="n">
        <x:v>1732</x:v>
      </x:c>
      <x:c r="C3418" s="18" t="n">
        <x:v>45819</x:v>
      </x:c>
      <x:c r="D3418" s="11" t="str">
        <x:v>2025-06</x:v>
      </x:c>
      <x:c r="E3418" s="11" t="str">
        <x:v>Central</x:v>
      </x:c>
      <x:c r="F3418" s="11" t="str">
        <x:v>Technology</x:v>
      </x:c>
      <x:c r="G3418" s="11" t="str">
        <x:v>Keyboard</x:v>
      </x:c>
      <x:c r="H3418" s="11" t="n">
        <x:v>2</x:v>
      </x:c>
      <x:c r="I3418" s="19" t="n">
        <x:v>0.05</x:v>
      </x:c>
      <x:c r="J3418" s="11" t="n">
        <x:v>0</x:v>
      </x:c>
      <x:c r="K3418" s="20" t="n">
        <x:v>130</x:v>
      </x:c>
      <x:c r="L3418" s="20" t="n">
        <x:v>6.5</x:v>
      </x:c>
      <x:c r="M3418" s="20" t="n">
        <x:v>64</x:v>
      </x:c>
      <x:c r="N3418" s="20" t="n">
        <x:f>IF(J3418=1,0,K3418-L3418)</x:f>
        <x:v>123.5</x:v>
      </x:c>
      <x:c r="O3418" s="20" t="n">
        <x:f>N3418-M3418</x:f>
        <x:v>59.5</x:v>
      </x:c>
    </x:row>
    <x:row r="3419" ht="22" customHeight="1">
      <x:c r="A3419" s="11" t="n">
        <x:v>3415</x:v>
      </x:c>
      <x:c r="B3419" s="11" t="n">
        <x:v>1732</x:v>
      </x:c>
      <x:c r="C3419" s="18" t="n">
        <x:v>45819</x:v>
      </x:c>
      <x:c r="D3419" s="11" t="str">
        <x:v>2025-06</x:v>
      </x:c>
      <x:c r="E3419" s="11" t="str">
        <x:v>Central</x:v>
      </x:c>
      <x:c r="F3419" s="11" t="str">
        <x:v>Furniture</x:v>
      </x:c>
      <x:c r="G3419" s="11" t="str">
        <x:v>Desk</x:v>
      </x:c>
      <x:c r="H3419" s="11" t="n">
        <x:v>1</x:v>
      </x:c>
      <x:c r="I3419" s="19" t="n">
        <x:v>0.25</x:v>
      </x:c>
      <x:c r="J3419" s="11" t="n">
        <x:v>0</x:v>
      </x:c>
      <x:c r="K3419" s="20" t="n">
        <x:v>280</x:v>
      </x:c>
      <x:c r="L3419" s="20" t="n">
        <x:v>70</x:v>
      </x:c>
      <x:c r="M3419" s="20" t="n">
        <x:v>190</x:v>
      </x:c>
      <x:c r="N3419" s="20" t="n">
        <x:f>IF(J3419=1,0,K3419-L3419)</x:f>
        <x:v>210</x:v>
      </x:c>
      <x:c r="O3419" s="20" t="n">
        <x:f>N3419-M3419</x:f>
        <x:v>20</x:v>
      </x:c>
    </x:row>
    <x:row r="3420" ht="22" customHeight="1">
      <x:c r="A3420" s="11" t="n">
        <x:v>3416</x:v>
      </x:c>
      <x:c r="B3420" s="11" t="n">
        <x:v>1733</x:v>
      </x:c>
      <x:c r="C3420" s="18" t="n">
        <x:v>45497</x:v>
      </x:c>
      <x:c r="D3420" s="11" t="str">
        <x:v>2024-07</x:v>
      </x:c>
      <x:c r="E3420" s="11" t="str">
        <x:v>East</x:v>
      </x:c>
      <x:c r="F3420" s="11" t="str">
        <x:v>Furniture</x:v>
      </x:c>
      <x:c r="G3420" s="11" t="str">
        <x:v>Chair</x:v>
      </x:c>
      <x:c r="H3420" s="11" t="n">
        <x:v>3</x:v>
      </x:c>
      <x:c r="I3420" s="19" t="n">
        <x:v>0.35</x:v>
      </x:c>
      <x:c r="J3420" s="11" t="n">
        <x:v>0</x:v>
      </x:c>
      <x:c r="K3420" s="20" t="n">
        <x:v>510</x:v>
      </x:c>
      <x:c r="L3420" s="20" t="n">
        <x:v>178.5</x:v>
      </x:c>
      <x:c r="M3420" s="20" t="n">
        <x:v>330</x:v>
      </x:c>
      <x:c r="N3420" s="20" t="n">
        <x:f>IF(J3420=1,0,K3420-L3420)</x:f>
        <x:v>331.5</x:v>
      </x:c>
      <x:c r="O3420" s="20" t="n">
        <x:f>N3420-M3420</x:f>
        <x:v>1.5</x:v>
      </x:c>
    </x:row>
    <x:row r="3421" ht="22" customHeight="1">
      <x:c r="A3421" s="11" t="n">
        <x:v>3417</x:v>
      </x:c>
      <x:c r="B3421" s="11" t="n">
        <x:v>1734</x:v>
      </x:c>
      <x:c r="C3421" s="18" t="n">
        <x:v>45483</x:v>
      </x:c>
      <x:c r="D3421" s="11" t="str">
        <x:v>2024-07</x:v>
      </x:c>
      <x:c r="E3421" s="11" t="str">
        <x:v>East</x:v>
      </x:c>
      <x:c r="F3421" s="11" t="str">
        <x:v>Office Supplies</x:v>
      </x:c>
      <x:c r="G3421" s="11" t="str">
        <x:v>Notebook pack</x:v>
      </x:c>
      <x:c r="H3421" s="11" t="n">
        <x:v>2</x:v>
      </x:c>
      <x:c r="I3421" s="19" t="n">
        <x:v>0</x:v>
      </x:c>
      <x:c r="J3421" s="11" t="n">
        <x:v>0</x:v>
      </x:c>
      <x:c r="K3421" s="20" t="n">
        <x:v>36</x:v>
      </x:c>
      <x:c r="L3421" s="20" t="n">
        <x:v>0</x:v>
      </x:c>
      <x:c r="M3421" s="20" t="n">
        <x:v>14</x:v>
      </x:c>
      <x:c r="N3421" s="20" t="n">
        <x:f>IF(J3421=1,0,K3421-L3421)</x:f>
        <x:v>36</x:v>
      </x:c>
      <x:c r="O3421" s="20" t="n">
        <x:f>N3421-M3421</x:f>
        <x:v>22</x:v>
      </x:c>
    </x:row>
    <x:row r="3422" ht="22" customHeight="1">
      <x:c r="A3422" s="11" t="n">
        <x:v>3418</x:v>
      </x:c>
      <x:c r="B3422" s="11" t="n">
        <x:v>1734</x:v>
      </x:c>
      <x:c r="C3422" s="18" t="n">
        <x:v>45483</x:v>
      </x:c>
      <x:c r="D3422" s="11" t="str">
        <x:v>2024-07</x:v>
      </x:c>
      <x:c r="E3422" s="11" t="str">
        <x:v>East</x:v>
      </x:c>
      <x:c r="F3422" s="11" t="str">
        <x:v>Furniture</x:v>
      </x:c>
      <x:c r="G3422" s="11" t="str">
        <x:v>Chair</x:v>
      </x:c>
      <x:c r="H3422" s="11" t="n">
        <x:v>2</x:v>
      </x:c>
      <x:c r="I3422" s="19" t="n">
        <x:v>0</x:v>
      </x:c>
      <x:c r="J3422" s="11" t="n">
        <x:v>0</x:v>
      </x:c>
      <x:c r="K3422" s="20" t="n">
        <x:v>340</x:v>
      </x:c>
      <x:c r="L3422" s="20" t="n">
        <x:v>0</x:v>
      </x:c>
      <x:c r="M3422" s="20" t="n">
        <x:v>220</x:v>
      </x:c>
      <x:c r="N3422" s="20" t="n">
        <x:f>IF(J3422=1,0,K3422-L3422)</x:f>
        <x:v>340</x:v>
      </x:c>
      <x:c r="O3422" s="20" t="n">
        <x:f>N3422-M3422</x:f>
        <x:v>120</x:v>
      </x:c>
    </x:row>
    <x:row r="3423" ht="22" customHeight="1">
      <x:c r="A3423" s="11" t="n">
        <x:v>3419</x:v>
      </x:c>
      <x:c r="B3423" s="11" t="n">
        <x:v>1735</x:v>
      </x:c>
      <x:c r="C3423" s="18" t="n">
        <x:v>45538</x:v>
      </x:c>
      <x:c r="D3423" s="11" t="str">
        <x:v>2024-09</x:v>
      </x:c>
      <x:c r="E3423" s="11" t="str">
        <x:v>South</x:v>
      </x:c>
      <x:c r="F3423" s="11" t="str">
        <x:v>Technology</x:v>
      </x:c>
      <x:c r="G3423" s="11" t="str">
        <x:v>Monitor</x:v>
      </x:c>
      <x:c r="H3423" s="11" t="n">
        <x:v>4</x:v>
      </x:c>
      <x:c r="I3423" s="19" t="n">
        <x:v>0</x:v>
      </x:c>
      <x:c r="J3423" s="11" t="n">
        <x:v>0</x:v>
      </x:c>
      <x:c r="K3423" s="20" t="n">
        <x:v>960</x:v>
      </x:c>
      <x:c r="L3423" s="20" t="n">
        <x:v>0</x:v>
      </x:c>
      <x:c r="M3423" s="20" t="n">
        <x:v>640</x:v>
      </x:c>
      <x:c r="N3423" s="20" t="n">
        <x:f>IF(J3423=1,0,K3423-L3423)</x:f>
        <x:v>960</x:v>
      </x:c>
      <x:c r="O3423" s="20" t="n">
        <x:f>N3423-M3423</x:f>
        <x:v>320</x:v>
      </x:c>
    </x:row>
    <x:row r="3424" ht="22" customHeight="1">
      <x:c r="A3424" s="11" t="n">
        <x:v>3420</x:v>
      </x:c>
      <x:c r="B3424" s="11" t="n">
        <x:v>1735</x:v>
      </x:c>
      <x:c r="C3424" s="18" t="n">
        <x:v>45538</x:v>
      </x:c>
      <x:c r="D3424" s="11" t="str">
        <x:v>2024-09</x:v>
      </x:c>
      <x:c r="E3424" s="11" t="str">
        <x:v>South</x:v>
      </x:c>
      <x:c r="F3424" s="11" t="str">
        <x:v>Office Supplies</x:v>
      </x:c>
      <x:c r="G3424" s="11" t="str">
        <x:v>Notebook pack</x:v>
      </x:c>
      <x:c r="H3424" s="11" t="n">
        <x:v>3</x:v>
      </x:c>
      <x:c r="I3424" s="19" t="n">
        <x:v>0.05</x:v>
      </x:c>
      <x:c r="J3424" s="11" t="n">
        <x:v>0</x:v>
      </x:c>
      <x:c r="K3424" s="20" t="n">
        <x:v>54</x:v>
      </x:c>
      <x:c r="L3424" s="20" t="n">
        <x:v>2.7</x:v>
      </x:c>
      <x:c r="M3424" s="20" t="n">
        <x:v>21</x:v>
      </x:c>
      <x:c r="N3424" s="20" t="n">
        <x:f>IF(J3424=1,0,K3424-L3424)</x:f>
        <x:v>51.3</x:v>
      </x:c>
      <x:c r="O3424" s="20" t="n">
        <x:f>N3424-M3424</x:f>
        <x:v>30.299999999999997</x:v>
      </x:c>
    </x:row>
    <x:row r="3425" ht="22" customHeight="1">
      <x:c r="A3425" s="11" t="n">
        <x:v>3421</x:v>
      </x:c>
      <x:c r="B3425" s="11" t="n">
        <x:v>1735</x:v>
      </x:c>
      <x:c r="C3425" s="18" t="n">
        <x:v>45538</x:v>
      </x:c>
      <x:c r="D3425" s="11" t="str">
        <x:v>2024-09</x:v>
      </x:c>
      <x:c r="E3425" s="11" t="str">
        <x:v>South</x:v>
      </x:c>
      <x:c r="F3425" s="11" t="str">
        <x:v>Technology</x:v>
      </x:c>
      <x:c r="G3425" s="11" t="str">
        <x:v>Keyboard</x:v>
      </x:c>
      <x:c r="H3425" s="11" t="n">
        <x:v>4</x:v>
      </x:c>
      <x:c r="I3425" s="19" t="n">
        <x:v>0.15</x:v>
      </x:c>
      <x:c r="J3425" s="11" t="n">
        <x:v>0</x:v>
      </x:c>
      <x:c r="K3425" s="20" t="n">
        <x:v>260</x:v>
      </x:c>
      <x:c r="L3425" s="20" t="n">
        <x:v>39</x:v>
      </x:c>
      <x:c r="M3425" s="20" t="n">
        <x:v>128</x:v>
      </x:c>
      <x:c r="N3425" s="20" t="n">
        <x:f>IF(J3425=1,0,K3425-L3425)</x:f>
        <x:v>221</x:v>
      </x:c>
      <x:c r="O3425" s="20" t="n">
        <x:f>N3425-M3425</x:f>
        <x:v>93</x:v>
      </x:c>
    </x:row>
    <x:row r="3426" ht="22" customHeight="1">
      <x:c r="A3426" s="11" t="n">
        <x:v>3422</x:v>
      </x:c>
      <x:c r="B3426" s="11" t="n">
        <x:v>1736</x:v>
      </x:c>
      <x:c r="C3426" s="18" t="n">
        <x:v>45803</x:v>
      </x:c>
      <x:c r="D3426" s="11" t="str">
        <x:v>2025-05</x:v>
      </x:c>
      <x:c r="E3426" s="11" t="str">
        <x:v>West</x:v>
      </x:c>
      <x:c r="F3426" s="11" t="str">
        <x:v>Office Supplies</x:v>
      </x:c>
      <x:c r="G3426" s="11" t="str">
        <x:v>Notebook pack</x:v>
      </x:c>
      <x:c r="H3426" s="11" t="n">
        <x:v>3</x:v>
      </x:c>
      <x:c r="I3426" s="19" t="n">
        <x:v>0</x:v>
      </x:c>
      <x:c r="J3426" s="11" t="n">
        <x:v>0</x:v>
      </x:c>
      <x:c r="K3426" s="20" t="n">
        <x:v>54</x:v>
      </x:c>
      <x:c r="L3426" s="20" t="n">
        <x:v>0</x:v>
      </x:c>
      <x:c r="M3426" s="20" t="n">
        <x:v>21</x:v>
      </x:c>
      <x:c r="N3426" s="20" t="n">
        <x:f>IF(J3426=1,0,K3426-L3426)</x:f>
        <x:v>54</x:v>
      </x:c>
      <x:c r="O3426" s="20" t="n">
        <x:f>N3426-M3426</x:f>
        <x:v>33</x:v>
      </x:c>
    </x:row>
    <x:row r="3427" ht="22" customHeight="1">
      <x:c r="A3427" s="11" t="n">
        <x:v>3423</x:v>
      </x:c>
      <x:c r="B3427" s="11" t="n">
        <x:v>1736</x:v>
      </x:c>
      <x:c r="C3427" s="18" t="n">
        <x:v>45803</x:v>
      </x:c>
      <x:c r="D3427" s="11" t="str">
        <x:v>2025-05</x:v>
      </x:c>
      <x:c r="E3427" s="11" t="str">
        <x:v>West</x:v>
      </x:c>
      <x:c r="F3427" s="11" t="str">
        <x:v>Technology</x:v>
      </x:c>
      <x:c r="G3427" s="11" t="str">
        <x:v>Monitor</x:v>
      </x:c>
      <x:c r="H3427" s="11" t="n">
        <x:v>2</x:v>
      </x:c>
      <x:c r="I3427" s="19" t="n">
        <x:v>0.1</x:v>
      </x:c>
      <x:c r="J3427" s="11" t="n">
        <x:v>0</x:v>
      </x:c>
      <x:c r="K3427" s="20" t="n">
        <x:v>480</x:v>
      </x:c>
      <x:c r="L3427" s="20" t="n">
        <x:v>48</x:v>
      </x:c>
      <x:c r="M3427" s="20" t="n">
        <x:v>320</x:v>
      </x:c>
      <x:c r="N3427" s="20" t="n">
        <x:f>IF(J3427=1,0,K3427-L3427)</x:f>
        <x:v>432</x:v>
      </x:c>
      <x:c r="O3427" s="20" t="n">
        <x:f>N3427-M3427</x:f>
        <x:v>112</x:v>
      </x:c>
    </x:row>
    <x:row r="3428" ht="22" customHeight="1">
      <x:c r="A3428" s="11" t="n">
        <x:v>3424</x:v>
      </x:c>
      <x:c r="B3428" s="11" t="n">
        <x:v>1737</x:v>
      </x:c>
      <x:c r="C3428" s="18" t="n">
        <x:v>45775</x:v>
      </x:c>
      <x:c r="D3428" s="11" t="str">
        <x:v>2025-04</x:v>
      </x:c>
      <x:c r="E3428" s="11" t="str">
        <x:v>West</x:v>
      </x:c>
      <x:c r="F3428" s="11" t="str">
        <x:v>Office Supplies</x:v>
      </x:c>
      <x:c r="G3428" s="11" t="str">
        <x:v>Storage box</x:v>
      </x:c>
      <x:c r="H3428" s="11" t="n">
        <x:v>5</x:v>
      </x:c>
      <x:c r="I3428" s="19" t="n">
        <x:v>0.1</x:v>
      </x:c>
      <x:c r="J3428" s="11" t="n">
        <x:v>0</x:v>
      </x:c>
      <x:c r="K3428" s="20" t="n">
        <x:v>130</x:v>
      </x:c>
      <x:c r="L3428" s="20" t="n">
        <x:v>13</x:v>
      </x:c>
      <x:c r="M3428" s="20" t="n">
        <x:v>60</x:v>
      </x:c>
      <x:c r="N3428" s="20" t="n">
        <x:f>IF(J3428=1,0,K3428-L3428)</x:f>
        <x:v>117</x:v>
      </x:c>
      <x:c r="O3428" s="20" t="n">
        <x:f>N3428-M3428</x:f>
        <x:v>57</x:v>
      </x:c>
    </x:row>
    <x:row r="3429" ht="22" customHeight="1">
      <x:c r="A3429" s="11" t="n">
        <x:v>3425</x:v>
      </x:c>
      <x:c r="B3429" s="11" t="n">
        <x:v>1737</x:v>
      </x:c>
      <x:c r="C3429" s="18" t="n">
        <x:v>45775</x:v>
      </x:c>
      <x:c r="D3429" s="11" t="str">
        <x:v>2025-04</x:v>
      </x:c>
      <x:c r="E3429" s="11" t="str">
        <x:v>West</x:v>
      </x:c>
      <x:c r="F3429" s="11" t="str">
        <x:v>Office Supplies</x:v>
      </x:c>
      <x:c r="G3429" s="11" t="str">
        <x:v>Notebook pack</x:v>
      </x:c>
      <x:c r="H3429" s="11" t="n">
        <x:v>1</x:v>
      </x:c>
      <x:c r="I3429" s="19" t="n">
        <x:v>0.1</x:v>
      </x:c>
      <x:c r="J3429" s="11" t="n">
        <x:v>0</x:v>
      </x:c>
      <x:c r="K3429" s="20" t="n">
        <x:v>18</x:v>
      </x:c>
      <x:c r="L3429" s="20" t="n">
        <x:v>1.8</x:v>
      </x:c>
      <x:c r="M3429" s="20" t="n">
        <x:v>7</x:v>
      </x:c>
      <x:c r="N3429" s="20" t="n">
        <x:f>IF(J3429=1,0,K3429-L3429)</x:f>
        <x:v>16.2</x:v>
      </x:c>
      <x:c r="O3429" s="20" t="n">
        <x:f>N3429-M3429</x:f>
        <x:v>9.2</x:v>
      </x:c>
    </x:row>
    <x:row r="3430" ht="22" customHeight="1">
      <x:c r="A3430" s="11" t="n">
        <x:v>3426</x:v>
      </x:c>
      <x:c r="B3430" s="11" t="n">
        <x:v>1738</x:v>
      </x:c>
      <x:c r="C3430" s="18" t="n">
        <x:v>45579</x:v>
      </x:c>
      <x:c r="D3430" s="11" t="str">
        <x:v>2024-10</x:v>
      </x:c>
      <x:c r="E3430" s="11" t="str">
        <x:v>South</x:v>
      </x:c>
      <x:c r="F3430" s="11" t="str">
        <x:v>Technology</x:v>
      </x:c>
      <x:c r="G3430" s="11" t="str">
        <x:v>Monitor</x:v>
      </x:c>
      <x:c r="H3430" s="11" t="n">
        <x:v>3</x:v>
      </x:c>
      <x:c r="I3430" s="19" t="n">
        <x:v>0.05</x:v>
      </x:c>
      <x:c r="J3430" s="11" t="n">
        <x:v>1</x:v>
      </x:c>
      <x:c r="K3430" s="20" t="n">
        <x:v>720</x:v>
      </x:c>
      <x:c r="L3430" s="20" t="n">
        <x:v>36</x:v>
      </x:c>
      <x:c r="M3430" s="20" t="n">
        <x:v>0</x:v>
      </x:c>
      <x:c r="N3430" s="20" t="n">
        <x:f>IF(J3430=1,0,K3430-L3430)</x:f>
        <x:v>0</x:v>
      </x:c>
      <x:c r="O3430" s="20" t="n">
        <x:f>N3430-M3430</x:f>
        <x:v>0</x:v>
      </x:c>
    </x:row>
    <x:row r="3431" ht="22" customHeight="1">
      <x:c r="A3431" s="11" t="n">
        <x:v>3427</x:v>
      </x:c>
      <x:c r="B3431" s="11" t="n">
        <x:v>1739</x:v>
      </x:c>
      <x:c r="C3431" s="18" t="n">
        <x:v>46006</x:v>
      </x:c>
      <x:c r="D3431" s="11" t="str">
        <x:v>2025-12</x:v>
      </x:c>
      <x:c r="E3431" s="11" t="str">
        <x:v>West</x:v>
      </x:c>
      <x:c r="F3431" s="11" t="str">
        <x:v>Technology</x:v>
      </x:c>
      <x:c r="G3431" s="11" t="str">
        <x:v>Monitor</x:v>
      </x:c>
      <x:c r="H3431" s="11" t="n">
        <x:v>3</x:v>
      </x:c>
      <x:c r="I3431" s="19" t="n">
        <x:v>0</x:v>
      </x:c>
      <x:c r="J3431" s="11" t="n">
        <x:v>0</x:v>
      </x:c>
      <x:c r="K3431" s="20" t="n">
        <x:v>720</x:v>
      </x:c>
      <x:c r="L3431" s="20" t="n">
        <x:v>0</x:v>
      </x:c>
      <x:c r="M3431" s="20" t="n">
        <x:v>480</x:v>
      </x:c>
      <x:c r="N3431" s="20" t="n">
        <x:f>IF(J3431=1,0,K3431-L3431)</x:f>
        <x:v>720</x:v>
      </x:c>
      <x:c r="O3431" s="20" t="n">
        <x:f>N3431-M3431</x:f>
        <x:v>240</x:v>
      </x:c>
    </x:row>
    <x:row r="3432" ht="22" customHeight="1">
      <x:c r="A3432" s="11" t="n">
        <x:v>3428</x:v>
      </x:c>
      <x:c r="B3432" s="11" t="n">
        <x:v>1739</x:v>
      </x:c>
      <x:c r="C3432" s="18" t="n">
        <x:v>46006</x:v>
      </x:c>
      <x:c r="D3432" s="11" t="str">
        <x:v>2025-12</x:v>
      </x:c>
      <x:c r="E3432" s="11" t="str">
        <x:v>West</x:v>
      </x:c>
      <x:c r="F3432" s="11" t="str">
        <x:v>Office Supplies</x:v>
      </x:c>
      <x:c r="G3432" s="11" t="str">
        <x:v>Notebook pack</x:v>
      </x:c>
      <x:c r="H3432" s="11" t="n">
        <x:v>5</x:v>
      </x:c>
      <x:c r="I3432" s="19" t="n">
        <x:v>0</x:v>
      </x:c>
      <x:c r="J3432" s="11" t="n">
        <x:v>0</x:v>
      </x:c>
      <x:c r="K3432" s="20" t="n">
        <x:v>90</x:v>
      </x:c>
      <x:c r="L3432" s="20" t="n">
        <x:v>0</x:v>
      </x:c>
      <x:c r="M3432" s="20" t="n">
        <x:v>35</x:v>
      </x:c>
      <x:c r="N3432" s="20" t="n">
        <x:f>IF(J3432=1,0,K3432-L3432)</x:f>
        <x:v>90</x:v>
      </x:c>
      <x:c r="O3432" s="20" t="n">
        <x:f>N3432-M3432</x:f>
        <x:v>55</x:v>
      </x:c>
    </x:row>
    <x:row r="3433" ht="22" customHeight="1">
      <x:c r="A3433" s="11" t="n">
        <x:v>3429</x:v>
      </x:c>
      <x:c r="B3433" s="11" t="n">
        <x:v>1739</x:v>
      </x:c>
      <x:c r="C3433" s="18" t="n">
        <x:v>46006</x:v>
      </x:c>
      <x:c r="D3433" s="11" t="str">
        <x:v>2025-12</x:v>
      </x:c>
      <x:c r="E3433" s="11" t="str">
        <x:v>West</x:v>
      </x:c>
      <x:c r="F3433" s="11" t="str">
        <x:v>Furniture</x:v>
      </x:c>
      <x:c r="G3433" s="11" t="str">
        <x:v>Desk</x:v>
      </x:c>
      <x:c r="H3433" s="11" t="n">
        <x:v>3</x:v>
      </x:c>
      <x:c r="I3433" s="19" t="n">
        <x:v>0.25</x:v>
      </x:c>
      <x:c r="J3433" s="11" t="n">
        <x:v>0</x:v>
      </x:c>
      <x:c r="K3433" s="20" t="n">
        <x:v>840</x:v>
      </x:c>
      <x:c r="L3433" s="20" t="n">
        <x:v>210</x:v>
      </x:c>
      <x:c r="M3433" s="20" t="n">
        <x:v>570</x:v>
      </x:c>
      <x:c r="N3433" s="20" t="n">
        <x:f>IF(J3433=1,0,K3433-L3433)</x:f>
        <x:v>630</x:v>
      </x:c>
      <x:c r="O3433" s="20" t="n">
        <x:f>N3433-M3433</x:f>
        <x:v>60</x:v>
      </x:c>
    </x:row>
    <x:row r="3434" ht="22" customHeight="1">
      <x:c r="A3434" s="11" t="n">
        <x:v>3430</x:v>
      </x:c>
      <x:c r="B3434" s="11" t="n">
        <x:v>1740</x:v>
      </x:c>
      <x:c r="C3434" s="18" t="n">
        <x:v>45749</x:v>
      </x:c>
      <x:c r="D3434" s="11" t="str">
        <x:v>2025-04</x:v>
      </x:c>
      <x:c r="E3434" s="11" t="str">
        <x:v>East</x:v>
      </x:c>
      <x:c r="F3434" s="11" t="str">
        <x:v>Furniture</x:v>
      </x:c>
      <x:c r="G3434" s="11" t="str">
        <x:v>Desk</x:v>
      </x:c>
      <x:c r="H3434" s="11" t="n">
        <x:v>4</x:v>
      </x:c>
      <x:c r="I3434" s="19" t="n">
        <x:v>0.1</x:v>
      </x:c>
      <x:c r="J3434" s="11" t="n">
        <x:v>0</x:v>
      </x:c>
      <x:c r="K3434" s="20" t="n">
        <x:v>1120</x:v>
      </x:c>
      <x:c r="L3434" s="20" t="n">
        <x:v>112</x:v>
      </x:c>
      <x:c r="M3434" s="20" t="n">
        <x:v>760</x:v>
      </x:c>
      <x:c r="N3434" s="20" t="n">
        <x:f>IF(J3434=1,0,K3434-L3434)</x:f>
        <x:v>1008</x:v>
      </x:c>
      <x:c r="O3434" s="20" t="n">
        <x:f>N3434-M3434</x:f>
        <x:v>248</x:v>
      </x:c>
    </x:row>
    <x:row r="3435" ht="22" customHeight="1">
      <x:c r="A3435" s="11" t="n">
        <x:v>3431</x:v>
      </x:c>
      <x:c r="B3435" s="11" t="n">
        <x:v>1741</x:v>
      </x:c>
      <x:c r="C3435" s="18" t="n">
        <x:v>45668</x:v>
      </x:c>
      <x:c r="D3435" s="11" t="str">
        <x:v>2025-01</x:v>
      </x:c>
      <x:c r="E3435" s="11" t="str">
        <x:v>South</x:v>
      </x:c>
      <x:c r="F3435" s="11" t="str">
        <x:v>Furniture</x:v>
      </x:c>
      <x:c r="G3435" s="11" t="str">
        <x:v>Chair</x:v>
      </x:c>
      <x:c r="H3435" s="11" t="n">
        <x:v>1</x:v>
      </x:c>
      <x:c r="I3435" s="19" t="n">
        <x:v>0.1</x:v>
      </x:c>
      <x:c r="J3435" s="11" t="n">
        <x:v>1</x:v>
      </x:c>
      <x:c r="K3435" s="20" t="n">
        <x:v>170</x:v>
      </x:c>
      <x:c r="L3435" s="20" t="n">
        <x:v>17</x:v>
      </x:c>
      <x:c r="M3435" s="20" t="n">
        <x:v>0</x:v>
      </x:c>
      <x:c r="N3435" s="20" t="n">
        <x:f>IF(J3435=1,0,K3435-L3435)</x:f>
        <x:v>0</x:v>
      </x:c>
      <x:c r="O3435" s="20" t="n">
        <x:f>N3435-M3435</x:f>
        <x:v>0</x:v>
      </x:c>
    </x:row>
    <x:row r="3436" ht="22" customHeight="1">
      <x:c r="A3436" s="11" t="n">
        <x:v>3432</x:v>
      </x:c>
      <x:c r="B3436" s="11" t="n">
        <x:v>1741</x:v>
      </x:c>
      <x:c r="C3436" s="18" t="n">
        <x:v>45668</x:v>
      </x:c>
      <x:c r="D3436" s="11" t="str">
        <x:v>2025-01</x:v>
      </x:c>
      <x:c r="E3436" s="11" t="str">
        <x:v>South</x:v>
      </x:c>
      <x:c r="F3436" s="11" t="str">
        <x:v>Technology</x:v>
      </x:c>
      <x:c r="G3436" s="11" t="str">
        <x:v>Keyboard</x:v>
      </x:c>
      <x:c r="H3436" s="11" t="n">
        <x:v>3</x:v>
      </x:c>
      <x:c r="I3436" s="19" t="n">
        <x:v>0.15</x:v>
      </x:c>
      <x:c r="J3436" s="11" t="n">
        <x:v>0</x:v>
      </x:c>
      <x:c r="K3436" s="20" t="n">
        <x:v>195</x:v>
      </x:c>
      <x:c r="L3436" s="20" t="n">
        <x:v>29.25</x:v>
      </x:c>
      <x:c r="M3436" s="20" t="n">
        <x:v>96</x:v>
      </x:c>
      <x:c r="N3436" s="20" t="n">
        <x:f>IF(J3436=1,0,K3436-L3436)</x:f>
        <x:v>165.75</x:v>
      </x:c>
      <x:c r="O3436" s="20" t="n">
        <x:f>N3436-M3436</x:f>
        <x:v>69.75</x:v>
      </x:c>
    </x:row>
    <x:row r="3437" ht="22" customHeight="1">
      <x:c r="A3437" s="11" t="n">
        <x:v>3433</x:v>
      </x:c>
      <x:c r="B3437" s="11" t="n">
        <x:v>1742</x:v>
      </x:c>
      <x:c r="C3437" s="18" t="n">
        <x:v>45545</x:v>
      </x:c>
      <x:c r="D3437" s="11" t="str">
        <x:v>2024-09</x:v>
      </x:c>
      <x:c r="E3437" s="11" t="str">
        <x:v>South</x:v>
      </x:c>
      <x:c r="F3437" s="11" t="str">
        <x:v>Technology</x:v>
      </x:c>
      <x:c r="G3437" s="11" t="str">
        <x:v>Monitor</x:v>
      </x:c>
      <x:c r="H3437" s="11" t="n">
        <x:v>3</x:v>
      </x:c>
      <x:c r="I3437" s="19" t="n">
        <x:v>0.05</x:v>
      </x:c>
      <x:c r="J3437" s="11" t="n">
        <x:v>0</x:v>
      </x:c>
      <x:c r="K3437" s="20" t="n">
        <x:v>720</x:v>
      </x:c>
      <x:c r="L3437" s="20" t="n">
        <x:v>36</x:v>
      </x:c>
      <x:c r="M3437" s="20" t="n">
        <x:v>480</x:v>
      </x:c>
      <x:c r="N3437" s="20" t="n">
        <x:f>IF(J3437=1,0,K3437-L3437)</x:f>
        <x:v>684</x:v>
      </x:c>
      <x:c r="O3437" s="20" t="n">
        <x:f>N3437-M3437</x:f>
        <x:v>204</x:v>
      </x:c>
    </x:row>
    <x:row r="3438" ht="22" customHeight="1">
      <x:c r="A3438" s="11" t="n">
        <x:v>3434</x:v>
      </x:c>
      <x:c r="B3438" s="11" t="n">
        <x:v>1743</x:v>
      </x:c>
      <x:c r="C3438" s="18" t="n">
        <x:v>45349</x:v>
      </x:c>
      <x:c r="D3438" s="11" t="str">
        <x:v>2024-02</x:v>
      </x:c>
      <x:c r="E3438" s="11" t="str">
        <x:v>West</x:v>
      </x:c>
      <x:c r="F3438" s="11" t="str">
        <x:v>Office Supplies</x:v>
      </x:c>
      <x:c r="G3438" s="11" t="str">
        <x:v>Storage box</x:v>
      </x:c>
      <x:c r="H3438" s="11" t="n">
        <x:v>4</x:v>
      </x:c>
      <x:c r="I3438" s="19" t="n">
        <x:v>0</x:v>
      </x:c>
      <x:c r="J3438" s="11" t="n">
        <x:v>0</x:v>
      </x:c>
      <x:c r="K3438" s="20" t="n">
        <x:v>104</x:v>
      </x:c>
      <x:c r="L3438" s="20" t="n">
        <x:v>0</x:v>
      </x:c>
      <x:c r="M3438" s="20" t="n">
        <x:v>48</x:v>
      </x:c>
      <x:c r="N3438" s="20" t="n">
        <x:f>IF(J3438=1,0,K3438-L3438)</x:f>
        <x:v>104</x:v>
      </x:c>
      <x:c r="O3438" s="20" t="n">
        <x:f>N3438-M3438</x:f>
        <x:v>56</x:v>
      </x:c>
    </x:row>
    <x:row r="3439" ht="22" customHeight="1">
      <x:c r="A3439" s="11" t="n">
        <x:v>3435</x:v>
      </x:c>
      <x:c r="B3439" s="11" t="n">
        <x:v>1744</x:v>
      </x:c>
      <x:c r="C3439" s="18" t="n">
        <x:v>45989</x:v>
      </x:c>
      <x:c r="D3439" s="11" t="str">
        <x:v>2025-11</x:v>
      </x:c>
      <x:c r="E3439" s="11" t="str">
        <x:v>South</x:v>
      </x:c>
      <x:c r="F3439" s="11" t="str">
        <x:v>Office Supplies</x:v>
      </x:c>
      <x:c r="G3439" s="11" t="str">
        <x:v>Storage box</x:v>
      </x:c>
      <x:c r="H3439" s="11" t="n">
        <x:v>5</x:v>
      </x:c>
      <x:c r="I3439" s="19" t="n">
        <x:v>0.05</x:v>
      </x:c>
      <x:c r="J3439" s="11" t="n">
        <x:v>0</x:v>
      </x:c>
      <x:c r="K3439" s="20" t="n">
        <x:v>130</x:v>
      </x:c>
      <x:c r="L3439" s="20" t="n">
        <x:v>6.5</x:v>
      </x:c>
      <x:c r="M3439" s="20" t="n">
        <x:v>60</x:v>
      </x:c>
      <x:c r="N3439" s="20" t="n">
        <x:f>IF(J3439=1,0,K3439-L3439)</x:f>
        <x:v>123.5</x:v>
      </x:c>
      <x:c r="O3439" s="20" t="n">
        <x:f>N3439-M3439</x:f>
        <x:v>63.5</x:v>
      </x:c>
    </x:row>
    <x:row r="3440" ht="22" customHeight="1">
      <x:c r="A3440" s="11" t="n">
        <x:v>3436</x:v>
      </x:c>
      <x:c r="B3440" s="11" t="n">
        <x:v>1744</x:v>
      </x:c>
      <x:c r="C3440" s="18" t="n">
        <x:v>45989</x:v>
      </x:c>
      <x:c r="D3440" s="11" t="str">
        <x:v>2025-11</x:v>
      </x:c>
      <x:c r="E3440" s="11" t="str">
        <x:v>South</x:v>
      </x:c>
      <x:c r="F3440" s="11" t="str">
        <x:v>Furniture</x:v>
      </x:c>
      <x:c r="G3440" s="11" t="str">
        <x:v>Desk</x:v>
      </x:c>
      <x:c r="H3440" s="11" t="n">
        <x:v>2</x:v>
      </x:c>
      <x:c r="I3440" s="19" t="n">
        <x:v>0</x:v>
      </x:c>
      <x:c r="J3440" s="11" t="n">
        <x:v>0</x:v>
      </x:c>
      <x:c r="K3440" s="20" t="n">
        <x:v>560</x:v>
      </x:c>
      <x:c r="L3440" s="20" t="n">
        <x:v>0</x:v>
      </x:c>
      <x:c r="M3440" s="20" t="n">
        <x:v>380</x:v>
      </x:c>
      <x:c r="N3440" s="20" t="n">
        <x:f>IF(J3440=1,0,K3440-L3440)</x:f>
        <x:v>560</x:v>
      </x:c>
      <x:c r="O3440" s="20" t="n">
        <x:f>N3440-M3440</x:f>
        <x:v>180</x:v>
      </x:c>
    </x:row>
    <x:row r="3441" ht="22" customHeight="1">
      <x:c r="A3441" s="11" t="n">
        <x:v>3437</x:v>
      </x:c>
      <x:c r="B3441" s="11" t="n">
        <x:v>1744</x:v>
      </x:c>
      <x:c r="C3441" s="18" t="n">
        <x:v>45989</x:v>
      </x:c>
      <x:c r="D3441" s="11" t="str">
        <x:v>2025-11</x:v>
      </x:c>
      <x:c r="E3441" s="11" t="str">
        <x:v>South</x:v>
      </x:c>
      <x:c r="F3441" s="11" t="str">
        <x:v>Technology</x:v>
      </x:c>
      <x:c r="G3441" s="11" t="str">
        <x:v>Keyboard</x:v>
      </x:c>
      <x:c r="H3441" s="11" t="n">
        <x:v>5</x:v>
      </x:c>
      <x:c r="I3441" s="19" t="n">
        <x:v>0.1</x:v>
      </x:c>
      <x:c r="J3441" s="11" t="n">
        <x:v>0</x:v>
      </x:c>
      <x:c r="K3441" s="20" t="n">
        <x:v>325</x:v>
      </x:c>
      <x:c r="L3441" s="20" t="n">
        <x:v>32.5</x:v>
      </x:c>
      <x:c r="M3441" s="20" t="n">
        <x:v>160</x:v>
      </x:c>
      <x:c r="N3441" s="20" t="n">
        <x:f>IF(J3441=1,0,K3441-L3441)</x:f>
        <x:v>292.5</x:v>
      </x:c>
      <x:c r="O3441" s="20" t="n">
        <x:f>N3441-M3441</x:f>
        <x:v>132.5</x:v>
      </x:c>
    </x:row>
    <x:row r="3442" ht="22" customHeight="1">
      <x:c r="A3442" s="11" t="n">
        <x:v>3438</x:v>
      </x:c>
      <x:c r="B3442" s="11" t="n">
        <x:v>1745</x:v>
      </x:c>
      <x:c r="C3442" s="18" t="n">
        <x:v>45862</x:v>
      </x:c>
      <x:c r="D3442" s="11" t="str">
        <x:v>2025-07</x:v>
      </x:c>
      <x:c r="E3442" s="11" t="str">
        <x:v>West</x:v>
      </x:c>
      <x:c r="F3442" s="11" t="str">
        <x:v>Furniture</x:v>
      </x:c>
      <x:c r="G3442" s="11" t="str">
        <x:v>Chair</x:v>
      </x:c>
      <x:c r="H3442" s="11" t="n">
        <x:v>3</x:v>
      </x:c>
      <x:c r="I3442" s="19" t="n">
        <x:v>0.1</x:v>
      </x:c>
      <x:c r="J3442" s="11" t="n">
        <x:v>0</x:v>
      </x:c>
      <x:c r="K3442" s="20" t="n">
        <x:v>510</x:v>
      </x:c>
      <x:c r="L3442" s="20" t="n">
        <x:v>51</x:v>
      </x:c>
      <x:c r="M3442" s="20" t="n">
        <x:v>330</x:v>
      </x:c>
      <x:c r="N3442" s="20" t="n">
        <x:f>IF(J3442=1,0,K3442-L3442)</x:f>
        <x:v>459</x:v>
      </x:c>
      <x:c r="O3442" s="20" t="n">
        <x:f>N3442-M3442</x:f>
        <x:v>129</x:v>
      </x:c>
    </x:row>
    <x:row r="3443" ht="22" customHeight="1">
      <x:c r="A3443" s="11" t="n">
        <x:v>3439</x:v>
      </x:c>
      <x:c r="B3443" s="11" t="n">
        <x:v>1746</x:v>
      </x:c>
      <x:c r="C3443" s="18" t="n">
        <x:v>45472</x:v>
      </x:c>
      <x:c r="D3443" s="11" t="str">
        <x:v>2024-06</x:v>
      </x:c>
      <x:c r="E3443" s="11" t="str">
        <x:v>West</x:v>
      </x:c>
      <x:c r="F3443" s="11" t="str">
        <x:v>Technology</x:v>
      </x:c>
      <x:c r="G3443" s="11" t="str">
        <x:v>Monitor</x:v>
      </x:c>
      <x:c r="H3443" s="11" t="n">
        <x:v>1</x:v>
      </x:c>
      <x:c r="I3443" s="19" t="n">
        <x:v>0</x:v>
      </x:c>
      <x:c r="J3443" s="11" t="n">
        <x:v>0</x:v>
      </x:c>
      <x:c r="K3443" s="20" t="n">
        <x:v>240</x:v>
      </x:c>
      <x:c r="L3443" s="20" t="n">
        <x:v>0</x:v>
      </x:c>
      <x:c r="M3443" s="20" t="n">
        <x:v>160</x:v>
      </x:c>
      <x:c r="N3443" s="20" t="n">
        <x:f>IF(J3443=1,0,K3443-L3443)</x:f>
        <x:v>240</x:v>
      </x:c>
      <x:c r="O3443" s="20" t="n">
        <x:f>N3443-M3443</x:f>
        <x:v>80</x:v>
      </x:c>
    </x:row>
    <x:row r="3444" ht="22" customHeight="1">
      <x:c r="A3444" s="11" t="n">
        <x:v>3440</x:v>
      </x:c>
      <x:c r="B3444" s="11" t="n">
        <x:v>1746</x:v>
      </x:c>
      <x:c r="C3444" s="18" t="n">
        <x:v>45472</x:v>
      </x:c>
      <x:c r="D3444" s="11" t="str">
        <x:v>2024-06</x:v>
      </x:c>
      <x:c r="E3444" s="11" t="str">
        <x:v>West</x:v>
      </x:c>
      <x:c r="F3444" s="11" t="str">
        <x:v>Technology</x:v>
      </x:c>
      <x:c r="G3444" s="11" t="str">
        <x:v>Keyboard</x:v>
      </x:c>
      <x:c r="H3444" s="11" t="n">
        <x:v>2</x:v>
      </x:c>
      <x:c r="I3444" s="19" t="n">
        <x:v>0</x:v>
      </x:c>
      <x:c r="J3444" s="11" t="n">
        <x:v>0</x:v>
      </x:c>
      <x:c r="K3444" s="20" t="n">
        <x:v>130</x:v>
      </x:c>
      <x:c r="L3444" s="20" t="n">
        <x:v>0</x:v>
      </x:c>
      <x:c r="M3444" s="20" t="n">
        <x:v>64</x:v>
      </x:c>
      <x:c r="N3444" s="20" t="n">
        <x:f>IF(J3444=1,0,K3444-L3444)</x:f>
        <x:v>130</x:v>
      </x:c>
      <x:c r="O3444" s="20" t="n">
        <x:f>N3444-M3444</x:f>
        <x:v>66</x:v>
      </x:c>
    </x:row>
    <x:row r="3445" ht="22" customHeight="1">
      <x:c r="A3445" s="11" t="n">
        <x:v>3441</x:v>
      </x:c>
      <x:c r="B3445" s="11" t="n">
        <x:v>1747</x:v>
      </x:c>
      <x:c r="C3445" s="18" t="n">
        <x:v>45712</x:v>
      </x:c>
      <x:c r="D3445" s="11" t="str">
        <x:v>2025-02</x:v>
      </x:c>
      <x:c r="E3445" s="11" t="str">
        <x:v>East</x:v>
      </x:c>
      <x:c r="F3445" s="11" t="str">
        <x:v>Technology</x:v>
      </x:c>
      <x:c r="G3445" s="11" t="str">
        <x:v>Keyboard</x:v>
      </x:c>
      <x:c r="H3445" s="11" t="n">
        <x:v>4</x:v>
      </x:c>
      <x:c r="I3445" s="19" t="n">
        <x:v>0.1</x:v>
      </x:c>
      <x:c r="J3445" s="11" t="n">
        <x:v>0</x:v>
      </x:c>
      <x:c r="K3445" s="20" t="n">
        <x:v>260</x:v>
      </x:c>
      <x:c r="L3445" s="20" t="n">
        <x:v>26</x:v>
      </x:c>
      <x:c r="M3445" s="20" t="n">
        <x:v>128</x:v>
      </x:c>
      <x:c r="N3445" s="20" t="n">
        <x:f>IF(J3445=1,0,K3445-L3445)</x:f>
        <x:v>234</x:v>
      </x:c>
      <x:c r="O3445" s="20" t="n">
        <x:f>N3445-M3445</x:f>
        <x:v>106</x:v>
      </x:c>
    </x:row>
    <x:row r="3446" ht="22" customHeight="1">
      <x:c r="A3446" s="11" t="n">
        <x:v>3442</x:v>
      </x:c>
      <x:c r="B3446" s="11" t="n">
        <x:v>1748</x:v>
      </x:c>
      <x:c r="C3446" s="18" t="n">
        <x:v>45732</x:v>
      </x:c>
      <x:c r="D3446" s="11" t="str">
        <x:v>2025-03</x:v>
      </x:c>
      <x:c r="E3446" s="11" t="str">
        <x:v>West</x:v>
      </x:c>
      <x:c r="F3446" s="11" t="str">
        <x:v>Furniture</x:v>
      </x:c>
      <x:c r="G3446" s="11" t="str">
        <x:v>Chair</x:v>
      </x:c>
      <x:c r="H3446" s="11" t="n">
        <x:v>4</x:v>
      </x:c>
      <x:c r="I3446" s="19" t="n">
        <x:v>0</x:v>
      </x:c>
      <x:c r="J3446" s="11" t="n">
        <x:v>0</x:v>
      </x:c>
      <x:c r="K3446" s="20" t="n">
        <x:v>680</x:v>
      </x:c>
      <x:c r="L3446" s="20" t="n">
        <x:v>0</x:v>
      </x:c>
      <x:c r="M3446" s="20" t="n">
        <x:v>440</x:v>
      </x:c>
      <x:c r="N3446" s="20" t="n">
        <x:f>IF(J3446=1,0,K3446-L3446)</x:f>
        <x:v>680</x:v>
      </x:c>
      <x:c r="O3446" s="20" t="n">
        <x:f>N3446-M3446</x:f>
        <x:v>240</x:v>
      </x:c>
    </x:row>
    <x:row r="3447" ht="22" customHeight="1">
      <x:c r="A3447" s="11" t="n">
        <x:v>3443</x:v>
      </x:c>
      <x:c r="B3447" s="11" t="n">
        <x:v>1748</x:v>
      </x:c>
      <x:c r="C3447" s="18" t="n">
        <x:v>45732</x:v>
      </x:c>
      <x:c r="D3447" s="11" t="str">
        <x:v>2025-03</x:v>
      </x:c>
      <x:c r="E3447" s="11" t="str">
        <x:v>West</x:v>
      </x:c>
      <x:c r="F3447" s="11" t="str">
        <x:v>Office Supplies</x:v>
      </x:c>
      <x:c r="G3447" s="11" t="str">
        <x:v>Storage box</x:v>
      </x:c>
      <x:c r="H3447" s="11" t="n">
        <x:v>1</x:v>
      </x:c>
      <x:c r="I3447" s="19" t="n">
        <x:v>0</x:v>
      </x:c>
      <x:c r="J3447" s="11" t="n">
        <x:v>0</x:v>
      </x:c>
      <x:c r="K3447" s="20" t="n">
        <x:v>26</x:v>
      </x:c>
      <x:c r="L3447" s="20" t="n">
        <x:v>0</x:v>
      </x:c>
      <x:c r="M3447" s="20" t="n">
        <x:v>12</x:v>
      </x:c>
      <x:c r="N3447" s="20" t="n">
        <x:f>IF(J3447=1,0,K3447-L3447)</x:f>
        <x:v>26</x:v>
      </x:c>
      <x:c r="O3447" s="20" t="n">
        <x:f>N3447-M3447</x:f>
        <x:v>14</x:v>
      </x:c>
    </x:row>
    <x:row r="3448" ht="22" customHeight="1">
      <x:c r="A3448" s="11" t="n">
        <x:v>3444</x:v>
      </x:c>
      <x:c r="B3448" s="11" t="n">
        <x:v>1749</x:v>
      </x:c>
      <x:c r="C3448" s="18" t="n">
        <x:v>45936</x:v>
      </x:c>
      <x:c r="D3448" s="11" t="str">
        <x:v>2025-10</x:v>
      </x:c>
      <x:c r="E3448" s="11" t="str">
        <x:v>Central</x:v>
      </x:c>
      <x:c r="F3448" s="11" t="str">
        <x:v>Technology</x:v>
      </x:c>
      <x:c r="G3448" s="11" t="str">
        <x:v>Keyboard</x:v>
      </x:c>
      <x:c r="H3448" s="11" t="n">
        <x:v>5</x:v>
      </x:c>
      <x:c r="I3448" s="19" t="n">
        <x:v>0</x:v>
      </x:c>
      <x:c r="J3448" s="11" t="n">
        <x:v>1</x:v>
      </x:c>
      <x:c r="K3448" s="20" t="n">
        <x:v>325</x:v>
      </x:c>
      <x:c r="L3448" s="20" t="n">
        <x:v>0</x:v>
      </x:c>
      <x:c r="M3448" s="20" t="n">
        <x:v>0</x:v>
      </x:c>
      <x:c r="N3448" s="20" t="n">
        <x:f>IF(J3448=1,0,K3448-L3448)</x:f>
        <x:v>0</x:v>
      </x:c>
      <x:c r="O3448" s="20" t="n">
        <x:f>N3448-M3448</x:f>
        <x:v>0</x:v>
      </x:c>
    </x:row>
    <x:row r="3449" ht="22" customHeight="1">
      <x:c r="A3449" s="11" t="n">
        <x:v>3445</x:v>
      </x:c>
      <x:c r="B3449" s="11" t="n">
        <x:v>1750</x:v>
      </x:c>
      <x:c r="C3449" s="18" t="n">
        <x:v>45668</x:v>
      </x:c>
      <x:c r="D3449" s="11" t="str">
        <x:v>2025-01</x:v>
      </x:c>
      <x:c r="E3449" s="11" t="str">
        <x:v>South</x:v>
      </x:c>
      <x:c r="F3449" s="11" t="str">
        <x:v>Furniture</x:v>
      </x:c>
      <x:c r="G3449" s="11" t="str">
        <x:v>Desk</x:v>
      </x:c>
      <x:c r="H3449" s="11" t="n">
        <x:v>2</x:v>
      </x:c>
      <x:c r="I3449" s="19" t="n">
        <x:v>0.35</x:v>
      </x:c>
      <x:c r="J3449" s="11" t="n">
        <x:v>0</x:v>
      </x:c>
      <x:c r="K3449" s="20" t="n">
        <x:v>560</x:v>
      </x:c>
      <x:c r="L3449" s="20" t="n">
        <x:v>196</x:v>
      </x:c>
      <x:c r="M3449" s="20" t="n">
        <x:v>380</x:v>
      </x:c>
      <x:c r="N3449" s="20" t="n">
        <x:f>IF(J3449=1,0,K3449-L3449)</x:f>
        <x:v>364</x:v>
      </x:c>
      <x:c r="O3449" s="20" t="n">
        <x:f>N3449-M3449</x:f>
        <x:v>-16</x:v>
      </x:c>
    </x:row>
    <x:row r="3450" ht="22" customHeight="1">
      <x:c r="A3450" s="11" t="n">
        <x:v>3446</x:v>
      </x:c>
      <x:c r="B3450" s="11" t="n">
        <x:v>1751</x:v>
      </x:c>
      <x:c r="C3450" s="18" t="n">
        <x:v>45474</x:v>
      </x:c>
      <x:c r="D3450" s="11" t="str">
        <x:v>2024-07</x:v>
      </x:c>
      <x:c r="E3450" s="11" t="str">
        <x:v>Central</x:v>
      </x:c>
      <x:c r="F3450" s="11" t="str">
        <x:v>Technology</x:v>
      </x:c>
      <x:c r="G3450" s="11" t="str">
        <x:v>Monitor</x:v>
      </x:c>
      <x:c r="H3450" s="11" t="n">
        <x:v>2</x:v>
      </x:c>
      <x:c r="I3450" s="19" t="n">
        <x:v>0.05</x:v>
      </x:c>
      <x:c r="J3450" s="11" t="n">
        <x:v>0</x:v>
      </x:c>
      <x:c r="K3450" s="20" t="n">
        <x:v>480</x:v>
      </x:c>
      <x:c r="L3450" s="20" t="n">
        <x:v>24</x:v>
      </x:c>
      <x:c r="M3450" s="20" t="n">
        <x:v>320</x:v>
      </x:c>
      <x:c r="N3450" s="20" t="n">
        <x:f>IF(J3450=1,0,K3450-L3450)</x:f>
        <x:v>456</x:v>
      </x:c>
      <x:c r="O3450" s="20" t="n">
        <x:f>N3450-M3450</x:f>
        <x:v>136</x:v>
      </x:c>
    </x:row>
    <x:row r="3451" ht="22" customHeight="1">
      <x:c r="A3451" s="11" t="n">
        <x:v>3447</x:v>
      </x:c>
      <x:c r="B3451" s="11" t="n">
        <x:v>1752</x:v>
      </x:c>
      <x:c r="C3451" s="18" t="n">
        <x:v>45491</x:v>
      </x:c>
      <x:c r="D3451" s="11" t="str">
        <x:v>2024-07</x:v>
      </x:c>
      <x:c r="E3451" s="11" t="str">
        <x:v>West</x:v>
      </x:c>
      <x:c r="F3451" s="11" t="str">
        <x:v>Office Supplies</x:v>
      </x:c>
      <x:c r="G3451" s="11" t="str">
        <x:v>Notebook pack</x:v>
      </x:c>
      <x:c r="H3451" s="11" t="n">
        <x:v>3</x:v>
      </x:c>
      <x:c r="I3451" s="19" t="n">
        <x:v>0</x:v>
      </x:c>
      <x:c r="J3451" s="11" t="n">
        <x:v>0</x:v>
      </x:c>
      <x:c r="K3451" s="20" t="n">
        <x:v>54</x:v>
      </x:c>
      <x:c r="L3451" s="20" t="n">
        <x:v>0</x:v>
      </x:c>
      <x:c r="M3451" s="20" t="n">
        <x:v>21</x:v>
      </x:c>
      <x:c r="N3451" s="20" t="n">
        <x:f>IF(J3451=1,0,K3451-L3451)</x:f>
        <x:v>54</x:v>
      </x:c>
      <x:c r="O3451" s="20" t="n">
        <x:f>N3451-M3451</x:f>
        <x:v>33</x:v>
      </x:c>
    </x:row>
    <x:row r="3452" ht="22" customHeight="1">
      <x:c r="A3452" s="11" t="n">
        <x:v>3448</x:v>
      </x:c>
      <x:c r="B3452" s="11" t="n">
        <x:v>1753</x:v>
      </x:c>
      <x:c r="C3452" s="18" t="n">
        <x:v>46000</x:v>
      </x:c>
      <x:c r="D3452" s="11" t="str">
        <x:v>2025-12</x:v>
      </x:c>
      <x:c r="E3452" s="11" t="str">
        <x:v>West</x:v>
      </x:c>
      <x:c r="F3452" s="11" t="str">
        <x:v>Office Supplies</x:v>
      </x:c>
      <x:c r="G3452" s="11" t="str">
        <x:v>Notebook pack</x:v>
      </x:c>
      <x:c r="H3452" s="11" t="n">
        <x:v>4</x:v>
      </x:c>
      <x:c r="I3452" s="19" t="n">
        <x:v>0</x:v>
      </x:c>
      <x:c r="J3452" s="11" t="n">
        <x:v>0</x:v>
      </x:c>
      <x:c r="K3452" s="20" t="n">
        <x:v>72</x:v>
      </x:c>
      <x:c r="L3452" s="20" t="n">
        <x:v>0</x:v>
      </x:c>
      <x:c r="M3452" s="20" t="n">
        <x:v>28</x:v>
      </x:c>
      <x:c r="N3452" s="20" t="n">
        <x:f>IF(J3452=1,0,K3452-L3452)</x:f>
        <x:v>72</x:v>
      </x:c>
      <x:c r="O3452" s="20" t="n">
        <x:f>N3452-M3452</x:f>
        <x:v>44</x:v>
      </x:c>
    </x:row>
    <x:row r="3453" ht="22" customHeight="1">
      <x:c r="A3453" s="11" t="n">
        <x:v>3449</x:v>
      </x:c>
      <x:c r="B3453" s="11" t="n">
        <x:v>1753</x:v>
      </x:c>
      <x:c r="C3453" s="18" t="n">
        <x:v>46000</x:v>
      </x:c>
      <x:c r="D3453" s="11" t="str">
        <x:v>2025-12</x:v>
      </x:c>
      <x:c r="E3453" s="11" t="str">
        <x:v>West</x:v>
      </x:c>
      <x:c r="F3453" s="11" t="str">
        <x:v>Furniture</x:v>
      </x:c>
      <x:c r="G3453" s="11" t="str">
        <x:v>Desk</x:v>
      </x:c>
      <x:c r="H3453" s="11" t="n">
        <x:v>2</x:v>
      </x:c>
      <x:c r="I3453" s="19" t="n">
        <x:v>0</x:v>
      </x:c>
      <x:c r="J3453" s="11" t="n">
        <x:v>0</x:v>
      </x:c>
      <x:c r="K3453" s="20" t="n">
        <x:v>560</x:v>
      </x:c>
      <x:c r="L3453" s="20" t="n">
        <x:v>0</x:v>
      </x:c>
      <x:c r="M3453" s="20" t="n">
        <x:v>380</x:v>
      </x:c>
      <x:c r="N3453" s="20" t="n">
        <x:f>IF(J3453=1,0,K3453-L3453)</x:f>
        <x:v>560</x:v>
      </x:c>
      <x:c r="O3453" s="20" t="n">
        <x:f>N3453-M3453</x:f>
        <x:v>180</x:v>
      </x:c>
    </x:row>
    <x:row r="3454" ht="22" customHeight="1">
      <x:c r="A3454" s="11" t="n">
        <x:v>3450</x:v>
      </x:c>
      <x:c r="B3454" s="11" t="n">
        <x:v>1754</x:v>
      </x:c>
      <x:c r="C3454" s="18" t="n">
        <x:v>45929</x:v>
      </x:c>
      <x:c r="D3454" s="11" t="str">
        <x:v>2025-09</x:v>
      </x:c>
      <x:c r="E3454" s="11" t="str">
        <x:v>South</x:v>
      </x:c>
      <x:c r="F3454" s="11" t="str">
        <x:v>Furniture</x:v>
      </x:c>
      <x:c r="G3454" s="11" t="str">
        <x:v>Chair</x:v>
      </x:c>
      <x:c r="H3454" s="11" t="n">
        <x:v>2</x:v>
      </x:c>
      <x:c r="I3454" s="19" t="n">
        <x:v>0</x:v>
      </x:c>
      <x:c r="J3454" s="11" t="n">
        <x:v>0</x:v>
      </x:c>
      <x:c r="K3454" s="20" t="n">
        <x:v>340</x:v>
      </x:c>
      <x:c r="L3454" s="20" t="n">
        <x:v>0</x:v>
      </x:c>
      <x:c r="M3454" s="20" t="n">
        <x:v>220</x:v>
      </x:c>
      <x:c r="N3454" s="20" t="n">
        <x:f>IF(J3454=1,0,K3454-L3454)</x:f>
        <x:v>340</x:v>
      </x:c>
      <x:c r="O3454" s="20" t="n">
        <x:f>N3454-M3454</x:f>
        <x:v>120</x:v>
      </x:c>
    </x:row>
    <x:row r="3455" ht="22" customHeight="1">
      <x:c r="A3455" s="11" t="n">
        <x:v>3451</x:v>
      </x:c>
      <x:c r="B3455" s="11" t="n">
        <x:v>1754</x:v>
      </x:c>
      <x:c r="C3455" s="18" t="n">
        <x:v>45929</x:v>
      </x:c>
      <x:c r="D3455" s="11" t="str">
        <x:v>2025-09</x:v>
      </x:c>
      <x:c r="E3455" s="11" t="str">
        <x:v>South</x:v>
      </x:c>
      <x:c r="F3455" s="11" t="str">
        <x:v>Office Supplies</x:v>
      </x:c>
      <x:c r="G3455" s="11" t="str">
        <x:v>Notebook pack</x:v>
      </x:c>
      <x:c r="H3455" s="11" t="n">
        <x:v>2</x:v>
      </x:c>
      <x:c r="I3455" s="19" t="n">
        <x:v>0.15</x:v>
      </x:c>
      <x:c r="J3455" s="11" t="n">
        <x:v>0</x:v>
      </x:c>
      <x:c r="K3455" s="20" t="n">
        <x:v>36</x:v>
      </x:c>
      <x:c r="L3455" s="20" t="n">
        <x:v>5.4</x:v>
      </x:c>
      <x:c r="M3455" s="20" t="n">
        <x:v>14</x:v>
      </x:c>
      <x:c r="N3455" s="20" t="n">
        <x:f>IF(J3455=1,0,K3455-L3455)</x:f>
        <x:v>30.6</x:v>
      </x:c>
      <x:c r="O3455" s="20" t="n">
        <x:f>N3455-M3455</x:f>
        <x:v>16.6</x:v>
      </x:c>
    </x:row>
    <x:row r="3456" ht="22" customHeight="1">
      <x:c r="A3456" s="11" t="n">
        <x:v>3452</x:v>
      </x:c>
      <x:c r="B3456" s="11" t="n">
        <x:v>1754</x:v>
      </x:c>
      <x:c r="C3456" s="18" t="n">
        <x:v>45929</x:v>
      </x:c>
      <x:c r="D3456" s="11" t="str">
        <x:v>2025-09</x:v>
      </x:c>
      <x:c r="E3456" s="11" t="str">
        <x:v>South</x:v>
      </x:c>
      <x:c r="F3456" s="11" t="str">
        <x:v>Technology</x:v>
      </x:c>
      <x:c r="G3456" s="11" t="str">
        <x:v>Keyboard</x:v>
      </x:c>
      <x:c r="H3456" s="11" t="n">
        <x:v>4</x:v>
      </x:c>
      <x:c r="I3456" s="19" t="n">
        <x:v>0</x:v>
      </x:c>
      <x:c r="J3456" s="11" t="n">
        <x:v>0</x:v>
      </x:c>
      <x:c r="K3456" s="20" t="n">
        <x:v>260</x:v>
      </x:c>
      <x:c r="L3456" s="20" t="n">
        <x:v>0</x:v>
      </x:c>
      <x:c r="M3456" s="20" t="n">
        <x:v>128</x:v>
      </x:c>
      <x:c r="N3456" s="20" t="n">
        <x:f>IF(J3456=1,0,K3456-L3456)</x:f>
        <x:v>260</x:v>
      </x:c>
      <x:c r="O3456" s="20" t="n">
        <x:f>N3456-M3456</x:f>
        <x:v>132</x:v>
      </x:c>
    </x:row>
    <x:row r="3457" ht="22" customHeight="1">
      <x:c r="A3457" s="11" t="n">
        <x:v>3453</x:v>
      </x:c>
      <x:c r="B3457" s="11" t="n">
        <x:v>1755</x:v>
      </x:c>
      <x:c r="C3457" s="18" t="n">
        <x:v>45674</x:v>
      </x:c>
      <x:c r="D3457" s="11" t="str">
        <x:v>2025-01</x:v>
      </x:c>
      <x:c r="E3457" s="11" t="str">
        <x:v>East</x:v>
      </x:c>
      <x:c r="F3457" s="11" t="str">
        <x:v>Office Supplies</x:v>
      </x:c>
      <x:c r="G3457" s="11" t="str">
        <x:v>Storage box</x:v>
      </x:c>
      <x:c r="H3457" s="11" t="n">
        <x:v>2</x:v>
      </x:c>
      <x:c r="I3457" s="19" t="n">
        <x:v>0</x:v>
      </x:c>
      <x:c r="J3457" s="11" t="n">
        <x:v>0</x:v>
      </x:c>
      <x:c r="K3457" s="20" t="n">
        <x:v>52</x:v>
      </x:c>
      <x:c r="L3457" s="20" t="n">
        <x:v>0</x:v>
      </x:c>
      <x:c r="M3457" s="20" t="n">
        <x:v>24</x:v>
      </x:c>
      <x:c r="N3457" s="20" t="n">
        <x:f>IF(J3457=1,0,K3457-L3457)</x:f>
        <x:v>52</x:v>
      </x:c>
      <x:c r="O3457" s="20" t="n">
        <x:f>N3457-M3457</x:f>
        <x:v>28</x:v>
      </x:c>
    </x:row>
    <x:row r="3458" ht="22" customHeight="1">
      <x:c r="A3458" s="11" t="n">
        <x:v>3454</x:v>
      </x:c>
      <x:c r="B3458" s="11" t="n">
        <x:v>1755</x:v>
      </x:c>
      <x:c r="C3458" s="18" t="n">
        <x:v>45674</x:v>
      </x:c>
      <x:c r="D3458" s="11" t="str">
        <x:v>2025-01</x:v>
      </x:c>
      <x:c r="E3458" s="11" t="str">
        <x:v>East</x:v>
      </x:c>
      <x:c r="F3458" s="11" t="str">
        <x:v>Furniture</x:v>
      </x:c>
      <x:c r="G3458" s="11" t="str">
        <x:v>Chair</x:v>
      </x:c>
      <x:c r="H3458" s="11" t="n">
        <x:v>4</x:v>
      </x:c>
      <x:c r="I3458" s="19" t="n">
        <x:v>0.05</x:v>
      </x:c>
      <x:c r="J3458" s="11" t="n">
        <x:v>0</x:v>
      </x:c>
      <x:c r="K3458" s="20" t="n">
        <x:v>680</x:v>
      </x:c>
      <x:c r="L3458" s="20" t="n">
        <x:v>34</x:v>
      </x:c>
      <x:c r="M3458" s="20" t="n">
        <x:v>440</x:v>
      </x:c>
      <x:c r="N3458" s="20" t="n">
        <x:f>IF(J3458=1,0,K3458-L3458)</x:f>
        <x:v>646</x:v>
      </x:c>
      <x:c r="O3458" s="20" t="n">
        <x:f>N3458-M3458</x:f>
        <x:v>206</x:v>
      </x:c>
    </x:row>
    <x:row r="3459" ht="22" customHeight="1">
      <x:c r="A3459" s="11" t="n">
        <x:v>3455</x:v>
      </x:c>
      <x:c r="B3459" s="11" t="n">
        <x:v>1755</x:v>
      </x:c>
      <x:c r="C3459" s="18" t="n">
        <x:v>45674</x:v>
      </x:c>
      <x:c r="D3459" s="11" t="str">
        <x:v>2025-01</x:v>
      </x:c>
      <x:c r="E3459" s="11" t="str">
        <x:v>East</x:v>
      </x:c>
      <x:c r="F3459" s="11" t="str">
        <x:v>Office Supplies</x:v>
      </x:c>
      <x:c r="G3459" s="11" t="str">
        <x:v>Notebook pack</x:v>
      </x:c>
      <x:c r="H3459" s="11" t="n">
        <x:v>2</x:v>
      </x:c>
      <x:c r="I3459" s="19" t="n">
        <x:v>0.15</x:v>
      </x:c>
      <x:c r="J3459" s="11" t="n">
        <x:v>0</x:v>
      </x:c>
      <x:c r="K3459" s="20" t="n">
        <x:v>36</x:v>
      </x:c>
      <x:c r="L3459" s="20" t="n">
        <x:v>5.4</x:v>
      </x:c>
      <x:c r="M3459" s="20" t="n">
        <x:v>14</x:v>
      </x:c>
      <x:c r="N3459" s="20" t="n">
        <x:f>IF(J3459=1,0,K3459-L3459)</x:f>
        <x:v>30.6</x:v>
      </x:c>
      <x:c r="O3459" s="20" t="n">
        <x:f>N3459-M3459</x:f>
        <x:v>16.6</x:v>
      </x:c>
    </x:row>
    <x:row r="3460" ht="22" customHeight="1">
      <x:c r="A3460" s="11" t="n">
        <x:v>3456</x:v>
      </x:c>
      <x:c r="B3460" s="11" t="n">
        <x:v>1756</x:v>
      </x:c>
      <x:c r="C3460" s="18" t="n">
        <x:v>45470</x:v>
      </x:c>
      <x:c r="D3460" s="11" t="str">
        <x:v>2024-06</x:v>
      </x:c>
      <x:c r="E3460" s="11" t="str">
        <x:v>East</x:v>
      </x:c>
      <x:c r="F3460" s="11" t="str">
        <x:v>Technology</x:v>
      </x:c>
      <x:c r="G3460" s="11" t="str">
        <x:v>Keyboard</x:v>
      </x:c>
      <x:c r="H3460" s="11" t="n">
        <x:v>3</x:v>
      </x:c>
      <x:c r="I3460" s="19" t="n">
        <x:v>0</x:v>
      </x:c>
      <x:c r="J3460" s="11" t="n">
        <x:v>0</x:v>
      </x:c>
      <x:c r="K3460" s="20" t="n">
        <x:v>195</x:v>
      </x:c>
      <x:c r="L3460" s="20" t="n">
        <x:v>0</x:v>
      </x:c>
      <x:c r="M3460" s="20" t="n">
        <x:v>96</x:v>
      </x:c>
      <x:c r="N3460" s="20" t="n">
        <x:f>IF(J3460=1,0,K3460-L3460)</x:f>
        <x:v>195</x:v>
      </x:c>
      <x:c r="O3460" s="20" t="n">
        <x:f>N3460-M3460</x:f>
        <x:v>99</x:v>
      </x:c>
    </x:row>
    <x:row r="3461" ht="22" customHeight="1">
      <x:c r="A3461" s="11" t="n">
        <x:v>3457</x:v>
      </x:c>
      <x:c r="B3461" s="11" t="n">
        <x:v>1756</x:v>
      </x:c>
      <x:c r="C3461" s="18" t="n">
        <x:v>45470</x:v>
      </x:c>
      <x:c r="D3461" s="11" t="str">
        <x:v>2024-06</x:v>
      </x:c>
      <x:c r="E3461" s="11" t="str">
        <x:v>East</x:v>
      </x:c>
      <x:c r="F3461" s="11" t="str">
        <x:v>Furniture</x:v>
      </x:c>
      <x:c r="G3461" s="11" t="str">
        <x:v>Chair</x:v>
      </x:c>
      <x:c r="H3461" s="11" t="n">
        <x:v>4</x:v>
      </x:c>
      <x:c r="I3461" s="19" t="n">
        <x:v>0.25</x:v>
      </x:c>
      <x:c r="J3461" s="11" t="n">
        <x:v>0</x:v>
      </x:c>
      <x:c r="K3461" s="20" t="n">
        <x:v>680</x:v>
      </x:c>
      <x:c r="L3461" s="20" t="n">
        <x:v>170</x:v>
      </x:c>
      <x:c r="M3461" s="20" t="n">
        <x:v>440</x:v>
      </x:c>
      <x:c r="N3461" s="20" t="n">
        <x:f>IF(J3461=1,0,K3461-L3461)</x:f>
        <x:v>510</x:v>
      </x:c>
      <x:c r="O3461" s="20" t="n">
        <x:f>N3461-M3461</x:f>
        <x:v>70</x:v>
      </x:c>
    </x:row>
    <x:row r="3462" ht="22" customHeight="1">
      <x:c r="A3462" s="11" t="n">
        <x:v>3458</x:v>
      </x:c>
      <x:c r="B3462" s="11" t="n">
        <x:v>1757</x:v>
      </x:c>
      <x:c r="C3462" s="18" t="n">
        <x:v>45650</x:v>
      </x:c>
      <x:c r="D3462" s="11" t="str">
        <x:v>2024-12</x:v>
      </x:c>
      <x:c r="E3462" s="11" t="str">
        <x:v>South</x:v>
      </x:c>
      <x:c r="F3462" s="11" t="str">
        <x:v>Furniture</x:v>
      </x:c>
      <x:c r="G3462" s="11" t="str">
        <x:v>Desk</x:v>
      </x:c>
      <x:c r="H3462" s="11" t="n">
        <x:v>5</x:v>
      </x:c>
      <x:c r="I3462" s="19" t="n">
        <x:v>0.35</x:v>
      </x:c>
      <x:c r="J3462" s="11" t="n">
        <x:v>1</x:v>
      </x:c>
      <x:c r="K3462" s="20" t="n">
        <x:v>1400</x:v>
      </x:c>
      <x:c r="L3462" s="20" t="n">
        <x:v>490</x:v>
      </x:c>
      <x:c r="M3462" s="20" t="n">
        <x:v>0</x:v>
      </x:c>
      <x:c r="N3462" s="20" t="n">
        <x:f>IF(J3462=1,0,K3462-L3462)</x:f>
        <x:v>0</x:v>
      </x:c>
      <x:c r="O3462" s="20" t="n">
        <x:f>N3462-M3462</x:f>
        <x:v>0</x:v>
      </x:c>
    </x:row>
    <x:row r="3463" ht="22" customHeight="1">
      <x:c r="A3463" s="11" t="n">
        <x:v>3459</x:v>
      </x:c>
      <x:c r="B3463" s="11" t="n">
        <x:v>1757</x:v>
      </x:c>
      <x:c r="C3463" s="18" t="n">
        <x:v>45650</x:v>
      </x:c>
      <x:c r="D3463" s="11" t="str">
        <x:v>2024-12</x:v>
      </x:c>
      <x:c r="E3463" s="11" t="str">
        <x:v>South</x:v>
      </x:c>
      <x:c r="F3463" s="11" t="str">
        <x:v>Office Supplies</x:v>
      </x:c>
      <x:c r="G3463" s="11" t="str">
        <x:v>Storage box</x:v>
      </x:c>
      <x:c r="H3463" s="11" t="n">
        <x:v>2</x:v>
      </x:c>
      <x:c r="I3463" s="19" t="n">
        <x:v>0.1</x:v>
      </x:c>
      <x:c r="J3463" s="11" t="n">
        <x:v>0</x:v>
      </x:c>
      <x:c r="K3463" s="20" t="n">
        <x:v>52</x:v>
      </x:c>
      <x:c r="L3463" s="20" t="n">
        <x:v>5.2</x:v>
      </x:c>
      <x:c r="M3463" s="20" t="n">
        <x:v>24</x:v>
      </x:c>
      <x:c r="N3463" s="20" t="n">
        <x:f>IF(J3463=1,0,K3463-L3463)</x:f>
        <x:v>46.8</x:v>
      </x:c>
      <x:c r="O3463" s="20" t="n">
        <x:f>N3463-M3463</x:f>
        <x:v>22.799999999999997</x:v>
      </x:c>
    </x:row>
    <x:row r="3464" ht="22" customHeight="1">
      <x:c r="A3464" s="11" t="n">
        <x:v>3460</x:v>
      </x:c>
      <x:c r="B3464" s="11" t="n">
        <x:v>1758</x:v>
      </x:c>
      <x:c r="C3464" s="18" t="n">
        <x:v>45415</x:v>
      </x:c>
      <x:c r="D3464" s="11" t="str">
        <x:v>2024-05</x:v>
      </x:c>
      <x:c r="E3464" s="11" t="str">
        <x:v>Central</x:v>
      </x:c>
      <x:c r="F3464" s="11" t="str">
        <x:v>Technology</x:v>
      </x:c>
      <x:c r="G3464" s="11" t="str">
        <x:v>Keyboard</x:v>
      </x:c>
      <x:c r="H3464" s="11" t="n">
        <x:v>1</x:v>
      </x:c>
      <x:c r="I3464" s="19" t="n">
        <x:v>0</x:v>
      </x:c>
      <x:c r="J3464" s="11" t="n">
        <x:v>1</x:v>
      </x:c>
      <x:c r="K3464" s="20" t="n">
        <x:v>65</x:v>
      </x:c>
      <x:c r="L3464" s="20" t="n">
        <x:v>0</x:v>
      </x:c>
      <x:c r="M3464" s="20" t="n">
        <x:v>0</x:v>
      </x:c>
      <x:c r="N3464" s="20" t="n">
        <x:f>IF(J3464=1,0,K3464-L3464)</x:f>
        <x:v>0</x:v>
      </x:c>
      <x:c r="O3464" s="20" t="n">
        <x:f>N3464-M3464</x:f>
        <x:v>0</x:v>
      </x:c>
    </x:row>
    <x:row r="3465" ht="22" customHeight="1">
      <x:c r="A3465" s="11" t="n">
        <x:v>3461</x:v>
      </x:c>
      <x:c r="B3465" s="11" t="n">
        <x:v>1759</x:v>
      </x:c>
      <x:c r="C3465" s="18" t="n">
        <x:v>45419</x:v>
      </x:c>
      <x:c r="D3465" s="11" t="str">
        <x:v>2024-05</x:v>
      </x:c>
      <x:c r="E3465" s="11" t="str">
        <x:v>South</x:v>
      </x:c>
      <x:c r="F3465" s="11" t="str">
        <x:v>Technology</x:v>
      </x:c>
      <x:c r="G3465" s="11" t="str">
        <x:v>Monitor</x:v>
      </x:c>
      <x:c r="H3465" s="11" t="n">
        <x:v>5</x:v>
      </x:c>
      <x:c r="I3465" s="19" t="n">
        <x:v>0</x:v>
      </x:c>
      <x:c r="J3465" s="11" t="n">
        <x:v>0</x:v>
      </x:c>
      <x:c r="K3465" s="20" t="n">
        <x:v>1200</x:v>
      </x:c>
      <x:c r="L3465" s="20" t="n">
        <x:v>0</x:v>
      </x:c>
      <x:c r="M3465" s="20" t="n">
        <x:v>800</x:v>
      </x:c>
      <x:c r="N3465" s="20" t="n">
        <x:f>IF(J3465=1,0,K3465-L3465)</x:f>
        <x:v>1200</x:v>
      </x:c>
      <x:c r="O3465" s="20" t="n">
        <x:f>N3465-M3465</x:f>
        <x:v>400</x:v>
      </x:c>
    </x:row>
    <x:row r="3466" ht="22" customHeight="1">
      <x:c r="A3466" s="11" t="n">
        <x:v>3462</x:v>
      </x:c>
      <x:c r="B3466" s="11" t="n">
        <x:v>1760</x:v>
      </x:c>
      <x:c r="C3466" s="18" t="n">
        <x:v>45863</x:v>
      </x:c>
      <x:c r="D3466" s="11" t="str">
        <x:v>2025-07</x:v>
      </x:c>
      <x:c r="E3466" s="11" t="str">
        <x:v>Central</x:v>
      </x:c>
      <x:c r="F3466" s="11" t="str">
        <x:v>Furniture</x:v>
      </x:c>
      <x:c r="G3466" s="11" t="str">
        <x:v>Desk</x:v>
      </x:c>
      <x:c r="H3466" s="11" t="n">
        <x:v>3</x:v>
      </x:c>
      <x:c r="I3466" s="19" t="n">
        <x:v>0.1</x:v>
      </x:c>
      <x:c r="J3466" s="11" t="n">
        <x:v>0</x:v>
      </x:c>
      <x:c r="K3466" s="20" t="n">
        <x:v>840</x:v>
      </x:c>
      <x:c r="L3466" s="20" t="n">
        <x:v>84</x:v>
      </x:c>
      <x:c r="M3466" s="20" t="n">
        <x:v>570</x:v>
      </x:c>
      <x:c r="N3466" s="20" t="n">
        <x:f>IF(J3466=1,0,K3466-L3466)</x:f>
        <x:v>756</x:v>
      </x:c>
      <x:c r="O3466" s="20" t="n">
        <x:f>N3466-M3466</x:f>
        <x:v>186</x:v>
      </x:c>
    </x:row>
    <x:row r="3467" ht="22" customHeight="1">
      <x:c r="A3467" s="11" t="n">
        <x:v>3463</x:v>
      </x:c>
      <x:c r="B3467" s="11" t="n">
        <x:v>1760</x:v>
      </x:c>
      <x:c r="C3467" s="18" t="n">
        <x:v>45863</x:v>
      </x:c>
      <x:c r="D3467" s="11" t="str">
        <x:v>2025-07</x:v>
      </x:c>
      <x:c r="E3467" s="11" t="str">
        <x:v>Central</x:v>
      </x:c>
      <x:c r="F3467" s="11" t="str">
        <x:v>Technology</x:v>
      </x:c>
      <x:c r="G3467" s="11" t="str">
        <x:v>Keyboard</x:v>
      </x:c>
      <x:c r="H3467" s="11" t="n">
        <x:v>4</x:v>
      </x:c>
      <x:c r="I3467" s="19" t="n">
        <x:v>0</x:v>
      </x:c>
      <x:c r="J3467" s="11" t="n">
        <x:v>0</x:v>
      </x:c>
      <x:c r="K3467" s="20" t="n">
        <x:v>260</x:v>
      </x:c>
      <x:c r="L3467" s="20" t="n">
        <x:v>0</x:v>
      </x:c>
      <x:c r="M3467" s="20" t="n">
        <x:v>128</x:v>
      </x:c>
      <x:c r="N3467" s="20" t="n">
        <x:f>IF(J3467=1,0,K3467-L3467)</x:f>
        <x:v>260</x:v>
      </x:c>
      <x:c r="O3467" s="20" t="n">
        <x:f>N3467-M3467</x:f>
        <x:v>132</x:v>
      </x:c>
    </x:row>
    <x:row r="3468" ht="22" customHeight="1">
      <x:c r="A3468" s="11" t="n">
        <x:v>3464</x:v>
      </x:c>
      <x:c r="B3468" s="11" t="n">
        <x:v>1760</x:v>
      </x:c>
      <x:c r="C3468" s="18" t="n">
        <x:v>45863</x:v>
      </x:c>
      <x:c r="D3468" s="11" t="str">
        <x:v>2025-07</x:v>
      </x:c>
      <x:c r="E3468" s="11" t="str">
        <x:v>Central</x:v>
      </x:c>
      <x:c r="F3468" s="11" t="str">
        <x:v>Office Supplies</x:v>
      </x:c>
      <x:c r="G3468" s="11" t="str">
        <x:v>Notebook pack</x:v>
      </x:c>
      <x:c r="H3468" s="11" t="n">
        <x:v>3</x:v>
      </x:c>
      <x:c r="I3468" s="19" t="n">
        <x:v>0</x:v>
      </x:c>
      <x:c r="J3468" s="11" t="n">
        <x:v>0</x:v>
      </x:c>
      <x:c r="K3468" s="20" t="n">
        <x:v>54</x:v>
      </x:c>
      <x:c r="L3468" s="20" t="n">
        <x:v>0</x:v>
      </x:c>
      <x:c r="M3468" s="20" t="n">
        <x:v>21</x:v>
      </x:c>
      <x:c r="N3468" s="20" t="n">
        <x:f>IF(J3468=1,0,K3468-L3468)</x:f>
        <x:v>54</x:v>
      </x:c>
      <x:c r="O3468" s="20" t="n">
        <x:f>N3468-M3468</x:f>
        <x:v>33</x:v>
      </x:c>
    </x:row>
    <x:row r="3469" ht="22" customHeight="1">
      <x:c r="A3469" s="11" t="n">
        <x:v>3465</x:v>
      </x:c>
      <x:c r="B3469" s="11" t="n">
        <x:v>1761</x:v>
      </x:c>
      <x:c r="C3469" s="18" t="n">
        <x:v>45513</x:v>
      </x:c>
      <x:c r="D3469" s="11" t="str">
        <x:v>2024-08</x:v>
      </x:c>
      <x:c r="E3469" s="11" t="str">
        <x:v>Central</x:v>
      </x:c>
      <x:c r="F3469" s="11" t="str">
        <x:v>Furniture</x:v>
      </x:c>
      <x:c r="G3469" s="11" t="str">
        <x:v>Chair</x:v>
      </x:c>
      <x:c r="H3469" s="11" t="n">
        <x:v>5</x:v>
      </x:c>
      <x:c r="I3469" s="19" t="n">
        <x:v>0</x:v>
      </x:c>
      <x:c r="J3469" s="11" t="n">
        <x:v>0</x:v>
      </x:c>
      <x:c r="K3469" s="20" t="n">
        <x:v>850</x:v>
      </x:c>
      <x:c r="L3469" s="20" t="n">
        <x:v>0</x:v>
      </x:c>
      <x:c r="M3469" s="20" t="n">
        <x:v>550</x:v>
      </x:c>
      <x:c r="N3469" s="20" t="n">
        <x:f>IF(J3469=1,0,K3469-L3469)</x:f>
        <x:v>850</x:v>
      </x:c>
      <x:c r="O3469" s="20" t="n">
        <x:f>N3469-M3469</x:f>
        <x:v>300</x:v>
      </x:c>
    </x:row>
    <x:row r="3470" ht="22" customHeight="1">
      <x:c r="A3470" s="11" t="n">
        <x:v>3466</x:v>
      </x:c>
      <x:c r="B3470" s="11" t="n">
        <x:v>1762</x:v>
      </x:c>
      <x:c r="C3470" s="18" t="n">
        <x:v>45914</x:v>
      </x:c>
      <x:c r="D3470" s="11" t="str">
        <x:v>2025-09</x:v>
      </x:c>
      <x:c r="E3470" s="11" t="str">
        <x:v>East</x:v>
      </x:c>
      <x:c r="F3470" s="11" t="str">
        <x:v>Technology</x:v>
      </x:c>
      <x:c r="G3470" s="11" t="str">
        <x:v>Monitor</x:v>
      </x:c>
      <x:c r="H3470" s="11" t="n">
        <x:v>5</x:v>
      </x:c>
      <x:c r="I3470" s="19" t="n">
        <x:v>0.15</x:v>
      </x:c>
      <x:c r="J3470" s="11" t="n">
        <x:v>0</x:v>
      </x:c>
      <x:c r="K3470" s="20" t="n">
        <x:v>1200</x:v>
      </x:c>
      <x:c r="L3470" s="20" t="n">
        <x:v>180</x:v>
      </x:c>
      <x:c r="M3470" s="20" t="n">
        <x:v>800</x:v>
      </x:c>
      <x:c r="N3470" s="20" t="n">
        <x:f>IF(J3470=1,0,K3470-L3470)</x:f>
        <x:v>1020</x:v>
      </x:c>
      <x:c r="O3470" s="20" t="n">
        <x:f>N3470-M3470</x:f>
        <x:v>220</x:v>
      </x:c>
    </x:row>
    <x:row r="3471" ht="22" customHeight="1">
      <x:c r="A3471" s="11" t="n">
        <x:v>3467</x:v>
      </x:c>
      <x:c r="B3471" s="11" t="n">
        <x:v>1763</x:v>
      </x:c>
      <x:c r="C3471" s="18" t="n">
        <x:v>45972</x:v>
      </x:c>
      <x:c r="D3471" s="11" t="str">
        <x:v>2025-11</x:v>
      </x:c>
      <x:c r="E3471" s="11" t="str">
        <x:v>East</x:v>
      </x:c>
      <x:c r="F3471" s="11" t="str">
        <x:v>Office Supplies</x:v>
      </x:c>
      <x:c r="G3471" s="11" t="str">
        <x:v>Storage box</x:v>
      </x:c>
      <x:c r="H3471" s="11" t="n">
        <x:v>3</x:v>
      </x:c>
      <x:c r="I3471" s="19" t="n">
        <x:v>0.1</x:v>
      </x:c>
      <x:c r="J3471" s="11" t="n">
        <x:v>1</x:v>
      </x:c>
      <x:c r="K3471" s="20" t="n">
        <x:v>78</x:v>
      </x:c>
      <x:c r="L3471" s="20" t="n">
        <x:v>7.8</x:v>
      </x:c>
      <x:c r="M3471" s="20" t="n">
        <x:v>0</x:v>
      </x:c>
      <x:c r="N3471" s="20" t="n">
        <x:f>IF(J3471=1,0,K3471-L3471)</x:f>
        <x:v>0</x:v>
      </x:c>
      <x:c r="O3471" s="20" t="n">
        <x:f>N3471-M3471</x:f>
        <x:v>0</x:v>
      </x:c>
    </x:row>
    <x:row r="3472" ht="22" customHeight="1">
      <x:c r="A3472" s="11" t="n">
        <x:v>3468</x:v>
      </x:c>
      <x:c r="B3472" s="11" t="n">
        <x:v>1764</x:v>
      </x:c>
      <x:c r="C3472" s="18" t="n">
        <x:v>45479</x:v>
      </x:c>
      <x:c r="D3472" s="11" t="str">
        <x:v>2024-07</x:v>
      </x:c>
      <x:c r="E3472" s="11" t="str">
        <x:v>South</x:v>
      </x:c>
      <x:c r="F3472" s="11" t="str">
        <x:v>Technology</x:v>
      </x:c>
      <x:c r="G3472" s="11" t="str">
        <x:v>Monitor</x:v>
      </x:c>
      <x:c r="H3472" s="11" t="n">
        <x:v>1</x:v>
      </x:c>
      <x:c r="I3472" s="19" t="n">
        <x:v>0.1</x:v>
      </x:c>
      <x:c r="J3472" s="11" t="n">
        <x:v>0</x:v>
      </x:c>
      <x:c r="K3472" s="20" t="n">
        <x:v>240</x:v>
      </x:c>
      <x:c r="L3472" s="20" t="n">
        <x:v>24</x:v>
      </x:c>
      <x:c r="M3472" s="20" t="n">
        <x:v>160</x:v>
      </x:c>
      <x:c r="N3472" s="20" t="n">
        <x:f>IF(J3472=1,0,K3472-L3472)</x:f>
        <x:v>216</x:v>
      </x:c>
      <x:c r="O3472" s="20" t="n">
        <x:f>N3472-M3472</x:f>
        <x:v>56</x:v>
      </x:c>
    </x:row>
    <x:row r="3473" ht="22" customHeight="1">
      <x:c r="A3473" s="11" t="n">
        <x:v>3469</x:v>
      </x:c>
      <x:c r="B3473" s="11" t="n">
        <x:v>1765</x:v>
      </x:c>
      <x:c r="C3473" s="18" t="n">
        <x:v>45942</x:v>
      </x:c>
      <x:c r="D3473" s="11" t="str">
        <x:v>2025-10</x:v>
      </x:c>
      <x:c r="E3473" s="11" t="str">
        <x:v>West</x:v>
      </x:c>
      <x:c r="F3473" s="11" t="str">
        <x:v>Furniture</x:v>
      </x:c>
      <x:c r="G3473" s="11" t="str">
        <x:v>Desk</x:v>
      </x:c>
      <x:c r="H3473" s="11" t="n">
        <x:v>1</x:v>
      </x:c>
      <x:c r="I3473" s="19" t="n">
        <x:v>0</x:v>
      </x:c>
      <x:c r="J3473" s="11" t="n">
        <x:v>0</x:v>
      </x:c>
      <x:c r="K3473" s="20" t="n">
        <x:v>280</x:v>
      </x:c>
      <x:c r="L3473" s="20" t="n">
        <x:v>0</x:v>
      </x:c>
      <x:c r="M3473" s="20" t="n">
        <x:v>190</x:v>
      </x:c>
      <x:c r="N3473" s="20" t="n">
        <x:f>IF(J3473=1,0,K3473-L3473)</x:f>
        <x:v>280</x:v>
      </x:c>
      <x:c r="O3473" s="20" t="n">
        <x:f>N3473-M3473</x:f>
        <x:v>90</x:v>
      </x:c>
    </x:row>
    <x:row r="3474" ht="22" customHeight="1">
      <x:c r="A3474" s="11" t="n">
        <x:v>3470</x:v>
      </x:c>
      <x:c r="B3474" s="11" t="n">
        <x:v>1766</x:v>
      </x:c>
      <x:c r="C3474" s="18" t="n">
        <x:v>45992</x:v>
      </x:c>
      <x:c r="D3474" s="11" t="str">
        <x:v>2025-12</x:v>
      </x:c>
      <x:c r="E3474" s="11" t="str">
        <x:v>West</x:v>
      </x:c>
      <x:c r="F3474" s="11" t="str">
        <x:v>Furniture</x:v>
      </x:c>
      <x:c r="G3474" s="11" t="str">
        <x:v>Chair</x:v>
      </x:c>
      <x:c r="H3474" s="11" t="n">
        <x:v>1</x:v>
      </x:c>
      <x:c r="I3474" s="19" t="n">
        <x:v>0.35</x:v>
      </x:c>
      <x:c r="J3474" s="11" t="n">
        <x:v>0</x:v>
      </x:c>
      <x:c r="K3474" s="20" t="n">
        <x:v>170</x:v>
      </x:c>
      <x:c r="L3474" s="20" t="n">
        <x:v>59.5</x:v>
      </x:c>
      <x:c r="M3474" s="20" t="n">
        <x:v>110</x:v>
      </x:c>
      <x:c r="N3474" s="20" t="n">
        <x:f>IF(J3474=1,0,K3474-L3474)</x:f>
        <x:v>110.5</x:v>
      </x:c>
      <x:c r="O3474" s="20" t="n">
        <x:f>N3474-M3474</x:f>
        <x:v>0.5</x:v>
      </x:c>
    </x:row>
    <x:row r="3475" ht="22" customHeight="1">
      <x:c r="A3475" s="11" t="n">
        <x:v>3471</x:v>
      </x:c>
      <x:c r="B3475" s="11" t="n">
        <x:v>1767</x:v>
      </x:c>
      <x:c r="C3475" s="18" t="n">
        <x:v>45526</x:v>
      </x:c>
      <x:c r="D3475" s="11" t="str">
        <x:v>2024-08</x:v>
      </x:c>
      <x:c r="E3475" s="11" t="str">
        <x:v>East</x:v>
      </x:c>
      <x:c r="F3475" s="11" t="str">
        <x:v>Office Supplies</x:v>
      </x:c>
      <x:c r="G3475" s="11" t="str">
        <x:v>Storage box</x:v>
      </x:c>
      <x:c r="H3475" s="11" t="n">
        <x:v>5</x:v>
      </x:c>
      <x:c r="I3475" s="19" t="n">
        <x:v>0.05</x:v>
      </x:c>
      <x:c r="J3475" s="11" t="n">
        <x:v>0</x:v>
      </x:c>
      <x:c r="K3475" s="20" t="n">
        <x:v>130</x:v>
      </x:c>
      <x:c r="L3475" s="20" t="n">
        <x:v>6.5</x:v>
      </x:c>
      <x:c r="M3475" s="20" t="n">
        <x:v>60</x:v>
      </x:c>
      <x:c r="N3475" s="20" t="n">
        <x:f>IF(J3475=1,0,K3475-L3475)</x:f>
        <x:v>123.5</x:v>
      </x:c>
      <x:c r="O3475" s="20" t="n">
        <x:f>N3475-M3475</x:f>
        <x:v>63.5</x:v>
      </x:c>
    </x:row>
    <x:row r="3476" ht="22" customHeight="1">
      <x:c r="A3476" s="11" t="n">
        <x:v>3472</x:v>
      </x:c>
      <x:c r="B3476" s="11" t="n">
        <x:v>1768</x:v>
      </x:c>
      <x:c r="C3476" s="18" t="n">
        <x:v>45967</x:v>
      </x:c>
      <x:c r="D3476" s="11" t="str">
        <x:v>2025-11</x:v>
      </x:c>
      <x:c r="E3476" s="11" t="str">
        <x:v>South</x:v>
      </x:c>
      <x:c r="F3476" s="11" t="str">
        <x:v>Furniture</x:v>
      </x:c>
      <x:c r="G3476" s="11" t="str">
        <x:v>Chair</x:v>
      </x:c>
      <x:c r="H3476" s="11" t="n">
        <x:v>1</x:v>
      </x:c>
      <x:c r="I3476" s="19" t="n">
        <x:v>0.1</x:v>
      </x:c>
      <x:c r="J3476" s="11" t="n">
        <x:v>0</x:v>
      </x:c>
      <x:c r="K3476" s="20" t="n">
        <x:v>170</x:v>
      </x:c>
      <x:c r="L3476" s="20" t="n">
        <x:v>17</x:v>
      </x:c>
      <x:c r="M3476" s="20" t="n">
        <x:v>110</x:v>
      </x:c>
      <x:c r="N3476" s="20" t="n">
        <x:f>IF(J3476=1,0,K3476-L3476)</x:f>
        <x:v>153</x:v>
      </x:c>
      <x:c r="O3476" s="20" t="n">
        <x:f>N3476-M3476</x:f>
        <x:v>43</x:v>
      </x:c>
    </x:row>
    <x:row r="3477" ht="22" customHeight="1">
      <x:c r="A3477" s="11" t="n">
        <x:v>3473</x:v>
      </x:c>
      <x:c r="B3477" s="11" t="n">
        <x:v>1768</x:v>
      </x:c>
      <x:c r="C3477" s="18" t="n">
        <x:v>45967</x:v>
      </x:c>
      <x:c r="D3477" s="11" t="str">
        <x:v>2025-11</x:v>
      </x:c>
      <x:c r="E3477" s="11" t="str">
        <x:v>South</x:v>
      </x:c>
      <x:c r="F3477" s="11" t="str">
        <x:v>Technology</x:v>
      </x:c>
      <x:c r="G3477" s="11" t="str">
        <x:v>Keyboard</x:v>
      </x:c>
      <x:c r="H3477" s="11" t="n">
        <x:v>2</x:v>
      </x:c>
      <x:c r="I3477" s="19" t="n">
        <x:v>0.15</x:v>
      </x:c>
      <x:c r="J3477" s="11" t="n">
        <x:v>0</x:v>
      </x:c>
      <x:c r="K3477" s="20" t="n">
        <x:v>130</x:v>
      </x:c>
      <x:c r="L3477" s="20" t="n">
        <x:v>19.5</x:v>
      </x:c>
      <x:c r="M3477" s="20" t="n">
        <x:v>64</x:v>
      </x:c>
      <x:c r="N3477" s="20" t="n">
        <x:f>IF(J3477=1,0,K3477-L3477)</x:f>
        <x:v>110.5</x:v>
      </x:c>
      <x:c r="O3477" s="20" t="n">
        <x:f>N3477-M3477</x:f>
        <x:v>46.5</x:v>
      </x:c>
    </x:row>
    <x:row r="3478" ht="22" customHeight="1">
      <x:c r="A3478" s="11" t="n">
        <x:v>3474</x:v>
      </x:c>
      <x:c r="B3478" s="11" t="n">
        <x:v>1769</x:v>
      </x:c>
      <x:c r="C3478" s="18" t="n">
        <x:v>45776</x:v>
      </x:c>
      <x:c r="D3478" s="11" t="str">
        <x:v>2025-04</x:v>
      </x:c>
      <x:c r="E3478" s="11" t="str">
        <x:v>Central</x:v>
      </x:c>
      <x:c r="F3478" s="11" t="str">
        <x:v>Furniture</x:v>
      </x:c>
      <x:c r="G3478" s="11" t="str">
        <x:v>Desk</x:v>
      </x:c>
      <x:c r="H3478" s="11" t="n">
        <x:v>3</x:v>
      </x:c>
      <x:c r="I3478" s="19" t="n">
        <x:v>0.35</x:v>
      </x:c>
      <x:c r="J3478" s="11" t="n">
        <x:v>1</x:v>
      </x:c>
      <x:c r="K3478" s="20" t="n">
        <x:v>840</x:v>
      </x:c>
      <x:c r="L3478" s="20" t="n">
        <x:v>294</x:v>
      </x:c>
      <x:c r="M3478" s="20" t="n">
        <x:v>0</x:v>
      </x:c>
      <x:c r="N3478" s="20" t="n">
        <x:f>IF(J3478=1,0,K3478-L3478)</x:f>
        <x:v>0</x:v>
      </x:c>
      <x:c r="O3478" s="20" t="n">
        <x:f>N3478-M3478</x:f>
        <x:v>0</x:v>
      </x:c>
    </x:row>
    <x:row r="3479" ht="22" customHeight="1">
      <x:c r="A3479" s="11" t="n">
        <x:v>3475</x:v>
      </x:c>
      <x:c r="B3479" s="11" t="n">
        <x:v>1769</x:v>
      </x:c>
      <x:c r="C3479" s="18" t="n">
        <x:v>45776</x:v>
      </x:c>
      <x:c r="D3479" s="11" t="str">
        <x:v>2025-04</x:v>
      </x:c>
      <x:c r="E3479" s="11" t="str">
        <x:v>Central</x:v>
      </x:c>
      <x:c r="F3479" s="11" t="str">
        <x:v>Technology</x:v>
      </x:c>
      <x:c r="G3479" s="11" t="str">
        <x:v>Monitor</x:v>
      </x:c>
      <x:c r="H3479" s="11" t="n">
        <x:v>3</x:v>
      </x:c>
      <x:c r="I3479" s="19" t="n">
        <x:v>0.05</x:v>
      </x:c>
      <x:c r="J3479" s="11" t="n">
        <x:v>0</x:v>
      </x:c>
      <x:c r="K3479" s="20" t="n">
        <x:v>720</x:v>
      </x:c>
      <x:c r="L3479" s="20" t="n">
        <x:v>36</x:v>
      </x:c>
      <x:c r="M3479" s="20" t="n">
        <x:v>480</x:v>
      </x:c>
      <x:c r="N3479" s="20" t="n">
        <x:f>IF(J3479=1,0,K3479-L3479)</x:f>
        <x:v>684</x:v>
      </x:c>
      <x:c r="O3479" s="20" t="n">
        <x:f>N3479-M3479</x:f>
        <x:v>204</x:v>
      </x:c>
    </x:row>
    <x:row r="3480" ht="22" customHeight="1">
      <x:c r="A3480" s="11" t="n">
        <x:v>3476</x:v>
      </x:c>
      <x:c r="B3480" s="11" t="n">
        <x:v>1770</x:v>
      </x:c>
      <x:c r="C3480" s="18" t="n">
        <x:v>45470</x:v>
      </x:c>
      <x:c r="D3480" s="11" t="str">
        <x:v>2024-06</x:v>
      </x:c>
      <x:c r="E3480" s="11" t="str">
        <x:v>West</x:v>
      </x:c>
      <x:c r="F3480" s="11" t="str">
        <x:v>Furniture</x:v>
      </x:c>
      <x:c r="G3480" s="11" t="str">
        <x:v>Desk</x:v>
      </x:c>
      <x:c r="H3480" s="11" t="n">
        <x:v>3</x:v>
      </x:c>
      <x:c r="I3480" s="19" t="n">
        <x:v>0</x:v>
      </x:c>
      <x:c r="J3480" s="11" t="n">
        <x:v>0</x:v>
      </x:c>
      <x:c r="K3480" s="20" t="n">
        <x:v>840</x:v>
      </x:c>
      <x:c r="L3480" s="20" t="n">
        <x:v>0</x:v>
      </x:c>
      <x:c r="M3480" s="20" t="n">
        <x:v>570</x:v>
      </x:c>
      <x:c r="N3480" s="20" t="n">
        <x:f>IF(J3480=1,0,K3480-L3480)</x:f>
        <x:v>840</x:v>
      </x:c>
      <x:c r="O3480" s="20" t="n">
        <x:f>N3480-M3480</x:f>
        <x:v>270</x:v>
      </x:c>
    </x:row>
    <x:row r="3481" ht="22" customHeight="1">
      <x:c r="A3481" s="11" t="n">
        <x:v>3477</x:v>
      </x:c>
      <x:c r="B3481" s="11" t="n">
        <x:v>1770</x:v>
      </x:c>
      <x:c r="C3481" s="18" t="n">
        <x:v>45470</x:v>
      </x:c>
      <x:c r="D3481" s="11" t="str">
        <x:v>2024-06</x:v>
      </x:c>
      <x:c r="E3481" s="11" t="str">
        <x:v>West</x:v>
      </x:c>
      <x:c r="F3481" s="11" t="str">
        <x:v>Technology</x:v>
      </x:c>
      <x:c r="G3481" s="11" t="str">
        <x:v>Keyboard</x:v>
      </x:c>
      <x:c r="H3481" s="11" t="n">
        <x:v>3</x:v>
      </x:c>
      <x:c r="I3481" s="19" t="n">
        <x:v>0.05</x:v>
      </x:c>
      <x:c r="J3481" s="11" t="n">
        <x:v>0</x:v>
      </x:c>
      <x:c r="K3481" s="20" t="n">
        <x:v>195</x:v>
      </x:c>
      <x:c r="L3481" s="20" t="n">
        <x:v>9.75</x:v>
      </x:c>
      <x:c r="M3481" s="20" t="n">
        <x:v>96</x:v>
      </x:c>
      <x:c r="N3481" s="20" t="n">
        <x:f>IF(J3481=1,0,K3481-L3481)</x:f>
        <x:v>185.25</x:v>
      </x:c>
      <x:c r="O3481" s="20" t="n">
        <x:f>N3481-M3481</x:f>
        <x:v>89.25</x:v>
      </x:c>
    </x:row>
    <x:row r="3482" ht="22" customHeight="1">
      <x:c r="A3482" s="11" t="n">
        <x:v>3478</x:v>
      </x:c>
      <x:c r="B3482" s="11" t="n">
        <x:v>1771</x:v>
      </x:c>
      <x:c r="C3482" s="18" t="n">
        <x:v>45309</x:v>
      </x:c>
      <x:c r="D3482" s="11" t="str">
        <x:v>2024-01</x:v>
      </x:c>
      <x:c r="E3482" s="11" t="str">
        <x:v>East</x:v>
      </x:c>
      <x:c r="F3482" s="11" t="str">
        <x:v>Office Supplies</x:v>
      </x:c>
      <x:c r="G3482" s="11" t="str">
        <x:v>Storage box</x:v>
      </x:c>
      <x:c r="H3482" s="11" t="n">
        <x:v>5</x:v>
      </x:c>
      <x:c r="I3482" s="19" t="n">
        <x:v>0.05</x:v>
      </x:c>
      <x:c r="J3482" s="11" t="n">
        <x:v>0</x:v>
      </x:c>
      <x:c r="K3482" s="20" t="n">
        <x:v>130</x:v>
      </x:c>
      <x:c r="L3482" s="20" t="n">
        <x:v>6.5</x:v>
      </x:c>
      <x:c r="M3482" s="20" t="n">
        <x:v>60</x:v>
      </x:c>
      <x:c r="N3482" s="20" t="n">
        <x:f>IF(J3482=1,0,K3482-L3482)</x:f>
        <x:v>123.5</x:v>
      </x:c>
      <x:c r="O3482" s="20" t="n">
        <x:f>N3482-M3482</x:f>
        <x:v>63.5</x:v>
      </x:c>
    </x:row>
    <x:row r="3483" ht="22" customHeight="1">
      <x:c r="A3483" s="11" t="n">
        <x:v>3479</x:v>
      </x:c>
      <x:c r="B3483" s="11" t="n">
        <x:v>1771</x:v>
      </x:c>
      <x:c r="C3483" s="18" t="n">
        <x:v>45309</x:v>
      </x:c>
      <x:c r="D3483" s="11" t="str">
        <x:v>2024-01</x:v>
      </x:c>
      <x:c r="E3483" s="11" t="str">
        <x:v>East</x:v>
      </x:c>
      <x:c r="F3483" s="11" t="str">
        <x:v>Technology</x:v>
      </x:c>
      <x:c r="G3483" s="11" t="str">
        <x:v>Keyboard</x:v>
      </x:c>
      <x:c r="H3483" s="11" t="n">
        <x:v>4</x:v>
      </x:c>
      <x:c r="I3483" s="19" t="n">
        <x:v>0.05</x:v>
      </x:c>
      <x:c r="J3483" s="11" t="n">
        <x:v>0</x:v>
      </x:c>
      <x:c r="K3483" s="20" t="n">
        <x:v>260</x:v>
      </x:c>
      <x:c r="L3483" s="20" t="n">
        <x:v>13</x:v>
      </x:c>
      <x:c r="M3483" s="20" t="n">
        <x:v>128</x:v>
      </x:c>
      <x:c r="N3483" s="20" t="n">
        <x:f>IF(J3483=1,0,K3483-L3483)</x:f>
        <x:v>247</x:v>
      </x:c>
      <x:c r="O3483" s="20" t="n">
        <x:f>N3483-M3483</x:f>
        <x:v>119</x:v>
      </x:c>
    </x:row>
    <x:row r="3484" ht="22" customHeight="1">
      <x:c r="A3484" s="11" t="n">
        <x:v>3480</x:v>
      </x:c>
      <x:c r="B3484" s="11" t="n">
        <x:v>1771</x:v>
      </x:c>
      <x:c r="C3484" s="18" t="n">
        <x:v>45309</x:v>
      </x:c>
      <x:c r="D3484" s="11" t="str">
        <x:v>2024-01</x:v>
      </x:c>
      <x:c r="E3484" s="11" t="str">
        <x:v>East</x:v>
      </x:c>
      <x:c r="F3484" s="11" t="str">
        <x:v>Furniture</x:v>
      </x:c>
      <x:c r="G3484" s="11" t="str">
        <x:v>Chair</x:v>
      </x:c>
      <x:c r="H3484" s="11" t="n">
        <x:v>1</x:v>
      </x:c>
      <x:c r="I3484" s="19" t="n">
        <x:v>0.35</x:v>
      </x:c>
      <x:c r="J3484" s="11" t="n">
        <x:v>0</x:v>
      </x:c>
      <x:c r="K3484" s="20" t="n">
        <x:v>170</x:v>
      </x:c>
      <x:c r="L3484" s="20" t="n">
        <x:v>59.5</x:v>
      </x:c>
      <x:c r="M3484" s="20" t="n">
        <x:v>110</x:v>
      </x:c>
      <x:c r="N3484" s="20" t="n">
        <x:f>IF(J3484=1,0,K3484-L3484)</x:f>
        <x:v>110.5</x:v>
      </x:c>
      <x:c r="O3484" s="20" t="n">
        <x:f>N3484-M3484</x:f>
        <x:v>0.5</x:v>
      </x:c>
    </x:row>
    <x:row r="3485" ht="22" customHeight="1">
      <x:c r="A3485" s="11" t="n">
        <x:v>3481</x:v>
      </x:c>
      <x:c r="B3485" s="11" t="n">
        <x:v>1772</x:v>
      </x:c>
      <x:c r="C3485" s="18" t="n">
        <x:v>45432</x:v>
      </x:c>
      <x:c r="D3485" s="11" t="str">
        <x:v>2024-05</x:v>
      </x:c>
      <x:c r="E3485" s="11" t="str">
        <x:v>South</x:v>
      </x:c>
      <x:c r="F3485" s="11" t="str">
        <x:v>Technology</x:v>
      </x:c>
      <x:c r="G3485" s="11" t="str">
        <x:v>Keyboard</x:v>
      </x:c>
      <x:c r="H3485" s="11" t="n">
        <x:v>2</x:v>
      </x:c>
      <x:c r="I3485" s="19" t="n">
        <x:v>0</x:v>
      </x:c>
      <x:c r="J3485" s="11" t="n">
        <x:v>0</x:v>
      </x:c>
      <x:c r="K3485" s="20" t="n">
        <x:v>130</x:v>
      </x:c>
      <x:c r="L3485" s="20" t="n">
        <x:v>0</x:v>
      </x:c>
      <x:c r="M3485" s="20" t="n">
        <x:v>64</x:v>
      </x:c>
      <x:c r="N3485" s="20" t="n">
        <x:f>IF(J3485=1,0,K3485-L3485)</x:f>
        <x:v>130</x:v>
      </x:c>
      <x:c r="O3485" s="20" t="n">
        <x:f>N3485-M3485</x:f>
        <x:v>66</x:v>
      </x:c>
    </x:row>
    <x:row r="3486" ht="22" customHeight="1">
      <x:c r="A3486" s="11" t="n">
        <x:v>3482</x:v>
      </x:c>
      <x:c r="B3486" s="11" t="n">
        <x:v>1773</x:v>
      </x:c>
      <x:c r="C3486" s="18" t="n">
        <x:v>45959</x:v>
      </x:c>
      <x:c r="D3486" s="11" t="str">
        <x:v>2025-10</x:v>
      </x:c>
      <x:c r="E3486" s="11" t="str">
        <x:v>East</x:v>
      </x:c>
      <x:c r="F3486" s="11" t="str">
        <x:v>Office Supplies</x:v>
      </x:c>
      <x:c r="G3486" s="11" t="str">
        <x:v>Storage box</x:v>
      </x:c>
      <x:c r="H3486" s="11" t="n">
        <x:v>1</x:v>
      </x:c>
      <x:c r="I3486" s="19" t="n">
        <x:v>0</x:v>
      </x:c>
      <x:c r="J3486" s="11" t="n">
        <x:v>0</x:v>
      </x:c>
      <x:c r="K3486" s="20" t="n">
        <x:v>26</x:v>
      </x:c>
      <x:c r="L3486" s="20" t="n">
        <x:v>0</x:v>
      </x:c>
      <x:c r="M3486" s="20" t="n">
        <x:v>12</x:v>
      </x:c>
      <x:c r="N3486" s="20" t="n">
        <x:f>IF(J3486=1,0,K3486-L3486)</x:f>
        <x:v>26</x:v>
      </x:c>
      <x:c r="O3486" s="20" t="n">
        <x:f>N3486-M3486</x:f>
        <x:v>14</x:v>
      </x:c>
    </x:row>
    <x:row r="3487" ht="22" customHeight="1">
      <x:c r="A3487" s="11" t="n">
        <x:v>3483</x:v>
      </x:c>
      <x:c r="B3487" s="11" t="n">
        <x:v>1774</x:v>
      </x:c>
      <x:c r="C3487" s="18" t="n">
        <x:v>45498</x:v>
      </x:c>
      <x:c r="D3487" s="11" t="str">
        <x:v>2024-07</x:v>
      </x:c>
      <x:c r="E3487" s="11" t="str">
        <x:v>Central</x:v>
      </x:c>
      <x:c r="F3487" s="11" t="str">
        <x:v>Technology</x:v>
      </x:c>
      <x:c r="G3487" s="11" t="str">
        <x:v>Keyboard</x:v>
      </x:c>
      <x:c r="H3487" s="11" t="n">
        <x:v>4</x:v>
      </x:c>
      <x:c r="I3487" s="19" t="n">
        <x:v>0.15</x:v>
      </x:c>
      <x:c r="J3487" s="11" t="n">
        <x:v>0</x:v>
      </x:c>
      <x:c r="K3487" s="20" t="n">
        <x:v>260</x:v>
      </x:c>
      <x:c r="L3487" s="20" t="n">
        <x:v>39</x:v>
      </x:c>
      <x:c r="M3487" s="20" t="n">
        <x:v>128</x:v>
      </x:c>
      <x:c r="N3487" s="20" t="n">
        <x:f>IF(J3487=1,0,K3487-L3487)</x:f>
        <x:v>221</x:v>
      </x:c>
      <x:c r="O3487" s="20" t="n">
        <x:f>N3487-M3487</x:f>
        <x:v>93</x:v>
      </x:c>
    </x:row>
    <x:row r="3488" ht="22" customHeight="1">
      <x:c r="A3488" s="11" t="n">
        <x:v>3484</x:v>
      </x:c>
      <x:c r="B3488" s="11" t="n">
        <x:v>1774</x:v>
      </x:c>
      <x:c r="C3488" s="18" t="n">
        <x:v>45498</x:v>
      </x:c>
      <x:c r="D3488" s="11" t="str">
        <x:v>2024-07</x:v>
      </x:c>
      <x:c r="E3488" s="11" t="str">
        <x:v>Central</x:v>
      </x:c>
      <x:c r="F3488" s="11" t="str">
        <x:v>Office Supplies</x:v>
      </x:c>
      <x:c r="G3488" s="11" t="str">
        <x:v>Notebook pack</x:v>
      </x:c>
      <x:c r="H3488" s="11" t="n">
        <x:v>4</x:v>
      </x:c>
      <x:c r="I3488" s="19" t="n">
        <x:v>0.1</x:v>
      </x:c>
      <x:c r="J3488" s="11" t="n">
        <x:v>1</x:v>
      </x:c>
      <x:c r="K3488" s="20" t="n">
        <x:v>72</x:v>
      </x:c>
      <x:c r="L3488" s="20" t="n">
        <x:v>7.2</x:v>
      </x:c>
      <x:c r="M3488" s="20" t="n">
        <x:v>0</x:v>
      </x:c>
      <x:c r="N3488" s="20" t="n">
        <x:f>IF(J3488=1,0,K3488-L3488)</x:f>
        <x:v>0</x:v>
      </x:c>
      <x:c r="O3488" s="20" t="n">
        <x:f>N3488-M3488</x:f>
        <x:v>0</x:v>
      </x:c>
    </x:row>
    <x:row r="3489" ht="22" customHeight="1">
      <x:c r="A3489" s="11" t="n">
        <x:v>3485</x:v>
      </x:c>
      <x:c r="B3489" s="11" t="n">
        <x:v>1774</x:v>
      </x:c>
      <x:c r="C3489" s="18" t="n">
        <x:v>45498</x:v>
      </x:c>
      <x:c r="D3489" s="11" t="str">
        <x:v>2024-07</x:v>
      </x:c>
      <x:c r="E3489" s="11" t="str">
        <x:v>Central</x:v>
      </x:c>
      <x:c r="F3489" s="11" t="str">
        <x:v>Office Supplies</x:v>
      </x:c>
      <x:c r="G3489" s="11" t="str">
        <x:v>Storage box</x:v>
      </x:c>
      <x:c r="H3489" s="11" t="n">
        <x:v>5</x:v>
      </x:c>
      <x:c r="I3489" s="19" t="n">
        <x:v>0.1</x:v>
      </x:c>
      <x:c r="J3489" s="11" t="n">
        <x:v>0</x:v>
      </x:c>
      <x:c r="K3489" s="20" t="n">
        <x:v>130</x:v>
      </x:c>
      <x:c r="L3489" s="20" t="n">
        <x:v>13</x:v>
      </x:c>
      <x:c r="M3489" s="20" t="n">
        <x:v>60</x:v>
      </x:c>
      <x:c r="N3489" s="20" t="n">
        <x:f>IF(J3489=1,0,K3489-L3489)</x:f>
        <x:v>117</x:v>
      </x:c>
      <x:c r="O3489" s="20" t="n">
        <x:f>N3489-M3489</x:f>
        <x:v>57</x:v>
      </x:c>
    </x:row>
    <x:row r="3490" ht="22" customHeight="1">
      <x:c r="A3490" s="11" t="n">
        <x:v>3486</x:v>
      </x:c>
      <x:c r="B3490" s="11" t="n">
        <x:v>1775</x:v>
      </x:c>
      <x:c r="C3490" s="18" t="n">
        <x:v>45460</x:v>
      </x:c>
      <x:c r="D3490" s="11" t="str">
        <x:v>2024-06</x:v>
      </x:c>
      <x:c r="E3490" s="11" t="str">
        <x:v>South</x:v>
      </x:c>
      <x:c r="F3490" s="11" t="str">
        <x:v>Furniture</x:v>
      </x:c>
      <x:c r="G3490" s="11" t="str">
        <x:v>Chair</x:v>
      </x:c>
      <x:c r="H3490" s="11" t="n">
        <x:v>5</x:v>
      </x:c>
      <x:c r="I3490" s="19" t="n">
        <x:v>0</x:v>
      </x:c>
      <x:c r="J3490" s="11" t="n">
        <x:v>0</x:v>
      </x:c>
      <x:c r="K3490" s="20" t="n">
        <x:v>850</x:v>
      </x:c>
      <x:c r="L3490" s="20" t="n">
        <x:v>0</x:v>
      </x:c>
      <x:c r="M3490" s="20" t="n">
        <x:v>550</x:v>
      </x:c>
      <x:c r="N3490" s="20" t="n">
        <x:f>IF(J3490=1,0,K3490-L3490)</x:f>
        <x:v>850</x:v>
      </x:c>
      <x:c r="O3490" s="20" t="n">
        <x:f>N3490-M3490</x:f>
        <x:v>300</x:v>
      </x:c>
    </x:row>
    <x:row r="3491" ht="22" customHeight="1">
      <x:c r="A3491" s="11" t="n">
        <x:v>3487</x:v>
      </x:c>
      <x:c r="B3491" s="11" t="n">
        <x:v>1775</x:v>
      </x:c>
      <x:c r="C3491" s="18" t="n">
        <x:v>45460</x:v>
      </x:c>
      <x:c r="D3491" s="11" t="str">
        <x:v>2024-06</x:v>
      </x:c>
      <x:c r="E3491" s="11" t="str">
        <x:v>South</x:v>
      </x:c>
      <x:c r="F3491" s="11" t="str">
        <x:v>Furniture</x:v>
      </x:c>
      <x:c r="G3491" s="11" t="str">
        <x:v>Desk</x:v>
      </x:c>
      <x:c r="H3491" s="11" t="n">
        <x:v>4</x:v>
      </x:c>
      <x:c r="I3491" s="19" t="n">
        <x:v>0</x:v>
      </x:c>
      <x:c r="J3491" s="11" t="n">
        <x:v>0</x:v>
      </x:c>
      <x:c r="K3491" s="20" t="n">
        <x:v>1120</x:v>
      </x:c>
      <x:c r="L3491" s="20" t="n">
        <x:v>0</x:v>
      </x:c>
      <x:c r="M3491" s="20" t="n">
        <x:v>760</x:v>
      </x:c>
      <x:c r="N3491" s="20" t="n">
        <x:f>IF(J3491=1,0,K3491-L3491)</x:f>
        <x:v>1120</x:v>
      </x:c>
      <x:c r="O3491" s="20" t="n">
        <x:f>N3491-M3491</x:f>
        <x:v>360</x:v>
      </x:c>
    </x:row>
    <x:row r="3492" ht="22" customHeight="1">
      <x:c r="A3492" s="11" t="n">
        <x:v>3488</x:v>
      </x:c>
      <x:c r="B3492" s="11" t="n">
        <x:v>1776</x:v>
      </x:c>
      <x:c r="C3492" s="18" t="n">
        <x:v>45639</x:v>
      </x:c>
      <x:c r="D3492" s="11" t="str">
        <x:v>2024-12</x:v>
      </x:c>
      <x:c r="E3492" s="11" t="str">
        <x:v>East</x:v>
      </x:c>
      <x:c r="F3492" s="11" t="str">
        <x:v>Office Supplies</x:v>
      </x:c>
      <x:c r="G3492" s="11" t="str">
        <x:v>Notebook pack</x:v>
      </x:c>
      <x:c r="H3492" s="11" t="n">
        <x:v>2</x:v>
      </x:c>
      <x:c r="I3492" s="19" t="n">
        <x:v>0</x:v>
      </x:c>
      <x:c r="J3492" s="11" t="n">
        <x:v>0</x:v>
      </x:c>
      <x:c r="K3492" s="20" t="n">
        <x:v>36</x:v>
      </x:c>
      <x:c r="L3492" s="20" t="n">
        <x:v>0</x:v>
      </x:c>
      <x:c r="M3492" s="20" t="n">
        <x:v>14</x:v>
      </x:c>
      <x:c r="N3492" s="20" t="n">
        <x:f>IF(J3492=1,0,K3492-L3492)</x:f>
        <x:v>36</x:v>
      </x:c>
      <x:c r="O3492" s="20" t="n">
        <x:f>N3492-M3492</x:f>
        <x:v>22</x:v>
      </x:c>
    </x:row>
    <x:row r="3493" ht="22" customHeight="1">
      <x:c r="A3493" s="11" t="n">
        <x:v>3489</x:v>
      </x:c>
      <x:c r="B3493" s="11" t="n">
        <x:v>1776</x:v>
      </x:c>
      <x:c r="C3493" s="18" t="n">
        <x:v>45639</x:v>
      </x:c>
      <x:c r="D3493" s="11" t="str">
        <x:v>2024-12</x:v>
      </x:c>
      <x:c r="E3493" s="11" t="str">
        <x:v>East</x:v>
      </x:c>
      <x:c r="F3493" s="11" t="str">
        <x:v>Technology</x:v>
      </x:c>
      <x:c r="G3493" s="11" t="str">
        <x:v>Keyboard</x:v>
      </x:c>
      <x:c r="H3493" s="11" t="n">
        <x:v>5</x:v>
      </x:c>
      <x:c r="I3493" s="19" t="n">
        <x:v>0.05</x:v>
      </x:c>
      <x:c r="J3493" s="11" t="n">
        <x:v>0</x:v>
      </x:c>
      <x:c r="K3493" s="20" t="n">
        <x:v>325</x:v>
      </x:c>
      <x:c r="L3493" s="20" t="n">
        <x:v>16.25</x:v>
      </x:c>
      <x:c r="M3493" s="20" t="n">
        <x:v>160</x:v>
      </x:c>
      <x:c r="N3493" s="20" t="n">
        <x:f>IF(J3493=1,0,K3493-L3493)</x:f>
        <x:v>308.75</x:v>
      </x:c>
      <x:c r="O3493" s="20" t="n">
        <x:f>N3493-M3493</x:f>
        <x:v>148.75</x:v>
      </x:c>
    </x:row>
    <x:row r="3494" ht="22" customHeight="1">
      <x:c r="A3494" s="11" t="n">
        <x:v>3490</x:v>
      </x:c>
      <x:c r="B3494" s="11" t="n">
        <x:v>1776</x:v>
      </x:c>
      <x:c r="C3494" s="18" t="n">
        <x:v>45639</x:v>
      </x:c>
      <x:c r="D3494" s="11" t="str">
        <x:v>2024-12</x:v>
      </x:c>
      <x:c r="E3494" s="11" t="str">
        <x:v>East</x:v>
      </x:c>
      <x:c r="F3494" s="11" t="str">
        <x:v>Technology</x:v>
      </x:c>
      <x:c r="G3494" s="11" t="str">
        <x:v>Monitor</x:v>
      </x:c>
      <x:c r="H3494" s="11" t="n">
        <x:v>5</x:v>
      </x:c>
      <x:c r="I3494" s="19" t="n">
        <x:v>0</x:v>
      </x:c>
      <x:c r="J3494" s="11" t="n">
        <x:v>0</x:v>
      </x:c>
      <x:c r="K3494" s="20" t="n">
        <x:v>1200</x:v>
      </x:c>
      <x:c r="L3494" s="20" t="n">
        <x:v>0</x:v>
      </x:c>
      <x:c r="M3494" s="20" t="n">
        <x:v>800</x:v>
      </x:c>
      <x:c r="N3494" s="20" t="n">
        <x:f>IF(J3494=1,0,K3494-L3494)</x:f>
        <x:v>1200</x:v>
      </x:c>
      <x:c r="O3494" s="20" t="n">
        <x:f>N3494-M3494</x:f>
        <x:v>400</x:v>
      </x:c>
    </x:row>
    <x:row r="3495" ht="22" customHeight="1">
      <x:c r="A3495" s="11" t="n">
        <x:v>3491</x:v>
      </x:c>
      <x:c r="B3495" s="11" t="n">
        <x:v>1777</x:v>
      </x:c>
      <x:c r="C3495" s="18" t="n">
        <x:v>45683</x:v>
      </x:c>
      <x:c r="D3495" s="11" t="str">
        <x:v>2025-01</x:v>
      </x:c>
      <x:c r="E3495" s="11" t="str">
        <x:v>West</x:v>
      </x:c>
      <x:c r="F3495" s="11" t="str">
        <x:v>Furniture</x:v>
      </x:c>
      <x:c r="G3495" s="11" t="str">
        <x:v>Desk</x:v>
      </x:c>
      <x:c r="H3495" s="11" t="n">
        <x:v>5</x:v>
      </x:c>
      <x:c r="I3495" s="19" t="n">
        <x:v>0.15</x:v>
      </x:c>
      <x:c r="J3495" s="11" t="n">
        <x:v>0</x:v>
      </x:c>
      <x:c r="K3495" s="20" t="n">
        <x:v>1400</x:v>
      </x:c>
      <x:c r="L3495" s="20" t="n">
        <x:v>210</x:v>
      </x:c>
      <x:c r="M3495" s="20" t="n">
        <x:v>950</x:v>
      </x:c>
      <x:c r="N3495" s="20" t="n">
        <x:f>IF(J3495=1,0,K3495-L3495)</x:f>
        <x:v>1190</x:v>
      </x:c>
      <x:c r="O3495" s="20" t="n">
        <x:f>N3495-M3495</x:f>
        <x:v>240</x:v>
      </x:c>
    </x:row>
    <x:row r="3496" ht="22" customHeight="1">
      <x:c r="A3496" s="11" t="n">
        <x:v>3492</x:v>
      </x:c>
      <x:c r="B3496" s="11" t="n">
        <x:v>1778</x:v>
      </x:c>
      <x:c r="C3496" s="18" t="n">
        <x:v>45419</x:v>
      </x:c>
      <x:c r="D3496" s="11" t="str">
        <x:v>2024-05</x:v>
      </x:c>
      <x:c r="E3496" s="11" t="str">
        <x:v>East</x:v>
      </x:c>
      <x:c r="F3496" s="11" t="str">
        <x:v>Furniture</x:v>
      </x:c>
      <x:c r="G3496" s="11" t="str">
        <x:v>Desk</x:v>
      </x:c>
      <x:c r="H3496" s="11" t="n">
        <x:v>5</x:v>
      </x:c>
      <x:c r="I3496" s="19" t="n">
        <x:v>0</x:v>
      </x:c>
      <x:c r="J3496" s="11" t="n">
        <x:v>0</x:v>
      </x:c>
      <x:c r="K3496" s="20" t="n">
        <x:v>1400</x:v>
      </x:c>
      <x:c r="L3496" s="20" t="n">
        <x:v>0</x:v>
      </x:c>
      <x:c r="M3496" s="20" t="n">
        <x:v>950</x:v>
      </x:c>
      <x:c r="N3496" s="20" t="n">
        <x:f>IF(J3496=1,0,K3496-L3496)</x:f>
        <x:v>1400</x:v>
      </x:c>
      <x:c r="O3496" s="20" t="n">
        <x:f>N3496-M3496</x:f>
        <x:v>450</x:v>
      </x:c>
    </x:row>
    <x:row r="3497" ht="22" customHeight="1">
      <x:c r="A3497" s="11" t="n">
        <x:v>3493</x:v>
      </x:c>
      <x:c r="B3497" s="11" t="n">
        <x:v>1779</x:v>
      </x:c>
      <x:c r="C3497" s="18" t="n">
        <x:v>45316</x:v>
      </x:c>
      <x:c r="D3497" s="11" t="str">
        <x:v>2024-01</x:v>
      </x:c>
      <x:c r="E3497" s="11" t="str">
        <x:v>South</x:v>
      </x:c>
      <x:c r="F3497" s="11" t="str">
        <x:v>Technology</x:v>
      </x:c>
      <x:c r="G3497" s="11" t="str">
        <x:v>Keyboard</x:v>
      </x:c>
      <x:c r="H3497" s="11" t="n">
        <x:v>3</x:v>
      </x:c>
      <x:c r="I3497" s="19" t="n">
        <x:v>0.15</x:v>
      </x:c>
      <x:c r="J3497" s="11" t="n">
        <x:v>0</x:v>
      </x:c>
      <x:c r="K3497" s="20" t="n">
        <x:v>195</x:v>
      </x:c>
      <x:c r="L3497" s="20" t="n">
        <x:v>29.25</x:v>
      </x:c>
      <x:c r="M3497" s="20" t="n">
        <x:v>96</x:v>
      </x:c>
      <x:c r="N3497" s="20" t="n">
        <x:f>IF(J3497=1,0,K3497-L3497)</x:f>
        <x:v>165.75</x:v>
      </x:c>
      <x:c r="O3497" s="20" t="n">
        <x:f>N3497-M3497</x:f>
        <x:v>69.75</x:v>
      </x:c>
    </x:row>
    <x:row r="3498" ht="22" customHeight="1">
      <x:c r="A3498" s="11" t="n">
        <x:v>3494</x:v>
      </x:c>
      <x:c r="B3498" s="11" t="n">
        <x:v>1779</x:v>
      </x:c>
      <x:c r="C3498" s="18" t="n">
        <x:v>45316</x:v>
      </x:c>
      <x:c r="D3498" s="11" t="str">
        <x:v>2024-01</x:v>
      </x:c>
      <x:c r="E3498" s="11" t="str">
        <x:v>South</x:v>
      </x:c>
      <x:c r="F3498" s="11" t="str">
        <x:v>Technology</x:v>
      </x:c>
      <x:c r="G3498" s="11" t="str">
        <x:v>Monitor</x:v>
      </x:c>
      <x:c r="H3498" s="11" t="n">
        <x:v>3</x:v>
      </x:c>
      <x:c r="I3498" s="19" t="n">
        <x:v>0.1</x:v>
      </x:c>
      <x:c r="J3498" s="11" t="n">
        <x:v>1</x:v>
      </x:c>
      <x:c r="K3498" s="20" t="n">
        <x:v>720</x:v>
      </x:c>
      <x:c r="L3498" s="20" t="n">
        <x:v>72</x:v>
      </x:c>
      <x:c r="M3498" s="20" t="n">
        <x:v>0</x:v>
      </x:c>
      <x:c r="N3498" s="20" t="n">
        <x:f>IF(J3498=1,0,K3498-L3498)</x:f>
        <x:v>0</x:v>
      </x:c>
      <x:c r="O3498" s="20" t="n">
        <x:f>N3498-M3498</x:f>
        <x:v>0</x:v>
      </x:c>
    </x:row>
    <x:row r="3499" ht="22" customHeight="1">
      <x:c r="A3499" s="11" t="n">
        <x:v>3495</x:v>
      </x:c>
      <x:c r="B3499" s="11" t="n">
        <x:v>1780</x:v>
      </x:c>
      <x:c r="C3499" s="18" t="n">
        <x:v>45343</x:v>
      </x:c>
      <x:c r="D3499" s="11" t="str">
        <x:v>2024-02</x:v>
      </x:c>
      <x:c r="E3499" s="11" t="str">
        <x:v>East</x:v>
      </x:c>
      <x:c r="F3499" s="11" t="str">
        <x:v>Office Supplies</x:v>
      </x:c>
      <x:c r="G3499" s="11" t="str">
        <x:v>Notebook pack</x:v>
      </x:c>
      <x:c r="H3499" s="11" t="n">
        <x:v>4</x:v>
      </x:c>
      <x:c r="I3499" s="19" t="n">
        <x:v>0.05</x:v>
      </x:c>
      <x:c r="J3499" s="11" t="n">
        <x:v>0</x:v>
      </x:c>
      <x:c r="K3499" s="20" t="n">
        <x:v>72</x:v>
      </x:c>
      <x:c r="L3499" s="20" t="n">
        <x:v>3.6</x:v>
      </x:c>
      <x:c r="M3499" s="20" t="n">
        <x:v>28</x:v>
      </x:c>
      <x:c r="N3499" s="20" t="n">
        <x:f>IF(J3499=1,0,K3499-L3499)</x:f>
        <x:v>68.4</x:v>
      </x:c>
      <x:c r="O3499" s="20" t="n">
        <x:f>N3499-M3499</x:f>
        <x:v>40.400000000000006</x:v>
      </x:c>
    </x:row>
    <x:row r="3500" ht="22" customHeight="1">
      <x:c r="A3500" s="11" t="n">
        <x:v>3496</x:v>
      </x:c>
      <x:c r="B3500" s="11" t="n">
        <x:v>1780</x:v>
      </x:c>
      <x:c r="C3500" s="18" t="n">
        <x:v>45343</x:v>
      </x:c>
      <x:c r="D3500" s="11" t="str">
        <x:v>2024-02</x:v>
      </x:c>
      <x:c r="E3500" s="11" t="str">
        <x:v>East</x:v>
      </x:c>
      <x:c r="F3500" s="11" t="str">
        <x:v>Technology</x:v>
      </x:c>
      <x:c r="G3500" s="11" t="str">
        <x:v>Keyboard</x:v>
      </x:c>
      <x:c r="H3500" s="11" t="n">
        <x:v>4</x:v>
      </x:c>
      <x:c r="I3500" s="19" t="n">
        <x:v>0.1</x:v>
      </x:c>
      <x:c r="J3500" s="11" t="n">
        <x:v>0</x:v>
      </x:c>
      <x:c r="K3500" s="20" t="n">
        <x:v>260</x:v>
      </x:c>
      <x:c r="L3500" s="20" t="n">
        <x:v>26</x:v>
      </x:c>
      <x:c r="M3500" s="20" t="n">
        <x:v>128</x:v>
      </x:c>
      <x:c r="N3500" s="20" t="n">
        <x:f>IF(J3500=1,0,K3500-L3500)</x:f>
        <x:v>234</x:v>
      </x:c>
      <x:c r="O3500" s="20" t="n">
        <x:f>N3500-M3500</x:f>
        <x:v>106</x:v>
      </x:c>
    </x:row>
    <x:row r="3501" ht="22" customHeight="1">
      <x:c r="A3501" s="11" t="n">
        <x:v>3497</x:v>
      </x:c>
      <x:c r="B3501" s="11" t="n">
        <x:v>1781</x:v>
      </x:c>
      <x:c r="C3501" s="18" t="n">
        <x:v>45878</x:v>
      </x:c>
      <x:c r="D3501" s="11" t="str">
        <x:v>2025-08</x:v>
      </x:c>
      <x:c r="E3501" s="11" t="str">
        <x:v>East</x:v>
      </x:c>
      <x:c r="F3501" s="11" t="str">
        <x:v>Furniture</x:v>
      </x:c>
      <x:c r="G3501" s="11" t="str">
        <x:v>Desk</x:v>
      </x:c>
      <x:c r="H3501" s="11" t="n">
        <x:v>2</x:v>
      </x:c>
      <x:c r="I3501" s="19" t="n">
        <x:v>0.25</x:v>
      </x:c>
      <x:c r="J3501" s="11" t="n">
        <x:v>0</x:v>
      </x:c>
      <x:c r="K3501" s="20" t="n">
        <x:v>560</x:v>
      </x:c>
      <x:c r="L3501" s="20" t="n">
        <x:v>140</x:v>
      </x:c>
      <x:c r="M3501" s="20" t="n">
        <x:v>380</x:v>
      </x:c>
      <x:c r="N3501" s="20" t="n">
        <x:f>IF(J3501=1,0,K3501-L3501)</x:f>
        <x:v>420</x:v>
      </x:c>
      <x:c r="O3501" s="20" t="n">
        <x:f>N3501-M3501</x:f>
        <x:v>40</x:v>
      </x:c>
    </x:row>
    <x:row r="3502" ht="22" customHeight="1">
      <x:c r="A3502" s="11" t="n">
        <x:v>3498</x:v>
      </x:c>
      <x:c r="B3502" s="11" t="n">
        <x:v>1781</x:v>
      </x:c>
      <x:c r="C3502" s="18" t="n">
        <x:v>45878</x:v>
      </x:c>
      <x:c r="D3502" s="11" t="str">
        <x:v>2025-08</x:v>
      </x:c>
      <x:c r="E3502" s="11" t="str">
        <x:v>East</x:v>
      </x:c>
      <x:c r="F3502" s="11" t="str">
        <x:v>Technology</x:v>
      </x:c>
      <x:c r="G3502" s="11" t="str">
        <x:v>Keyboard</x:v>
      </x:c>
      <x:c r="H3502" s="11" t="n">
        <x:v>4</x:v>
      </x:c>
      <x:c r="I3502" s="19" t="n">
        <x:v>0</x:v>
      </x:c>
      <x:c r="J3502" s="11" t="n">
        <x:v>0</x:v>
      </x:c>
      <x:c r="K3502" s="20" t="n">
        <x:v>260</x:v>
      </x:c>
      <x:c r="L3502" s="20" t="n">
        <x:v>0</x:v>
      </x:c>
      <x:c r="M3502" s="20" t="n">
        <x:v>128</x:v>
      </x:c>
      <x:c r="N3502" s="20" t="n">
        <x:f>IF(J3502=1,0,K3502-L3502)</x:f>
        <x:v>260</x:v>
      </x:c>
      <x:c r="O3502" s="20" t="n">
        <x:f>N3502-M3502</x:f>
        <x:v>132</x:v>
      </x:c>
    </x:row>
    <x:row r="3503" ht="22" customHeight="1">
      <x:c r="A3503" s="11" t="n">
        <x:v>3499</x:v>
      </x:c>
      <x:c r="B3503" s="11" t="n">
        <x:v>1782</x:v>
      </x:c>
      <x:c r="C3503" s="18" t="n">
        <x:v>45630</x:v>
      </x:c>
      <x:c r="D3503" s="11" t="str">
        <x:v>2024-12</x:v>
      </x:c>
      <x:c r="E3503" s="11" t="str">
        <x:v>South</x:v>
      </x:c>
      <x:c r="F3503" s="11" t="str">
        <x:v>Furniture</x:v>
      </x:c>
      <x:c r="G3503" s="11" t="str">
        <x:v>Chair</x:v>
      </x:c>
      <x:c r="H3503" s="11" t="n">
        <x:v>3</x:v>
      </x:c>
      <x:c r="I3503" s="19" t="n">
        <x:v>0.05</x:v>
      </x:c>
      <x:c r="J3503" s="11" t="n">
        <x:v>0</x:v>
      </x:c>
      <x:c r="K3503" s="20" t="n">
        <x:v>510</x:v>
      </x:c>
      <x:c r="L3503" s="20" t="n">
        <x:v>25.5</x:v>
      </x:c>
      <x:c r="M3503" s="20" t="n">
        <x:v>330</x:v>
      </x:c>
      <x:c r="N3503" s="20" t="n">
        <x:f>IF(J3503=1,0,K3503-L3503)</x:f>
        <x:v>484.5</x:v>
      </x:c>
      <x:c r="O3503" s="20" t="n">
        <x:f>N3503-M3503</x:f>
        <x:v>154.5</x:v>
      </x:c>
    </x:row>
    <x:row r="3504" ht="22" customHeight="1">
      <x:c r="A3504" s="11" t="n">
        <x:v>3500</x:v>
      </x:c>
      <x:c r="B3504" s="11" t="n">
        <x:v>1782</x:v>
      </x:c>
      <x:c r="C3504" s="18" t="n">
        <x:v>45630</x:v>
      </x:c>
      <x:c r="D3504" s="11" t="str">
        <x:v>2024-12</x:v>
      </x:c>
      <x:c r="E3504" s="11" t="str">
        <x:v>South</x:v>
      </x:c>
      <x:c r="F3504" s="11" t="str">
        <x:v>Technology</x:v>
      </x:c>
      <x:c r="G3504" s="11" t="str">
        <x:v>Monitor</x:v>
      </x:c>
      <x:c r="H3504" s="11" t="n">
        <x:v>1</x:v>
      </x:c>
      <x:c r="I3504" s="19" t="n">
        <x:v>0.15</x:v>
      </x:c>
      <x:c r="J3504" s="11" t="n">
        <x:v>0</x:v>
      </x:c>
      <x:c r="K3504" s="20" t="n">
        <x:v>240</x:v>
      </x:c>
      <x:c r="L3504" s="20" t="n">
        <x:v>36</x:v>
      </x:c>
      <x:c r="M3504" s="20" t="n">
        <x:v>160</x:v>
      </x:c>
      <x:c r="N3504" s="20" t="n">
        <x:f>IF(J3504=1,0,K3504-L3504)</x:f>
        <x:v>204</x:v>
      </x:c>
      <x:c r="O3504" s="20" t="n">
        <x:f>N3504-M3504</x:f>
        <x:v>44</x:v>
      </x:c>
    </x:row>
    <x:row r="3505" ht="22" customHeight="1">
      <x:c r="A3505" s="11" t="n">
        <x:v>3501</x:v>
      </x:c>
      <x:c r="B3505" s="11" t="n">
        <x:v>1783</x:v>
      </x:c>
      <x:c r="C3505" s="18" t="n">
        <x:v>45570</x:v>
      </x:c>
      <x:c r="D3505" s="11" t="str">
        <x:v>2024-10</x:v>
      </x:c>
      <x:c r="E3505" s="11" t="str">
        <x:v>South</x:v>
      </x:c>
      <x:c r="F3505" s="11" t="str">
        <x:v>Furniture</x:v>
      </x:c>
      <x:c r="G3505" s="11" t="str">
        <x:v>Chair</x:v>
      </x:c>
      <x:c r="H3505" s="11" t="n">
        <x:v>1</x:v>
      </x:c>
      <x:c r="I3505" s="19" t="n">
        <x:v>0</x:v>
      </x:c>
      <x:c r="J3505" s="11" t="n">
        <x:v>0</x:v>
      </x:c>
      <x:c r="K3505" s="20" t="n">
        <x:v>170</x:v>
      </x:c>
      <x:c r="L3505" s="20" t="n">
        <x:v>0</x:v>
      </x:c>
      <x:c r="M3505" s="20" t="n">
        <x:v>110</x:v>
      </x:c>
      <x:c r="N3505" s="20" t="n">
        <x:f>IF(J3505=1,0,K3505-L3505)</x:f>
        <x:v>170</x:v>
      </x:c>
      <x:c r="O3505" s="20" t="n">
        <x:f>N3505-M3505</x:f>
        <x:v>60</x:v>
      </x:c>
    </x:row>
    <x:row r="3506" ht="22" customHeight="1">
      <x:c r="A3506" s="11" t="n">
        <x:v>3502</x:v>
      </x:c>
      <x:c r="B3506" s="11" t="n">
        <x:v>1783</x:v>
      </x:c>
      <x:c r="C3506" s="18" t="n">
        <x:v>45570</x:v>
      </x:c>
      <x:c r="D3506" s="11" t="str">
        <x:v>2024-10</x:v>
      </x:c>
      <x:c r="E3506" s="11" t="str">
        <x:v>South</x:v>
      </x:c>
      <x:c r="F3506" s="11" t="str">
        <x:v>Technology</x:v>
      </x:c>
      <x:c r="G3506" s="11" t="str">
        <x:v>Keyboard</x:v>
      </x:c>
      <x:c r="H3506" s="11" t="n">
        <x:v>5</x:v>
      </x:c>
      <x:c r="I3506" s="19" t="n">
        <x:v>0.05</x:v>
      </x:c>
      <x:c r="J3506" s="11" t="n">
        <x:v>0</x:v>
      </x:c>
      <x:c r="K3506" s="20" t="n">
        <x:v>325</x:v>
      </x:c>
      <x:c r="L3506" s="20" t="n">
        <x:v>16.25</x:v>
      </x:c>
      <x:c r="M3506" s="20" t="n">
        <x:v>160</x:v>
      </x:c>
      <x:c r="N3506" s="20" t="n">
        <x:f>IF(J3506=1,0,K3506-L3506)</x:f>
        <x:v>308.75</x:v>
      </x:c>
      <x:c r="O3506" s="20" t="n">
        <x:f>N3506-M3506</x:f>
        <x:v>148.75</x:v>
      </x:c>
    </x:row>
    <x:row r="3507" ht="22" customHeight="1">
      <x:c r="A3507" s="11" t="n">
        <x:v>3503</x:v>
      </x:c>
      <x:c r="B3507" s="11" t="n">
        <x:v>1783</x:v>
      </x:c>
      <x:c r="C3507" s="18" t="n">
        <x:v>45570</x:v>
      </x:c>
      <x:c r="D3507" s="11" t="str">
        <x:v>2024-10</x:v>
      </x:c>
      <x:c r="E3507" s="11" t="str">
        <x:v>South</x:v>
      </x:c>
      <x:c r="F3507" s="11" t="str">
        <x:v>Office Supplies</x:v>
      </x:c>
      <x:c r="G3507" s="11" t="str">
        <x:v>Notebook pack</x:v>
      </x:c>
      <x:c r="H3507" s="11" t="n">
        <x:v>4</x:v>
      </x:c>
      <x:c r="I3507" s="19" t="n">
        <x:v>0</x:v>
      </x:c>
      <x:c r="J3507" s="11" t="n">
        <x:v>0</x:v>
      </x:c>
      <x:c r="K3507" s="20" t="n">
        <x:v>72</x:v>
      </x:c>
      <x:c r="L3507" s="20" t="n">
        <x:v>0</x:v>
      </x:c>
      <x:c r="M3507" s="20" t="n">
        <x:v>28</x:v>
      </x:c>
      <x:c r="N3507" s="20" t="n">
        <x:f>IF(J3507=1,0,K3507-L3507)</x:f>
        <x:v>72</x:v>
      </x:c>
      <x:c r="O3507" s="20" t="n">
        <x:f>N3507-M3507</x:f>
        <x:v>44</x:v>
      </x:c>
    </x:row>
    <x:row r="3508" ht="22" customHeight="1">
      <x:c r="A3508" s="11" t="n">
        <x:v>3504</x:v>
      </x:c>
      <x:c r="B3508" s="11" t="n">
        <x:v>1784</x:v>
      </x:c>
      <x:c r="C3508" s="18" t="n">
        <x:v>45342</x:v>
      </x:c>
      <x:c r="D3508" s="11" t="str">
        <x:v>2024-02</x:v>
      </x:c>
      <x:c r="E3508" s="11" t="str">
        <x:v>Central</x:v>
      </x:c>
      <x:c r="F3508" s="11" t="str">
        <x:v>Technology</x:v>
      </x:c>
      <x:c r="G3508" s="11" t="str">
        <x:v>Keyboard</x:v>
      </x:c>
      <x:c r="H3508" s="11" t="n">
        <x:v>3</x:v>
      </x:c>
      <x:c r="I3508" s="19" t="n">
        <x:v>0.05</x:v>
      </x:c>
      <x:c r="J3508" s="11" t="n">
        <x:v>0</x:v>
      </x:c>
      <x:c r="K3508" s="20" t="n">
        <x:v>195</x:v>
      </x:c>
      <x:c r="L3508" s="20" t="n">
        <x:v>9.75</x:v>
      </x:c>
      <x:c r="M3508" s="20" t="n">
        <x:v>96</x:v>
      </x:c>
      <x:c r="N3508" s="20" t="n">
        <x:f>IF(J3508=1,0,K3508-L3508)</x:f>
        <x:v>185.25</x:v>
      </x:c>
      <x:c r="O3508" s="20" t="n">
        <x:f>N3508-M3508</x:f>
        <x:v>89.25</x:v>
      </x:c>
    </x:row>
    <x:row r="3509" ht="22" customHeight="1">
      <x:c r="A3509" s="11" t="n">
        <x:v>3505</x:v>
      </x:c>
      <x:c r="B3509" s="11" t="n">
        <x:v>1784</x:v>
      </x:c>
      <x:c r="C3509" s="18" t="n">
        <x:v>45342</x:v>
      </x:c>
      <x:c r="D3509" s="11" t="str">
        <x:v>2024-02</x:v>
      </x:c>
      <x:c r="E3509" s="11" t="str">
        <x:v>Central</x:v>
      </x:c>
      <x:c r="F3509" s="11" t="str">
        <x:v>Furniture</x:v>
      </x:c>
      <x:c r="G3509" s="11" t="str">
        <x:v>Desk</x:v>
      </x:c>
      <x:c r="H3509" s="11" t="n">
        <x:v>5</x:v>
      </x:c>
      <x:c r="I3509" s="19" t="n">
        <x:v>0</x:v>
      </x:c>
      <x:c r="J3509" s="11" t="n">
        <x:v>0</x:v>
      </x:c>
      <x:c r="K3509" s="20" t="n">
        <x:v>1400</x:v>
      </x:c>
      <x:c r="L3509" s="20" t="n">
        <x:v>0</x:v>
      </x:c>
      <x:c r="M3509" s="20" t="n">
        <x:v>950</x:v>
      </x:c>
      <x:c r="N3509" s="20" t="n">
        <x:f>IF(J3509=1,0,K3509-L3509)</x:f>
        <x:v>1400</x:v>
      </x:c>
      <x:c r="O3509" s="20" t="n">
        <x:f>N3509-M3509</x:f>
        <x:v>450</x:v>
      </x:c>
    </x:row>
    <x:row r="3510" ht="22" customHeight="1">
      <x:c r="A3510" s="11" t="n">
        <x:v>3506</x:v>
      </x:c>
      <x:c r="B3510" s="11" t="n">
        <x:v>1784</x:v>
      </x:c>
      <x:c r="C3510" s="18" t="n">
        <x:v>45342</x:v>
      </x:c>
      <x:c r="D3510" s="11" t="str">
        <x:v>2024-02</x:v>
      </x:c>
      <x:c r="E3510" s="11" t="str">
        <x:v>Central</x:v>
      </x:c>
      <x:c r="F3510" s="11" t="str">
        <x:v>Furniture</x:v>
      </x:c>
      <x:c r="G3510" s="11" t="str">
        <x:v>Chair</x:v>
      </x:c>
      <x:c r="H3510" s="11" t="n">
        <x:v>2</x:v>
      </x:c>
      <x:c r="I3510" s="19" t="n">
        <x:v>0.25</x:v>
      </x:c>
      <x:c r="J3510" s="11" t="n">
        <x:v>0</x:v>
      </x:c>
      <x:c r="K3510" s="20" t="n">
        <x:v>340</x:v>
      </x:c>
      <x:c r="L3510" s="20" t="n">
        <x:v>85</x:v>
      </x:c>
      <x:c r="M3510" s="20" t="n">
        <x:v>220</x:v>
      </x:c>
      <x:c r="N3510" s="20" t="n">
        <x:f>IF(J3510=1,0,K3510-L3510)</x:f>
        <x:v>255</x:v>
      </x:c>
      <x:c r="O3510" s="20" t="n">
        <x:f>N3510-M3510</x:f>
        <x:v>35</x:v>
      </x:c>
    </x:row>
    <x:row r="3511" ht="22" customHeight="1">
      <x:c r="A3511" s="11" t="n">
        <x:v>3507</x:v>
      </x:c>
      <x:c r="B3511" s="11" t="n">
        <x:v>1785</x:v>
      </x:c>
      <x:c r="C3511" s="18" t="n">
        <x:v>45372</x:v>
      </x:c>
      <x:c r="D3511" s="11" t="str">
        <x:v>2024-03</x:v>
      </x:c>
      <x:c r="E3511" s="11" t="str">
        <x:v>East</x:v>
      </x:c>
      <x:c r="F3511" s="11" t="str">
        <x:v>Office Supplies</x:v>
      </x:c>
      <x:c r="G3511" s="11" t="str">
        <x:v>Notebook pack</x:v>
      </x:c>
      <x:c r="H3511" s="11" t="n">
        <x:v>5</x:v>
      </x:c>
      <x:c r="I3511" s="19" t="n">
        <x:v>0.1</x:v>
      </x:c>
      <x:c r="J3511" s="11" t="n">
        <x:v>0</x:v>
      </x:c>
      <x:c r="K3511" s="20" t="n">
        <x:v>90</x:v>
      </x:c>
      <x:c r="L3511" s="20" t="n">
        <x:v>9</x:v>
      </x:c>
      <x:c r="M3511" s="20" t="n">
        <x:v>35</x:v>
      </x:c>
      <x:c r="N3511" s="20" t="n">
        <x:f>IF(J3511=1,0,K3511-L3511)</x:f>
        <x:v>81</x:v>
      </x:c>
      <x:c r="O3511" s="20" t="n">
        <x:f>N3511-M3511</x:f>
        <x:v>46</x:v>
      </x:c>
    </x:row>
    <x:row r="3512" ht="22" customHeight="1">
      <x:c r="A3512" s="11" t="n">
        <x:v>3508</x:v>
      </x:c>
      <x:c r="B3512" s="11" t="n">
        <x:v>1785</x:v>
      </x:c>
      <x:c r="C3512" s="18" t="n">
        <x:v>45372</x:v>
      </x:c>
      <x:c r="D3512" s="11" t="str">
        <x:v>2024-03</x:v>
      </x:c>
      <x:c r="E3512" s="11" t="str">
        <x:v>East</x:v>
      </x:c>
      <x:c r="F3512" s="11" t="str">
        <x:v>Office Supplies</x:v>
      </x:c>
      <x:c r="G3512" s="11" t="str">
        <x:v>Storage box</x:v>
      </x:c>
      <x:c r="H3512" s="11" t="n">
        <x:v>3</x:v>
      </x:c>
      <x:c r="I3512" s="19" t="n">
        <x:v>0.1</x:v>
      </x:c>
      <x:c r="J3512" s="11" t="n">
        <x:v>0</x:v>
      </x:c>
      <x:c r="K3512" s="20" t="n">
        <x:v>78</x:v>
      </x:c>
      <x:c r="L3512" s="20" t="n">
        <x:v>7.8</x:v>
      </x:c>
      <x:c r="M3512" s="20" t="n">
        <x:v>36</x:v>
      </x:c>
      <x:c r="N3512" s="20" t="n">
        <x:f>IF(J3512=1,0,K3512-L3512)</x:f>
        <x:v>70.2</x:v>
      </x:c>
      <x:c r="O3512" s="20" t="n">
        <x:f>N3512-M3512</x:f>
        <x:v>34.2</x:v>
      </x:c>
    </x:row>
    <x:row r="3513" ht="22" customHeight="1">
      <x:c r="A3513" s="11" t="n">
        <x:v>3509</x:v>
      </x:c>
      <x:c r="B3513" s="11" t="n">
        <x:v>1785</x:v>
      </x:c>
      <x:c r="C3513" s="18" t="n">
        <x:v>45372</x:v>
      </x:c>
      <x:c r="D3513" s="11" t="str">
        <x:v>2024-03</x:v>
      </x:c>
      <x:c r="E3513" s="11" t="str">
        <x:v>East</x:v>
      </x:c>
      <x:c r="F3513" s="11" t="str">
        <x:v>Technology</x:v>
      </x:c>
      <x:c r="G3513" s="11" t="str">
        <x:v>Monitor</x:v>
      </x:c>
      <x:c r="H3513" s="11" t="n">
        <x:v>2</x:v>
      </x:c>
      <x:c r="I3513" s="19" t="n">
        <x:v>0.05</x:v>
      </x:c>
      <x:c r="J3513" s="11" t="n">
        <x:v>0</x:v>
      </x:c>
      <x:c r="K3513" s="20" t="n">
        <x:v>480</x:v>
      </x:c>
      <x:c r="L3513" s="20" t="n">
        <x:v>24</x:v>
      </x:c>
      <x:c r="M3513" s="20" t="n">
        <x:v>320</x:v>
      </x:c>
      <x:c r="N3513" s="20" t="n">
        <x:f>IF(J3513=1,0,K3513-L3513)</x:f>
        <x:v>456</x:v>
      </x:c>
      <x:c r="O3513" s="20" t="n">
        <x:f>N3513-M3513</x:f>
        <x:v>136</x:v>
      </x:c>
    </x:row>
    <x:row r="3514" ht="22" customHeight="1">
      <x:c r="A3514" s="11" t="n">
        <x:v>3510</x:v>
      </x:c>
      <x:c r="B3514" s="11" t="n">
        <x:v>1786</x:v>
      </x:c>
      <x:c r="C3514" s="18" t="n">
        <x:v>45560</x:v>
      </x:c>
      <x:c r="D3514" s="11" t="str">
        <x:v>2024-09</x:v>
      </x:c>
      <x:c r="E3514" s="11" t="str">
        <x:v>East</x:v>
      </x:c>
      <x:c r="F3514" s="11" t="str">
        <x:v>Office Supplies</x:v>
      </x:c>
      <x:c r="G3514" s="11" t="str">
        <x:v>Storage box</x:v>
      </x:c>
      <x:c r="H3514" s="11" t="n">
        <x:v>1</x:v>
      </x:c>
      <x:c r="I3514" s="19" t="n">
        <x:v>0.05</x:v>
      </x:c>
      <x:c r="J3514" s="11" t="n">
        <x:v>0</x:v>
      </x:c>
      <x:c r="K3514" s="20" t="n">
        <x:v>26</x:v>
      </x:c>
      <x:c r="L3514" s="20" t="n">
        <x:v>1.3</x:v>
      </x:c>
      <x:c r="M3514" s="20" t="n">
        <x:v>12</x:v>
      </x:c>
      <x:c r="N3514" s="20" t="n">
        <x:f>IF(J3514=1,0,K3514-L3514)</x:f>
        <x:v>24.7</x:v>
      </x:c>
      <x:c r="O3514" s="20" t="n">
        <x:f>N3514-M3514</x:f>
        <x:v>12.7</x:v>
      </x:c>
    </x:row>
    <x:row r="3515" ht="22" customHeight="1">
      <x:c r="A3515" s="11" t="n">
        <x:v>3511</x:v>
      </x:c>
      <x:c r="B3515" s="11" t="n">
        <x:v>1786</x:v>
      </x:c>
      <x:c r="C3515" s="18" t="n">
        <x:v>45560</x:v>
      </x:c>
      <x:c r="D3515" s="11" t="str">
        <x:v>2024-09</x:v>
      </x:c>
      <x:c r="E3515" s="11" t="str">
        <x:v>East</x:v>
      </x:c>
      <x:c r="F3515" s="11" t="str">
        <x:v>Technology</x:v>
      </x:c>
      <x:c r="G3515" s="11" t="str">
        <x:v>Monitor</x:v>
      </x:c>
      <x:c r="H3515" s="11" t="n">
        <x:v>4</x:v>
      </x:c>
      <x:c r="I3515" s="19" t="n">
        <x:v>0.15</x:v>
      </x:c>
      <x:c r="J3515" s="11" t="n">
        <x:v>0</x:v>
      </x:c>
      <x:c r="K3515" s="20" t="n">
        <x:v>960</x:v>
      </x:c>
      <x:c r="L3515" s="20" t="n">
        <x:v>144</x:v>
      </x:c>
      <x:c r="M3515" s="20" t="n">
        <x:v>640</x:v>
      </x:c>
      <x:c r="N3515" s="20" t="n">
        <x:f>IF(J3515=1,0,K3515-L3515)</x:f>
        <x:v>816</x:v>
      </x:c>
      <x:c r="O3515" s="20" t="n">
        <x:f>N3515-M3515</x:f>
        <x:v>176</x:v>
      </x:c>
    </x:row>
    <x:row r="3516" ht="22" customHeight="1">
      <x:c r="A3516" s="11" t="n">
        <x:v>3512</x:v>
      </x:c>
      <x:c r="B3516" s="11" t="n">
        <x:v>1787</x:v>
      </x:c>
      <x:c r="C3516" s="18" t="n">
        <x:v>45895</x:v>
      </x:c>
      <x:c r="D3516" s="11" t="str">
        <x:v>2025-08</x:v>
      </x:c>
      <x:c r="E3516" s="11" t="str">
        <x:v>East</x:v>
      </x:c>
      <x:c r="F3516" s="11" t="str">
        <x:v>Technology</x:v>
      </x:c>
      <x:c r="G3516" s="11" t="str">
        <x:v>Monitor</x:v>
      </x:c>
      <x:c r="H3516" s="11" t="n">
        <x:v>3</x:v>
      </x:c>
      <x:c r="I3516" s="19" t="n">
        <x:v>0</x:v>
      </x:c>
      <x:c r="J3516" s="11" t="n">
        <x:v>0</x:v>
      </x:c>
      <x:c r="K3516" s="20" t="n">
        <x:v>720</x:v>
      </x:c>
      <x:c r="L3516" s="20" t="n">
        <x:v>0</x:v>
      </x:c>
      <x:c r="M3516" s="20" t="n">
        <x:v>480</x:v>
      </x:c>
      <x:c r="N3516" s="20" t="n">
        <x:f>IF(J3516=1,0,K3516-L3516)</x:f>
        <x:v>720</x:v>
      </x:c>
      <x:c r="O3516" s="20" t="n">
        <x:f>N3516-M3516</x:f>
        <x:v>240</x:v>
      </x:c>
    </x:row>
    <x:row r="3517" ht="22" customHeight="1">
      <x:c r="A3517" s="11" t="n">
        <x:v>3513</x:v>
      </x:c>
      <x:c r="B3517" s="11" t="n">
        <x:v>1787</x:v>
      </x:c>
      <x:c r="C3517" s="18" t="n">
        <x:v>45895</x:v>
      </x:c>
      <x:c r="D3517" s="11" t="str">
        <x:v>2025-08</x:v>
      </x:c>
      <x:c r="E3517" s="11" t="str">
        <x:v>East</x:v>
      </x:c>
      <x:c r="F3517" s="11" t="str">
        <x:v>Office Supplies</x:v>
      </x:c>
      <x:c r="G3517" s="11" t="str">
        <x:v>Storage box</x:v>
      </x:c>
      <x:c r="H3517" s="11" t="n">
        <x:v>3</x:v>
      </x:c>
      <x:c r="I3517" s="19" t="n">
        <x:v>0.1</x:v>
      </x:c>
      <x:c r="J3517" s="11" t="n">
        <x:v>0</x:v>
      </x:c>
      <x:c r="K3517" s="20" t="n">
        <x:v>78</x:v>
      </x:c>
      <x:c r="L3517" s="20" t="n">
        <x:v>7.8</x:v>
      </x:c>
      <x:c r="M3517" s="20" t="n">
        <x:v>36</x:v>
      </x:c>
      <x:c r="N3517" s="20" t="n">
        <x:f>IF(J3517=1,0,K3517-L3517)</x:f>
        <x:v>70.2</x:v>
      </x:c>
      <x:c r="O3517" s="20" t="n">
        <x:f>N3517-M3517</x:f>
        <x:v>34.2</x:v>
      </x:c>
    </x:row>
    <x:row r="3518" ht="22" customHeight="1">
      <x:c r="A3518" s="11" t="n">
        <x:v>3514</x:v>
      </x:c>
      <x:c r="B3518" s="11" t="n">
        <x:v>1787</x:v>
      </x:c>
      <x:c r="C3518" s="18" t="n">
        <x:v>45895</x:v>
      </x:c>
      <x:c r="D3518" s="11" t="str">
        <x:v>2025-08</x:v>
      </x:c>
      <x:c r="E3518" s="11" t="str">
        <x:v>East</x:v>
      </x:c>
      <x:c r="F3518" s="11" t="str">
        <x:v>Technology</x:v>
      </x:c>
      <x:c r="G3518" s="11" t="str">
        <x:v>Keyboard</x:v>
      </x:c>
      <x:c r="H3518" s="11" t="n">
        <x:v>5</x:v>
      </x:c>
      <x:c r="I3518" s="19" t="n">
        <x:v>0.15</x:v>
      </x:c>
      <x:c r="J3518" s="11" t="n">
        <x:v>0</x:v>
      </x:c>
      <x:c r="K3518" s="20" t="n">
        <x:v>325</x:v>
      </x:c>
      <x:c r="L3518" s="20" t="n">
        <x:v>48.75</x:v>
      </x:c>
      <x:c r="M3518" s="20" t="n">
        <x:v>160</x:v>
      </x:c>
      <x:c r="N3518" s="20" t="n">
        <x:f>IF(J3518=1,0,K3518-L3518)</x:f>
        <x:v>276.25</x:v>
      </x:c>
      <x:c r="O3518" s="20" t="n">
        <x:f>N3518-M3518</x:f>
        <x:v>116.25</x:v>
      </x:c>
    </x:row>
    <x:row r="3519" ht="22" customHeight="1">
      <x:c r="A3519" s="11" t="n">
        <x:v>3515</x:v>
      </x:c>
      <x:c r="B3519" s="11" t="n">
        <x:v>1788</x:v>
      </x:c>
      <x:c r="C3519" s="18" t="n">
        <x:v>45521</x:v>
      </x:c>
      <x:c r="D3519" s="11" t="str">
        <x:v>2024-08</x:v>
      </x:c>
      <x:c r="E3519" s="11" t="str">
        <x:v>Central</x:v>
      </x:c>
      <x:c r="F3519" s="11" t="str">
        <x:v>Technology</x:v>
      </x:c>
      <x:c r="G3519" s="11" t="str">
        <x:v>Keyboard</x:v>
      </x:c>
      <x:c r="H3519" s="11" t="n">
        <x:v>2</x:v>
      </x:c>
      <x:c r="I3519" s="19" t="n">
        <x:v>0.15</x:v>
      </x:c>
      <x:c r="J3519" s="11" t="n">
        <x:v>0</x:v>
      </x:c>
      <x:c r="K3519" s="20" t="n">
        <x:v>130</x:v>
      </x:c>
      <x:c r="L3519" s="20" t="n">
        <x:v>19.5</x:v>
      </x:c>
      <x:c r="M3519" s="20" t="n">
        <x:v>64</x:v>
      </x:c>
      <x:c r="N3519" s="20" t="n">
        <x:f>IF(J3519=1,0,K3519-L3519)</x:f>
        <x:v>110.5</x:v>
      </x:c>
      <x:c r="O3519" s="20" t="n">
        <x:f>N3519-M3519</x:f>
        <x:v>46.5</x:v>
      </x:c>
    </x:row>
    <x:row r="3520" ht="22" customHeight="1">
      <x:c r="A3520" s="11" t="n">
        <x:v>3516</x:v>
      </x:c>
      <x:c r="B3520" s="11" t="n">
        <x:v>1788</x:v>
      </x:c>
      <x:c r="C3520" s="18" t="n">
        <x:v>45521</x:v>
      </x:c>
      <x:c r="D3520" s="11" t="str">
        <x:v>2024-08</x:v>
      </x:c>
      <x:c r="E3520" s="11" t="str">
        <x:v>Central</x:v>
      </x:c>
      <x:c r="F3520" s="11" t="str">
        <x:v>Furniture</x:v>
      </x:c>
      <x:c r="G3520" s="11" t="str">
        <x:v>Chair</x:v>
      </x:c>
      <x:c r="H3520" s="11" t="n">
        <x:v>5</x:v>
      </x:c>
      <x:c r="I3520" s="19" t="n">
        <x:v>0.1</x:v>
      </x:c>
      <x:c r="J3520" s="11" t="n">
        <x:v>0</x:v>
      </x:c>
      <x:c r="K3520" s="20" t="n">
        <x:v>850</x:v>
      </x:c>
      <x:c r="L3520" s="20" t="n">
        <x:v>85</x:v>
      </x:c>
      <x:c r="M3520" s="20" t="n">
        <x:v>550</x:v>
      </x:c>
      <x:c r="N3520" s="20" t="n">
        <x:f>IF(J3520=1,0,K3520-L3520)</x:f>
        <x:v>765</x:v>
      </x:c>
      <x:c r="O3520" s="20" t="n">
        <x:f>N3520-M3520</x:f>
        <x:v>215</x:v>
      </x:c>
    </x:row>
    <x:row r="3521" ht="22" customHeight="1">
      <x:c r="A3521" s="11" t="n">
        <x:v>3517</x:v>
      </x:c>
      <x:c r="B3521" s="11" t="n">
        <x:v>1788</x:v>
      </x:c>
      <x:c r="C3521" s="18" t="n">
        <x:v>45521</x:v>
      </x:c>
      <x:c r="D3521" s="11" t="str">
        <x:v>2024-08</x:v>
      </x:c>
      <x:c r="E3521" s="11" t="str">
        <x:v>Central</x:v>
      </x:c>
      <x:c r="F3521" s="11" t="str">
        <x:v>Office Supplies</x:v>
      </x:c>
      <x:c r="G3521" s="11" t="str">
        <x:v>Storage box</x:v>
      </x:c>
      <x:c r="H3521" s="11" t="n">
        <x:v>2</x:v>
      </x:c>
      <x:c r="I3521" s="19" t="n">
        <x:v>0</x:v>
      </x:c>
      <x:c r="J3521" s="11" t="n">
        <x:v>0</x:v>
      </x:c>
      <x:c r="K3521" s="20" t="n">
        <x:v>52</x:v>
      </x:c>
      <x:c r="L3521" s="20" t="n">
        <x:v>0</x:v>
      </x:c>
      <x:c r="M3521" s="20" t="n">
        <x:v>24</x:v>
      </x:c>
      <x:c r="N3521" s="20" t="n">
        <x:f>IF(J3521=1,0,K3521-L3521)</x:f>
        <x:v>52</x:v>
      </x:c>
      <x:c r="O3521" s="20" t="n">
        <x:f>N3521-M3521</x:f>
        <x:v>28</x:v>
      </x:c>
    </x:row>
    <x:row r="3522" ht="22" customHeight="1">
      <x:c r="A3522" s="11" t="n">
        <x:v>3518</x:v>
      </x:c>
      <x:c r="B3522" s="11" t="n">
        <x:v>1789</x:v>
      </x:c>
      <x:c r="C3522" s="18" t="n">
        <x:v>45876</x:v>
      </x:c>
      <x:c r="D3522" s="11" t="str">
        <x:v>2025-08</x:v>
      </x:c>
      <x:c r="E3522" s="11" t="str">
        <x:v>East</x:v>
      </x:c>
      <x:c r="F3522" s="11" t="str">
        <x:v>Office Supplies</x:v>
      </x:c>
      <x:c r="G3522" s="11" t="str">
        <x:v>Storage box</x:v>
      </x:c>
      <x:c r="H3522" s="11" t="n">
        <x:v>2</x:v>
      </x:c>
      <x:c r="I3522" s="19" t="n">
        <x:v>0</x:v>
      </x:c>
      <x:c r="J3522" s="11" t="n">
        <x:v>0</x:v>
      </x:c>
      <x:c r="K3522" s="20" t="n">
        <x:v>52</x:v>
      </x:c>
      <x:c r="L3522" s="20" t="n">
        <x:v>0</x:v>
      </x:c>
      <x:c r="M3522" s="20" t="n">
        <x:v>24</x:v>
      </x:c>
      <x:c r="N3522" s="20" t="n">
        <x:f>IF(J3522=1,0,K3522-L3522)</x:f>
        <x:v>52</x:v>
      </x:c>
      <x:c r="O3522" s="20" t="n">
        <x:f>N3522-M3522</x:f>
        <x:v>28</x:v>
      </x:c>
    </x:row>
    <x:row r="3523" ht="22" customHeight="1">
      <x:c r="A3523" s="11" t="n">
        <x:v>3519</x:v>
      </x:c>
      <x:c r="B3523" s="11" t="n">
        <x:v>1790</x:v>
      </x:c>
      <x:c r="C3523" s="18" t="n">
        <x:v>45336</x:v>
      </x:c>
      <x:c r="D3523" s="11" t="str">
        <x:v>2024-02</x:v>
      </x:c>
      <x:c r="E3523" s="11" t="str">
        <x:v>Central</x:v>
      </x:c>
      <x:c r="F3523" s="11" t="str">
        <x:v>Office Supplies</x:v>
      </x:c>
      <x:c r="G3523" s="11" t="str">
        <x:v>Notebook pack</x:v>
      </x:c>
      <x:c r="H3523" s="11" t="n">
        <x:v>2</x:v>
      </x:c>
      <x:c r="I3523" s="19" t="n">
        <x:v>0.05</x:v>
      </x:c>
      <x:c r="J3523" s="11" t="n">
        <x:v>0</x:v>
      </x:c>
      <x:c r="K3523" s="20" t="n">
        <x:v>36</x:v>
      </x:c>
      <x:c r="L3523" s="20" t="n">
        <x:v>1.8</x:v>
      </x:c>
      <x:c r="M3523" s="20" t="n">
        <x:v>14</x:v>
      </x:c>
      <x:c r="N3523" s="20" t="n">
        <x:f>IF(J3523=1,0,K3523-L3523)</x:f>
        <x:v>34.2</x:v>
      </x:c>
      <x:c r="O3523" s="20" t="n">
        <x:f>N3523-M3523</x:f>
        <x:v>20.200000000000003</x:v>
      </x:c>
    </x:row>
    <x:row r="3524" ht="22" customHeight="1">
      <x:c r="A3524" s="11" t="n">
        <x:v>3520</x:v>
      </x:c>
      <x:c r="B3524" s="11" t="n">
        <x:v>1790</x:v>
      </x:c>
      <x:c r="C3524" s="18" t="n">
        <x:v>45336</x:v>
      </x:c>
      <x:c r="D3524" s="11" t="str">
        <x:v>2024-02</x:v>
      </x:c>
      <x:c r="E3524" s="11" t="str">
        <x:v>Central</x:v>
      </x:c>
      <x:c r="F3524" s="11" t="str">
        <x:v>Technology</x:v>
      </x:c>
      <x:c r="G3524" s="11" t="str">
        <x:v>Monitor</x:v>
      </x:c>
      <x:c r="H3524" s="11" t="n">
        <x:v>4</x:v>
      </x:c>
      <x:c r="I3524" s="19" t="n">
        <x:v>0.05</x:v>
      </x:c>
      <x:c r="J3524" s="11" t="n">
        <x:v>0</x:v>
      </x:c>
      <x:c r="K3524" s="20" t="n">
        <x:v>960</x:v>
      </x:c>
      <x:c r="L3524" s="20" t="n">
        <x:v>48</x:v>
      </x:c>
      <x:c r="M3524" s="20" t="n">
        <x:v>640</x:v>
      </x:c>
      <x:c r="N3524" s="20" t="n">
        <x:f>IF(J3524=1,0,K3524-L3524)</x:f>
        <x:v>912</x:v>
      </x:c>
      <x:c r="O3524" s="20" t="n">
        <x:f>N3524-M3524</x:f>
        <x:v>272</x:v>
      </x:c>
    </x:row>
    <x:row r="3525" ht="22" customHeight="1">
      <x:c r="A3525" s="11" t="n">
        <x:v>3521</x:v>
      </x:c>
      <x:c r="B3525" s="11" t="n">
        <x:v>1791</x:v>
      </x:c>
      <x:c r="C3525" s="18" t="n">
        <x:v>45891</x:v>
      </x:c>
      <x:c r="D3525" s="11" t="str">
        <x:v>2025-08</x:v>
      </x:c>
      <x:c r="E3525" s="11" t="str">
        <x:v>West</x:v>
      </x:c>
      <x:c r="F3525" s="11" t="str">
        <x:v>Furniture</x:v>
      </x:c>
      <x:c r="G3525" s="11" t="str">
        <x:v>Chair</x:v>
      </x:c>
      <x:c r="H3525" s="11" t="n">
        <x:v>1</x:v>
      </x:c>
      <x:c r="I3525" s="19" t="n">
        <x:v>0</x:v>
      </x:c>
      <x:c r="J3525" s="11" t="n">
        <x:v>0</x:v>
      </x:c>
      <x:c r="K3525" s="20" t="n">
        <x:v>170</x:v>
      </x:c>
      <x:c r="L3525" s="20" t="n">
        <x:v>0</x:v>
      </x:c>
      <x:c r="M3525" s="20" t="n">
        <x:v>110</x:v>
      </x:c>
      <x:c r="N3525" s="20" t="n">
        <x:f>IF(J3525=1,0,K3525-L3525)</x:f>
        <x:v>170</x:v>
      </x:c>
      <x:c r="O3525" s="20" t="n">
        <x:f>N3525-M3525</x:f>
        <x:v>60</x:v>
      </x:c>
    </x:row>
    <x:row r="3526" ht="22" customHeight="1">
      <x:c r="A3526" s="11" t="n">
        <x:v>3522</x:v>
      </x:c>
      <x:c r="B3526" s="11" t="n">
        <x:v>1792</x:v>
      </x:c>
      <x:c r="C3526" s="18" t="n">
        <x:v>45872</x:v>
      </x:c>
      <x:c r="D3526" s="11" t="str">
        <x:v>2025-08</x:v>
      </x:c>
      <x:c r="E3526" s="11" t="str">
        <x:v>West</x:v>
      </x:c>
      <x:c r="F3526" s="11" t="str">
        <x:v>Furniture</x:v>
      </x:c>
      <x:c r="G3526" s="11" t="str">
        <x:v>Desk</x:v>
      </x:c>
      <x:c r="H3526" s="11" t="n">
        <x:v>5</x:v>
      </x:c>
      <x:c r="I3526" s="19" t="n">
        <x:v>0.05</x:v>
      </x:c>
      <x:c r="J3526" s="11" t="n">
        <x:v>0</x:v>
      </x:c>
      <x:c r="K3526" s="20" t="n">
        <x:v>1400</x:v>
      </x:c>
      <x:c r="L3526" s="20" t="n">
        <x:v>70</x:v>
      </x:c>
      <x:c r="M3526" s="20" t="n">
        <x:v>950</x:v>
      </x:c>
      <x:c r="N3526" s="20" t="n">
        <x:f>IF(J3526=1,0,K3526-L3526)</x:f>
        <x:v>1330</x:v>
      </x:c>
      <x:c r="O3526" s="20" t="n">
        <x:f>N3526-M3526</x:f>
        <x:v>380</x:v>
      </x:c>
    </x:row>
    <x:row r="3527" ht="22" customHeight="1">
      <x:c r="A3527" s="11" t="n">
        <x:v>3523</x:v>
      </x:c>
      <x:c r="B3527" s="11" t="n">
        <x:v>1792</x:v>
      </x:c>
      <x:c r="C3527" s="18" t="n">
        <x:v>45872</x:v>
      </x:c>
      <x:c r="D3527" s="11" t="str">
        <x:v>2025-08</x:v>
      </x:c>
      <x:c r="E3527" s="11" t="str">
        <x:v>West</x:v>
      </x:c>
      <x:c r="F3527" s="11" t="str">
        <x:v>Furniture</x:v>
      </x:c>
      <x:c r="G3527" s="11" t="str">
        <x:v>Chair</x:v>
      </x:c>
      <x:c r="H3527" s="11" t="n">
        <x:v>1</x:v>
      </x:c>
      <x:c r="I3527" s="19" t="n">
        <x:v>0</x:v>
      </x:c>
      <x:c r="J3527" s="11" t="n">
        <x:v>0</x:v>
      </x:c>
      <x:c r="K3527" s="20" t="n">
        <x:v>170</x:v>
      </x:c>
      <x:c r="L3527" s="20" t="n">
        <x:v>0</x:v>
      </x:c>
      <x:c r="M3527" s="20" t="n">
        <x:v>110</x:v>
      </x:c>
      <x:c r="N3527" s="20" t="n">
        <x:f>IF(J3527=1,0,K3527-L3527)</x:f>
        <x:v>170</x:v>
      </x:c>
      <x:c r="O3527" s="20" t="n">
        <x:f>N3527-M3527</x:f>
        <x:v>60</x:v>
      </x:c>
    </x:row>
    <x:row r="3528" ht="22" customHeight="1">
      <x:c r="A3528" s="11" t="n">
        <x:v>3524</x:v>
      </x:c>
      <x:c r="B3528" s="11" t="n">
        <x:v>1793</x:v>
      </x:c>
      <x:c r="C3528" s="18" t="n">
        <x:v>45656</x:v>
      </x:c>
      <x:c r="D3528" s="11" t="str">
        <x:v>2024-12</x:v>
      </x:c>
      <x:c r="E3528" s="11" t="str">
        <x:v>West</x:v>
      </x:c>
      <x:c r="F3528" s="11" t="str">
        <x:v>Furniture</x:v>
      </x:c>
      <x:c r="G3528" s="11" t="str">
        <x:v>Chair</x:v>
      </x:c>
      <x:c r="H3528" s="11" t="n">
        <x:v>4</x:v>
      </x:c>
      <x:c r="I3528" s="19" t="n">
        <x:v>0.15</x:v>
      </x:c>
      <x:c r="J3528" s="11" t="n">
        <x:v>0</x:v>
      </x:c>
      <x:c r="K3528" s="20" t="n">
        <x:v>680</x:v>
      </x:c>
      <x:c r="L3528" s="20" t="n">
        <x:v>102</x:v>
      </x:c>
      <x:c r="M3528" s="20" t="n">
        <x:v>440</x:v>
      </x:c>
      <x:c r="N3528" s="20" t="n">
        <x:f>IF(J3528=1,0,K3528-L3528)</x:f>
        <x:v>578</x:v>
      </x:c>
      <x:c r="O3528" s="20" t="n">
        <x:f>N3528-M3528</x:f>
        <x:v>138</x:v>
      </x:c>
    </x:row>
    <x:row r="3529" ht="22" customHeight="1">
      <x:c r="A3529" s="11" t="n">
        <x:v>3525</x:v>
      </x:c>
      <x:c r="B3529" s="11" t="n">
        <x:v>1794</x:v>
      </x:c>
      <x:c r="C3529" s="18" t="n">
        <x:v>45656</x:v>
      </x:c>
      <x:c r="D3529" s="11" t="str">
        <x:v>2024-12</x:v>
      </x:c>
      <x:c r="E3529" s="11" t="str">
        <x:v>East</x:v>
      </x:c>
      <x:c r="F3529" s="11" t="str">
        <x:v>Technology</x:v>
      </x:c>
      <x:c r="G3529" s="11" t="str">
        <x:v>Monitor</x:v>
      </x:c>
      <x:c r="H3529" s="11" t="n">
        <x:v>5</x:v>
      </x:c>
      <x:c r="I3529" s="19" t="n">
        <x:v>0.05</x:v>
      </x:c>
      <x:c r="J3529" s="11" t="n">
        <x:v>0</x:v>
      </x:c>
      <x:c r="K3529" s="20" t="n">
        <x:v>1200</x:v>
      </x:c>
      <x:c r="L3529" s="20" t="n">
        <x:v>60</x:v>
      </x:c>
      <x:c r="M3529" s="20" t="n">
        <x:v>800</x:v>
      </x:c>
      <x:c r="N3529" s="20" t="n">
        <x:f>IF(J3529=1,0,K3529-L3529)</x:f>
        <x:v>1140</x:v>
      </x:c>
      <x:c r="O3529" s="20" t="n">
        <x:f>N3529-M3529</x:f>
        <x:v>340</x:v>
      </x:c>
    </x:row>
    <x:row r="3530" ht="22" customHeight="1">
      <x:c r="A3530" s="11" t="n">
        <x:v>3526</x:v>
      </x:c>
      <x:c r="B3530" s="11" t="n">
        <x:v>1795</x:v>
      </x:c>
      <x:c r="C3530" s="18" t="n">
        <x:v>45774</x:v>
      </x:c>
      <x:c r="D3530" s="11" t="str">
        <x:v>2025-04</x:v>
      </x:c>
      <x:c r="E3530" s="11" t="str">
        <x:v>East</x:v>
      </x:c>
      <x:c r="F3530" s="11" t="str">
        <x:v>Office Supplies</x:v>
      </x:c>
      <x:c r="G3530" s="11" t="str">
        <x:v>Notebook pack</x:v>
      </x:c>
      <x:c r="H3530" s="11" t="n">
        <x:v>5</x:v>
      </x:c>
      <x:c r="I3530" s="19" t="n">
        <x:v>0</x:v>
      </x:c>
      <x:c r="J3530" s="11" t="n">
        <x:v>0</x:v>
      </x:c>
      <x:c r="K3530" s="20" t="n">
        <x:v>90</x:v>
      </x:c>
      <x:c r="L3530" s="20" t="n">
        <x:v>0</x:v>
      </x:c>
      <x:c r="M3530" s="20" t="n">
        <x:v>35</x:v>
      </x:c>
      <x:c r="N3530" s="20" t="n">
        <x:f>IF(J3530=1,0,K3530-L3530)</x:f>
        <x:v>90</x:v>
      </x:c>
      <x:c r="O3530" s="20" t="n">
        <x:f>N3530-M3530</x:f>
        <x:v>55</x:v>
      </x:c>
    </x:row>
    <x:row r="3531" ht="22" customHeight="1">
      <x:c r="A3531" s="11" t="n">
        <x:v>3527</x:v>
      </x:c>
      <x:c r="B3531" s="11" t="n">
        <x:v>1796</x:v>
      </x:c>
      <x:c r="C3531" s="18" t="n">
        <x:v>45559</x:v>
      </x:c>
      <x:c r="D3531" s="11" t="str">
        <x:v>2024-09</x:v>
      </x:c>
      <x:c r="E3531" s="11" t="str">
        <x:v>South</x:v>
      </x:c>
      <x:c r="F3531" s="11" t="str">
        <x:v>Technology</x:v>
      </x:c>
      <x:c r="G3531" s="11" t="str">
        <x:v>Monitor</x:v>
      </x:c>
      <x:c r="H3531" s="11" t="n">
        <x:v>3</x:v>
      </x:c>
      <x:c r="I3531" s="19" t="n">
        <x:v>0.1</x:v>
      </x:c>
      <x:c r="J3531" s="11" t="n">
        <x:v>0</x:v>
      </x:c>
      <x:c r="K3531" s="20" t="n">
        <x:v>720</x:v>
      </x:c>
      <x:c r="L3531" s="20" t="n">
        <x:v>72</x:v>
      </x:c>
      <x:c r="M3531" s="20" t="n">
        <x:v>480</x:v>
      </x:c>
      <x:c r="N3531" s="20" t="n">
        <x:f>IF(J3531=1,0,K3531-L3531)</x:f>
        <x:v>648</x:v>
      </x:c>
      <x:c r="O3531" s="20" t="n">
        <x:f>N3531-M3531</x:f>
        <x:v>168</x:v>
      </x:c>
    </x:row>
    <x:row r="3532" ht="22" customHeight="1">
      <x:c r="A3532" s="11" t="n">
        <x:v>3528</x:v>
      </x:c>
      <x:c r="B3532" s="11" t="n">
        <x:v>1796</x:v>
      </x:c>
      <x:c r="C3532" s="18" t="n">
        <x:v>45559</x:v>
      </x:c>
      <x:c r="D3532" s="11" t="str">
        <x:v>2024-09</x:v>
      </x:c>
      <x:c r="E3532" s="11" t="str">
        <x:v>South</x:v>
      </x:c>
      <x:c r="F3532" s="11" t="str">
        <x:v>Furniture</x:v>
      </x:c>
      <x:c r="G3532" s="11" t="str">
        <x:v>Chair</x:v>
      </x:c>
      <x:c r="H3532" s="11" t="n">
        <x:v>1</x:v>
      </x:c>
      <x:c r="I3532" s="19" t="n">
        <x:v>0</x:v>
      </x:c>
      <x:c r="J3532" s="11" t="n">
        <x:v>0</x:v>
      </x:c>
      <x:c r="K3532" s="20" t="n">
        <x:v>170</x:v>
      </x:c>
      <x:c r="L3532" s="20" t="n">
        <x:v>0</x:v>
      </x:c>
      <x:c r="M3532" s="20" t="n">
        <x:v>110</x:v>
      </x:c>
      <x:c r="N3532" s="20" t="n">
        <x:f>IF(J3532=1,0,K3532-L3532)</x:f>
        <x:v>170</x:v>
      </x:c>
      <x:c r="O3532" s="20" t="n">
        <x:f>N3532-M3532</x:f>
        <x:v>60</x:v>
      </x:c>
    </x:row>
    <x:row r="3533" ht="22" customHeight="1">
      <x:c r="A3533" s="11" t="n">
        <x:v>3529</x:v>
      </x:c>
      <x:c r="B3533" s="11" t="n">
        <x:v>1796</x:v>
      </x:c>
      <x:c r="C3533" s="18" t="n">
        <x:v>45559</x:v>
      </x:c>
      <x:c r="D3533" s="11" t="str">
        <x:v>2024-09</x:v>
      </x:c>
      <x:c r="E3533" s="11" t="str">
        <x:v>South</x:v>
      </x:c>
      <x:c r="F3533" s="11" t="str">
        <x:v>Office Supplies</x:v>
      </x:c>
      <x:c r="G3533" s="11" t="str">
        <x:v>Storage box</x:v>
      </x:c>
      <x:c r="H3533" s="11" t="n">
        <x:v>5</x:v>
      </x:c>
      <x:c r="I3533" s="19" t="n">
        <x:v>0.15</x:v>
      </x:c>
      <x:c r="J3533" s="11" t="n">
        <x:v>0</x:v>
      </x:c>
      <x:c r="K3533" s="20" t="n">
        <x:v>130</x:v>
      </x:c>
      <x:c r="L3533" s="20" t="n">
        <x:v>19.5</x:v>
      </x:c>
      <x:c r="M3533" s="20" t="n">
        <x:v>60</x:v>
      </x:c>
      <x:c r="N3533" s="20" t="n">
        <x:f>IF(J3533=1,0,K3533-L3533)</x:f>
        <x:v>110.5</x:v>
      </x:c>
      <x:c r="O3533" s="20" t="n">
        <x:f>N3533-M3533</x:f>
        <x:v>50.5</x:v>
      </x:c>
    </x:row>
    <x:row r="3534" ht="22" customHeight="1">
      <x:c r="A3534" s="11" t="n">
        <x:v>3530</x:v>
      </x:c>
      <x:c r="B3534" s="11" t="n">
        <x:v>1797</x:v>
      </x:c>
      <x:c r="C3534" s="18" t="n">
        <x:v>45501</x:v>
      </x:c>
      <x:c r="D3534" s="11" t="str">
        <x:v>2024-07</x:v>
      </x:c>
      <x:c r="E3534" s="11" t="str">
        <x:v>West</x:v>
      </x:c>
      <x:c r="F3534" s="11" t="str">
        <x:v>Technology</x:v>
      </x:c>
      <x:c r="G3534" s="11" t="str">
        <x:v>Keyboard</x:v>
      </x:c>
      <x:c r="H3534" s="11" t="n">
        <x:v>2</x:v>
      </x:c>
      <x:c r="I3534" s="19" t="n">
        <x:v>0</x:v>
      </x:c>
      <x:c r="J3534" s="11" t="n">
        <x:v>1</x:v>
      </x:c>
      <x:c r="K3534" s="20" t="n">
        <x:v>130</x:v>
      </x:c>
      <x:c r="L3534" s="20" t="n">
        <x:v>0</x:v>
      </x:c>
      <x:c r="M3534" s="20" t="n">
        <x:v>0</x:v>
      </x:c>
      <x:c r="N3534" s="20" t="n">
        <x:f>IF(J3534=1,0,K3534-L3534)</x:f>
        <x:v>0</x:v>
      </x:c>
      <x:c r="O3534" s="20" t="n">
        <x:f>N3534-M3534</x:f>
        <x:v>0</x:v>
      </x:c>
    </x:row>
    <x:row r="3535" ht="22" customHeight="1">
      <x:c r="A3535" s="11" t="n">
        <x:v>3531</x:v>
      </x:c>
      <x:c r="B3535" s="11" t="n">
        <x:v>1798</x:v>
      </x:c>
      <x:c r="C3535" s="18" t="n">
        <x:v>45546</x:v>
      </x:c>
      <x:c r="D3535" s="11" t="str">
        <x:v>2024-09</x:v>
      </x:c>
      <x:c r="E3535" s="11" t="str">
        <x:v>East</x:v>
      </x:c>
      <x:c r="F3535" s="11" t="str">
        <x:v>Technology</x:v>
      </x:c>
      <x:c r="G3535" s="11" t="str">
        <x:v>Monitor</x:v>
      </x:c>
      <x:c r="H3535" s="11" t="n">
        <x:v>3</x:v>
      </x:c>
      <x:c r="I3535" s="19" t="n">
        <x:v>0.1</x:v>
      </x:c>
      <x:c r="J3535" s="11" t="n">
        <x:v>0</x:v>
      </x:c>
      <x:c r="K3535" s="20" t="n">
        <x:v>720</x:v>
      </x:c>
      <x:c r="L3535" s="20" t="n">
        <x:v>72</x:v>
      </x:c>
      <x:c r="M3535" s="20" t="n">
        <x:v>480</x:v>
      </x:c>
      <x:c r="N3535" s="20" t="n">
        <x:f>IF(J3535=1,0,K3535-L3535)</x:f>
        <x:v>648</x:v>
      </x:c>
      <x:c r="O3535" s="20" t="n">
        <x:f>N3535-M3535</x:f>
        <x:v>168</x:v>
      </x:c>
    </x:row>
    <x:row r="3536" ht="22" customHeight="1">
      <x:c r="A3536" s="11" t="n">
        <x:v>3532</x:v>
      </x:c>
      <x:c r="B3536" s="11" t="n">
        <x:v>1798</x:v>
      </x:c>
      <x:c r="C3536" s="18" t="n">
        <x:v>45546</x:v>
      </x:c>
      <x:c r="D3536" s="11" t="str">
        <x:v>2024-09</x:v>
      </x:c>
      <x:c r="E3536" s="11" t="str">
        <x:v>East</x:v>
      </x:c>
      <x:c r="F3536" s="11" t="str">
        <x:v>Furniture</x:v>
      </x:c>
      <x:c r="G3536" s="11" t="str">
        <x:v>Chair</x:v>
      </x:c>
      <x:c r="H3536" s="11" t="n">
        <x:v>1</x:v>
      </x:c>
      <x:c r="I3536" s="19" t="n">
        <x:v>0</x:v>
      </x:c>
      <x:c r="J3536" s="11" t="n">
        <x:v>0</x:v>
      </x:c>
      <x:c r="K3536" s="20" t="n">
        <x:v>170</x:v>
      </x:c>
      <x:c r="L3536" s="20" t="n">
        <x:v>0</x:v>
      </x:c>
      <x:c r="M3536" s="20" t="n">
        <x:v>110</x:v>
      </x:c>
      <x:c r="N3536" s="20" t="n">
        <x:f>IF(J3536=1,0,K3536-L3536)</x:f>
        <x:v>170</x:v>
      </x:c>
      <x:c r="O3536" s="20" t="n">
        <x:f>N3536-M3536</x:f>
        <x:v>60</x:v>
      </x:c>
    </x:row>
    <x:row r="3537" ht="22" customHeight="1">
      <x:c r="A3537" s="11" t="n">
        <x:v>3533</x:v>
      </x:c>
      <x:c r="B3537" s="11" t="n">
        <x:v>1799</x:v>
      </x:c>
      <x:c r="C3537" s="18" t="n">
        <x:v>45971</x:v>
      </x:c>
      <x:c r="D3537" s="11" t="str">
        <x:v>2025-11</x:v>
      </x:c>
      <x:c r="E3537" s="11" t="str">
        <x:v>West</x:v>
      </x:c>
      <x:c r="F3537" s="11" t="str">
        <x:v>Office Supplies</x:v>
      </x:c>
      <x:c r="G3537" s="11" t="str">
        <x:v>Storage box</x:v>
      </x:c>
      <x:c r="H3537" s="11" t="n">
        <x:v>1</x:v>
      </x:c>
      <x:c r="I3537" s="19" t="n">
        <x:v>0.15</x:v>
      </x:c>
      <x:c r="J3537" s="11" t="n">
        <x:v>0</x:v>
      </x:c>
      <x:c r="K3537" s="20" t="n">
        <x:v>26</x:v>
      </x:c>
      <x:c r="L3537" s="20" t="n">
        <x:v>3.9</x:v>
      </x:c>
      <x:c r="M3537" s="20" t="n">
        <x:v>12</x:v>
      </x:c>
      <x:c r="N3537" s="20" t="n">
        <x:f>IF(J3537=1,0,K3537-L3537)</x:f>
        <x:v>22.1</x:v>
      </x:c>
      <x:c r="O3537" s="20" t="n">
        <x:f>N3537-M3537</x:f>
        <x:v>10.100000000000001</x:v>
      </x:c>
    </x:row>
    <x:row r="3538" ht="22" customHeight="1">
      <x:c r="A3538" s="11" t="n">
        <x:v>3534</x:v>
      </x:c>
      <x:c r="B3538" s="11" t="n">
        <x:v>1799</x:v>
      </x:c>
      <x:c r="C3538" s="18" t="n">
        <x:v>45971</x:v>
      </x:c>
      <x:c r="D3538" s="11" t="str">
        <x:v>2025-11</x:v>
      </x:c>
      <x:c r="E3538" s="11" t="str">
        <x:v>West</x:v>
      </x:c>
      <x:c r="F3538" s="11" t="str">
        <x:v>Technology</x:v>
      </x:c>
      <x:c r="G3538" s="11" t="str">
        <x:v>Keyboard</x:v>
      </x:c>
      <x:c r="H3538" s="11" t="n">
        <x:v>3</x:v>
      </x:c>
      <x:c r="I3538" s="19" t="n">
        <x:v>0</x:v>
      </x:c>
      <x:c r="J3538" s="11" t="n">
        <x:v>0</x:v>
      </x:c>
      <x:c r="K3538" s="20" t="n">
        <x:v>195</x:v>
      </x:c>
      <x:c r="L3538" s="20" t="n">
        <x:v>0</x:v>
      </x:c>
      <x:c r="M3538" s="20" t="n">
        <x:v>96</x:v>
      </x:c>
      <x:c r="N3538" s="20" t="n">
        <x:f>IF(J3538=1,0,K3538-L3538)</x:f>
        <x:v>195</x:v>
      </x:c>
      <x:c r="O3538" s="20" t="n">
        <x:f>N3538-M3538</x:f>
        <x:v>99</x:v>
      </x:c>
    </x:row>
    <x:row r="3539" ht="22" customHeight="1">
      <x:c r="A3539" s="11" t="n">
        <x:v>3535</x:v>
      </x:c>
      <x:c r="B3539" s="11" t="n">
        <x:v>1799</x:v>
      </x:c>
      <x:c r="C3539" s="18" t="n">
        <x:v>45971</x:v>
      </x:c>
      <x:c r="D3539" s="11" t="str">
        <x:v>2025-11</x:v>
      </x:c>
      <x:c r="E3539" s="11" t="str">
        <x:v>West</x:v>
      </x:c>
      <x:c r="F3539" s="11" t="str">
        <x:v>Furniture</x:v>
      </x:c>
      <x:c r="G3539" s="11" t="str">
        <x:v>Desk</x:v>
      </x:c>
      <x:c r="H3539" s="11" t="n">
        <x:v>3</x:v>
      </x:c>
      <x:c r="I3539" s="19" t="n">
        <x:v>0.25</x:v>
      </x:c>
      <x:c r="J3539" s="11" t="n">
        <x:v>0</x:v>
      </x:c>
      <x:c r="K3539" s="20" t="n">
        <x:v>840</x:v>
      </x:c>
      <x:c r="L3539" s="20" t="n">
        <x:v>210</x:v>
      </x:c>
      <x:c r="M3539" s="20" t="n">
        <x:v>570</x:v>
      </x:c>
      <x:c r="N3539" s="20" t="n">
        <x:f>IF(J3539=1,0,K3539-L3539)</x:f>
        <x:v>630</x:v>
      </x:c>
      <x:c r="O3539" s="20" t="n">
        <x:f>N3539-M3539</x:f>
        <x:v>60</x:v>
      </x:c>
    </x:row>
    <x:row r="3540" ht="22" customHeight="1">
      <x:c r="A3540" s="11" t="n">
        <x:v>3536</x:v>
      </x:c>
      <x:c r="B3540" s="11" t="n">
        <x:v>1800</x:v>
      </x:c>
      <x:c r="C3540" s="18" t="n">
        <x:v>45343</x:v>
      </x:c>
      <x:c r="D3540" s="11" t="str">
        <x:v>2024-02</x:v>
      </x:c>
      <x:c r="E3540" s="11" t="str">
        <x:v>South</x:v>
      </x:c>
      <x:c r="F3540" s="11" t="str">
        <x:v>Office Supplies</x:v>
      </x:c>
      <x:c r="G3540" s="11" t="str">
        <x:v>Storage box</x:v>
      </x:c>
      <x:c r="H3540" s="11" t="n">
        <x:v>3</x:v>
      </x:c>
      <x:c r="I3540" s="19" t="n">
        <x:v>0</x:v>
      </x:c>
      <x:c r="J3540" s="11" t="n">
        <x:v>0</x:v>
      </x:c>
      <x:c r="K3540" s="20" t="n">
        <x:v>78</x:v>
      </x:c>
      <x:c r="L3540" s="20" t="n">
        <x:v>0</x:v>
      </x:c>
      <x:c r="M3540" s="20" t="n">
        <x:v>36</x:v>
      </x:c>
      <x:c r="N3540" s="20" t="n">
        <x:f>IF(J3540=1,0,K3540-L3540)</x:f>
        <x:v>78</x:v>
      </x:c>
      <x:c r="O3540" s="20" t="n">
        <x:f>N3540-M3540</x:f>
        <x:v>42</x:v>
      </x:c>
    </x:row>
    <x:row r="3541" ht="22" customHeight="1">
      <x:c r="A3541" s="11" t="n">
        <x:v>3537</x:v>
      </x:c>
      <x:c r="B3541" s="11" t="n">
        <x:v>1800</x:v>
      </x:c>
      <x:c r="C3541" s="18" t="n">
        <x:v>45343</x:v>
      </x:c>
      <x:c r="D3541" s="11" t="str">
        <x:v>2024-02</x:v>
      </x:c>
      <x:c r="E3541" s="11" t="str">
        <x:v>South</x:v>
      </x:c>
      <x:c r="F3541" s="11" t="str">
        <x:v>Technology</x:v>
      </x:c>
      <x:c r="G3541" s="11" t="str">
        <x:v>Keyboard</x:v>
      </x:c>
      <x:c r="H3541" s="11" t="n">
        <x:v>2</x:v>
      </x:c>
      <x:c r="I3541" s="19" t="n">
        <x:v>0</x:v>
      </x:c>
      <x:c r="J3541" s="11" t="n">
        <x:v>0</x:v>
      </x:c>
      <x:c r="K3541" s="20" t="n">
        <x:v>130</x:v>
      </x:c>
      <x:c r="L3541" s="20" t="n">
        <x:v>0</x:v>
      </x:c>
      <x:c r="M3541" s="20" t="n">
        <x:v>64</x:v>
      </x:c>
      <x:c r="N3541" s="20" t="n">
        <x:f>IF(J3541=1,0,K3541-L3541)</x:f>
        <x:v>130</x:v>
      </x:c>
      <x:c r="O3541" s="20" t="n">
        <x:f>N3541-M3541</x:f>
        <x:v>66</x:v>
      </x:c>
    </x:row>
    <x:row r="3542" ht="22" customHeight="1">
      <x:c r="A3542" s="11" t="n">
        <x:v>3538</x:v>
      </x:c>
      <x:c r="B3542" s="11" t="n">
        <x:v>1800</x:v>
      </x:c>
      <x:c r="C3542" s="18" t="n">
        <x:v>45343</x:v>
      </x:c>
      <x:c r="D3542" s="11" t="str">
        <x:v>2024-02</x:v>
      </x:c>
      <x:c r="E3542" s="11" t="str">
        <x:v>South</x:v>
      </x:c>
      <x:c r="F3542" s="11" t="str">
        <x:v>Office Supplies</x:v>
      </x:c>
      <x:c r="G3542" s="11" t="str">
        <x:v>Notebook pack</x:v>
      </x:c>
      <x:c r="H3542" s="11" t="n">
        <x:v>3</x:v>
      </x:c>
      <x:c r="I3542" s="19" t="n">
        <x:v>0</x:v>
      </x:c>
      <x:c r="J3542" s="11" t="n">
        <x:v>0</x:v>
      </x:c>
      <x:c r="K3542" s="20" t="n">
        <x:v>54</x:v>
      </x:c>
      <x:c r="L3542" s="20" t="n">
        <x:v>0</x:v>
      </x:c>
      <x:c r="M3542" s="20" t="n">
        <x:v>21</x:v>
      </x:c>
      <x:c r="N3542" s="20" t="n">
        <x:f>IF(J3542=1,0,K3542-L3542)</x:f>
        <x:v>54</x:v>
      </x:c>
      <x:c r="O3542" s="20" t="n">
        <x:f>N3542-M3542</x:f>
        <x:v>33</x:v>
      </x:c>
    </x:row>
  </x:sheetData>
  <x:conditionalFormatting sqref="O5:O3542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efd274aec04e76"/>
  </x:tableParts>
</x:worksheet>
</file>